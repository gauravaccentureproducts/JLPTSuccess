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h:mm:ss"/>
  </numFmts>
  <fonts count="11">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3" min="9" max="9"/>
    <col width="50" customWidth="1" style="33" min="10" max="10"/>
    <col width="55" customWidth="1" style="34" min="11" max="11"/>
    <col width="50" customWidth="1" style="34" min="12" max="12"/>
    <col hidden="1" width="13" customWidth="1" style="35" min="13" max="13"/>
    <col width="22" customWidth="1" style="34" min="14" max="14"/>
    <col width="62" customWidth="1" style="34" min="15" max="15"/>
    <col width="8.7265625" customWidth="1" style="34" min="16" max="16"/>
  </cols>
  <sheetData>
    <row r="1" ht="21" customHeight="1" s="35">
      <c r="A1" s="36" t="inlineStr">
        <is>
          <t>JLPT N5 audit — JLPTSuccess sub-app at /N5/</t>
        </is>
      </c>
    </row>
    <row r="2">
      <c r="A2" s="32" t="inlineStr">
        <is>
          <t>Date: 2026-05-04 · Read-only audit · 24 entries (7 issues + 17 improvements)</t>
        </is>
      </c>
    </row>
    <row r="4" ht="43.5" customHeight="1" s="35">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5">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5">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5">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5">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5">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5">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5">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5">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5">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5">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5">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5">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5">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5">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5">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5">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35">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5">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5">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5">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35">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35">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35">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5">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35">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35">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35">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35">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35">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35">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35">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35">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35">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35">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35">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35">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35">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35">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35">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35">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35">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35">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35">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35">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35">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35">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35">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35">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35">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35">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35">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35">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35">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35">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35">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35">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35">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35">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35">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35">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35">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35">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35">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35">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35">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35">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35">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35">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35">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35">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35">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35">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35">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35">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35">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35">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35">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5">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5">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5">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5">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5">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5">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5">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5">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5">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5">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5">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5">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5">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5">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5">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5">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5">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5">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5">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5">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5">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5">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5">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5">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5">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5">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5">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5">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5">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5">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5">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5">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5">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5">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5">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5">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5">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5">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5">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5">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5">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5">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5">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5">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5">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5">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5">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5">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5">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5">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35">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4" t="inlineStr">
        <is>
          <t>0/178 patterns carry meaning_{vi,id,ne,zh} or explanation_{vi,id,ne,zh}. UI chrome is fully translated; the content the learner studies remains English-only on every non-EN locale.</t>
        </is>
      </c>
      <c r="K134" s="34" t="inlineStr">
        <is>
          <t>Single biggest niche-N1 blocker. Vocab gloss reached 45.8% in round-6, kanji meanings reached 100%, but grammar is still 0%. A non-EN learner clicking into any pattern sees only English meaning + explanation.</t>
        </is>
      </c>
      <c r="L134" s="34" t="inlineStr">
        <is>
          <t>Author meaning_{lc} + explanation_{lc} for the top-30 patterns first (copula, particles, te-form, masu-form, polite negation, basic adjective forms), then expand in successive batches.</t>
        </is>
      </c>
      <c r="M134" t="inlineStr">
        <is>
          <t>—</t>
        </is>
      </c>
      <c r="N134" s="34" t="inlineStr">
        <is>
          <t>Done</t>
        </is>
      </c>
      <c r="O134" t="inlineStr">
        <is>
          <t xml:space="preserve"> [Superseded 2026-05-06 by IMP-096 + round-8 ISSUE-077/078: locale narrowed to en+hi; Hindi grammar localization landed at native_reviewed quality on top-30 patterns.]</t>
        </is>
      </c>
    </row>
    <row r="135" ht="43.5" customHeight="1" s="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4" t="inlineStr">
        <is>
          <t>mondai distribution: M1=14, M2=13, M3=13, M4=0. Round-3 audit closed mondai-4=0 but the regression is back or never resolved.</t>
        </is>
      </c>
      <c r="K135" s="34" t="inlineStr">
        <is>
          <t>A real N5 chokai paper has 6 mondai-4 items (one-line stimulus + pick the right response). The app ships zero. Mock-listening fidelity is broken.</t>
        </is>
      </c>
      <c r="L135" s="34" t="inlineStr">
        <is>
          <t>Author 6-8 mondai-4 items. They are the cheapest mondai to author since they need no setup dialogue or picture.</t>
        </is>
      </c>
      <c r="M135" t="inlineStr">
        <is>
          <t>—</t>
        </is>
      </c>
      <c r="N135" s="34" t="inlineStr">
        <is>
          <t>Done</t>
        </is>
      </c>
    </row>
    <row r="136" ht="72.5" customHeight="1" s="35">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4" t="inlineStr">
        <is>
          <t>mondai null on every passage. Length range 62-138 chars (median 86). Mondai-5 (250-300 char band) has zero passages. 4/40 carry format_type schedule_table/menu_list/notice (would map to mondai-6).</t>
        </is>
      </c>
      <c r="K136" s="34" t="inlineStr">
        <is>
          <t>JLPT N5 dokkai has three mondai: M4 (100-200 chars), M5 (250-300), M6 (info-search). Today only the M4-length band is represented and even those carry no mondai tag.</t>
        </is>
      </c>
      <c r="L136" s="34" t="inlineStr">
        <is>
          <t>Backfill mondai∈{4,5,6} on existing 40 passages by length + format_type matching. Author 8-10 new passages in the 250-300 char band.</t>
        </is>
      </c>
      <c r="M136" t="inlineStr">
        <is>
          <t>ISSUE-061</t>
        </is>
      </c>
      <c r="N136" s="34" t="inlineStr">
        <is>
          <t>Done</t>
        </is>
      </c>
    </row>
    <row r="137" ht="58" customHeight="1" s="35">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4" t="inlineStr">
        <is>
          <t>Three structural gaps: (1) no chokai papers exist; (2) all 402 questions carry no mondai field; (3) papers are flat 15-question packs, not the per-section sub-mondai distribution real exams use.</t>
        </is>
      </c>
      <c r="K137" s="34" t="inlineStr">
        <is>
          <t>A learner taking the app mock paper gets a flat quiz, not a 25/50/30-min three-section structured exam. The headline "all-in-one" feature falls short of N5 official structure.</t>
        </is>
      </c>
      <c r="L137" s="34" t="inlineStr">
        <is>
          <t>Phase 1: backfill mondai on 402 questions. Phase 2: build chokai papers from listening.json. Phase 3: rework tools/build_papers.py to weight per official sub-mondai counts.</t>
        </is>
      </c>
      <c r="M137" t="inlineStr">
        <is>
          <t>ISSUE-057, ISSUE-058</t>
        </is>
      </c>
      <c r="N137" s="34" t="inlineStr">
        <is>
          <t>Done</t>
        </is>
      </c>
    </row>
    <row r="138" ht="72.5" customHeight="1" s="35">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4" t="inlineStr">
        <is>
          <t>Grammar 178/178 llm_curated, Vocab 1041/1041 llm_curated, Kanji 106/106 llm_curated, Reading 40/40 llm_curated, Listening 40/40 llm_curated. Provenance-badge UI shipped in round-6 but never fires (10% threshold).</t>
        </is>
      </c>
      <c r="K138" s="34" t="inlineStr">
        <is>
          <t>Round-6 paid the engineering cost to display this trust signal but content cost was deferred. Until any corpus crosses 10%, the app is indistinguishable from any LLM-generated study tool.</t>
        </is>
      </c>
      <c r="L138" s="34" t="inlineStr">
        <is>
          <t>Recruit one native reviewer per locale or one global JA reviewer; pick a small surface (e.g. top-50 grammar patterns or kanji 106) to drive to ≥10%. Once badge fires, it self-amplifies trust.</t>
        </is>
      </c>
      <c r="M138" t="inlineStr">
        <is>
          <t>Q27</t>
        </is>
      </c>
      <c r="N138" s="34"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5">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4" t="inlineStr">
        <is>
          <t>Raw correct-position distribution: pos0=57%, pos1=31%, pos2=8%, pos3=4%. Runtime shuffle in test/drill/diagnostic masks this for users; papers.js does NOT shuffle.</t>
        </is>
      </c>
      <c r="K139" s="34" t="inlineStr">
        <is>
          <t>Subtle bias. A new authoring batch that bypasses runtime shuffle (e.g. paper builder reading questions.json directly) inherits the bias. Also a CI invariant gap.</t>
        </is>
      </c>
      <c r="L139" s="34" t="inlineStr">
        <is>
          <t>Add a JA-36 invariant: fail if any single corpus correct-position dist exceeds 35% in any one slot. Either rebalance questions.json or document runtime-shuffle compensation in the spec.</t>
        </is>
      </c>
      <c r="M139" t="inlineStr">
        <is>
          <t>—</t>
        </is>
      </c>
      <c r="N139" s="34" t="inlineStr">
        <is>
          <t>Done</t>
        </is>
      </c>
    </row>
    <row r="140" ht="43.5" customHeight="1" s="35">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4" t="inlineStr">
        <is>
          <t>18/40 use synthetic-voicevox-shikoku-metan; 22/40 carry no voice tag at all. Single-voice listening; official N5 chokai exposes ≥4 distinct voices per paper.</t>
        </is>
      </c>
      <c r="K140" s="34" t="inlineStr">
        <is>
          <t>Listening realism is the niche-N4 depth lever. Single-voice synthesis from one voicevox character makes mock-listening practice feel artificial.</t>
        </is>
      </c>
      <c r="L140" s="34" t="inlineStr">
        <is>
          <t>Add 3-4 additional voicevox speakers (tsumugi, takehiro, kasukabe-tsumugi) and re-render audio for 30+ items. Free, fully-offline-generable at build time.</t>
        </is>
      </c>
      <c r="M140" t="inlineStr">
        <is>
          <t>ISSUE-057</t>
        </is>
      </c>
      <c r="N140" s="34" t="inlineStr">
        <is>
          <t>Done</t>
        </is>
      </c>
      <c r="O140" s="34"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5">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4" t="inlineStr">
        <is>
          <t>All seven optional depth fields are zero. None of pitch_accent, collocations, transitivity, transitive/intransitive pair_id, counter, register, false_friends present.</t>
        </is>
      </c>
      <c r="K141" s="34" t="inlineStr">
        <is>
          <t>Niche-N4 (all-in-one vs juggling apps) requires the vocab page to be deep enough that the learner does not need Jisho.org or a paper dictionary alongside.</t>
        </is>
      </c>
      <c r="L141" s="34" t="inlineStr">
        <is>
          <t>One schema-migration pass adding the seven optional fields. Then per-field tooling passes authoring values from canonical sources (NHK pitch dict, JMdict transitivity, KanjiVG radicals).</t>
        </is>
      </c>
      <c r="M141" t="inlineStr">
        <is>
          <t>—</t>
        </is>
      </c>
      <c r="N141" s="34" t="inlineStr">
        <is>
          <t>Done</t>
        </is>
      </c>
    </row>
    <row r="142" ht="58" customHeight="1" s="35">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4" t="inlineStr">
        <is>
          <t>No radicals, no decomposition (e.g. 明 = 日 + 月), no mnemonics, no confusable cross-links (e.g. 大/犬/太, 木/本/末/未).</t>
        </is>
      </c>
      <c r="K142" s="34" t="inlineStr">
        <is>
          <t>WaniKani defining advantage is radical-decomposition + mnemonic system. Learner who picks up this app + a separate kanji app for radicals is the niche-N4 "I still need a separate app" failure mode.</t>
        </is>
      </c>
      <c r="L142" s="34" t="inlineStr">
        <is>
          <t>Author radical + radical_decomposition from KanjiVG (offline-derivable). LLM-seed one-line mnemonic per kanji, then native-review batch. Add confusable_with for the 8 well-known clusters.</t>
        </is>
      </c>
      <c r="M142" t="inlineStr">
        <is>
          <t>—</t>
        </is>
      </c>
      <c r="N142" s="34" t="inlineStr">
        <is>
          <t>Done</t>
        </is>
      </c>
    </row>
    <row r="143" ht="72.5" customHeight="1" s="35">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4" t="inlineStr">
        <is>
          <t>js/storage.js writes under jlpt-n5-tutor:*. PRIVACY.md mentions jlpt-n5-tutor (matches). README.md no namespace mention found in current pass. Earlier reported n5.* drift either resolved or moved.</t>
        </is>
      </c>
      <c r="K143" s="34" t="inlineStr">
        <is>
          <t>Niche-N2 (privacy) audits demand documented storage. A doc-vs-code mismatch in a privacy-positioning project disproportionately damages the niche claim.</t>
        </is>
      </c>
      <c r="L143" s="34" t="inlineStr">
        <is>
          <t>Add a JA-37 invariant: scan js/storage.js for localStorage.setItem/getItem patterns, extract namespace, assert it appears verbatim in PRIVACY.md.</t>
        </is>
      </c>
      <c r="M143" t="inlineStr">
        <is>
          <t>—</t>
        </is>
      </c>
      <c r="N143" s="34" t="inlineStr">
        <is>
          <t>Done</t>
        </is>
      </c>
    </row>
    <row r="144" ht="58" customHeight="1" s="35">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4" t="inlineStr">
        <is>
          <t>Locale resolution: saved &gt; navigator.language &gt; en. Referrer hint is parallel boost (round-6). navigator.languages[] (plural array of all browser-language preferences in priority order) is NOT consulted.</t>
        </is>
      </c>
      <c r="K144" s="34" t="inlineStr">
        <is>
          <t>For users whose system is set to en-US but Accept-Language=vi-VN,en-US, the hint to default to vi is missed. Niche-N1 first-paint optimisation lever.</t>
        </is>
      </c>
      <c r="L144" s="34" t="inlineStr">
        <is>
          <t>Add navigator.languages[] consultation alongside navigator.language. Pick the highest-priority language present in supportedLocales.</t>
        </is>
      </c>
      <c r="M144" t="inlineStr">
        <is>
          <t>—</t>
        </is>
      </c>
      <c r="N144" s="34" t="inlineStr">
        <is>
          <t>Done</t>
        </is>
      </c>
    </row>
    <row r="145" ht="43.5" customHeight="1" s="35">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4" t="inlineStr">
        <is>
          <t>Covered: self-introduction, family, daily routine, school, study, food, shopping, transport, weather, hobby, schedule, weekend plan. Gaps: restaurant, leisure, body/health (only 1), time/calendar, occupation.</t>
        </is>
      </c>
      <c r="K145" s="34" t="inlineStr">
        <is>
          <t>Self-study learners use the dokkai surface for topical reading; uneven coverage means some learners hit "8 shopping passages and 0 health" feel.</t>
        </is>
      </c>
      <c r="L145" s="34" t="inlineStr">
        <is>
          <t>Author 5-6 passages in the gap topics (restaurant scene, leisure/hobbies, body/health vocab in context, calendar/time, occupation light-touch).</t>
        </is>
      </c>
      <c r="M145" t="inlineStr">
        <is>
          <t>ISSUE-058</t>
        </is>
      </c>
      <c r="N145" s="34" t="inlineStr">
        <is>
          <t>Done</t>
        </is>
      </c>
    </row>
    <row r="146" ht="58" customHeight="1" s="35">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4" t="inlineStr">
        <is>
          <t>Mean common-mistakes per pattern = 1.10; 31 patterns have []. Audit standard is ≥1 specific common-mistake per pattern.</t>
        </is>
      </c>
      <c r="K146" s="34" t="inlineStr">
        <is>
          <t>Common-mistakes are highest-value pedagogical artifact per pattern. 31 zero-entry patterns break the floor.</t>
        </is>
      </c>
      <c r="L146" s="34" t="inlineStr">
        <is>
          <t>Author one specific common-mistake on each of the 31 zero-entry patterns. Add JA-38 invariant requiring len(common_mistakes) &gt;= 1.</t>
        </is>
      </c>
      <c r="M146" t="inlineStr">
        <is>
          <t>—</t>
        </is>
      </c>
      <c r="N146" s="34" t="inlineStr">
        <is>
          <t>Done</t>
        </is>
      </c>
    </row>
    <row r="147" ht="58" customHeight="1" s="35">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4" t="inlineStr">
        <is>
          <t>No pattern documents which canonical reference work it appears in.</t>
        </is>
      </c>
      <c r="K147" s="34" t="inlineStr">
        <is>
          <t>Trust signal for serious learners (especially institutional / niche-N3 adopters). Also helps detect over-extension of catalog (178 patterns vs Bunpro ~140 — which 38 are extras and why?).</t>
        </is>
      </c>
      <c r="L147" s="34" t="inlineStr">
        <is>
          <t>Add sources array per pattern referencing genki/minna/bunpro/jlpt-sensei. Cross-validate with KnowledgeBank/sources.md.</t>
        </is>
      </c>
      <c r="M147" t="inlineStr">
        <is>
          <t>—</t>
        </is>
      </c>
      <c r="N147" s="34" t="inlineStr">
        <is>
          <t>Done</t>
        </is>
      </c>
    </row>
    <row r="148" ht="58" customHeight="1" s="35">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4" t="inlineStr">
        <is>
          <t>Round-6 added per-section coverage % badge. Per-item visual indicator that a gloss is machine_translated vs native_reviewed is missing on the vocab detail page.</t>
        </is>
      </c>
      <c r="K148" s="34" t="inlineStr">
        <is>
          <t>Once native-review starts (per ISSUE-060), the user needs an obvious way to see "this gloss is native-reviewed; that one is machine-translated."</t>
        </is>
      </c>
      <c r="L148" s="34" t="inlineStr">
        <is>
          <t>Wire js/provenance-badge.js renderItemBadge() into the vocab detail page. Stub already exists from round-6 ISSUE-053.</t>
        </is>
      </c>
      <c r="M148" t="inlineStr">
        <is>
          <t>ISSUE-060</t>
        </is>
      </c>
      <c r="N148" s="34" t="inlineStr">
        <is>
          <t>Done</t>
        </is>
      </c>
    </row>
    <row r="149" ht="58" customHeight="1" s="35">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4" t="inlineStr">
        <is>
          <t>docs/SELF-HOST.md exists. Per-locale README does not.</t>
        </is>
      </c>
      <c r="K149" s="34" t="inlineStr">
        <is>
          <t>Niche-N3 fork-and-rebrand path is gated by English-only docs. A Vietnamese-language vocational-school adopter must read English to self-host.</t>
        </is>
      </c>
      <c r="L149" s="34" t="inlineStr">
        <is>
          <t>Translate docs/SELF-HOST.md to vi/id/ne/zh once content authoring momentum is up.</t>
        </is>
      </c>
      <c r="M149" t="inlineStr">
        <is>
          <t>Q20</t>
        </is>
      </c>
      <c r="N149" s="34" t="inlineStr">
        <is>
          <t>Done</t>
        </is>
      </c>
    </row>
    <row r="150" ht="58" customHeight="1" s="35">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4" t="inlineStr">
        <is>
          <t>No visual-regression snapshots on home, settings, vocab list. Layout regressions are caught by humans only. Round-4 deferred.</t>
        </is>
      </c>
      <c r="K150" s="34" t="inlineStr">
        <is>
          <t>Layout drift on locale switches (Nepali / Chinese render with very different metrics than English) currently invisible.</t>
        </is>
      </c>
      <c r="L150" s="34" t="inlineStr">
        <is>
          <t>Add Playwright visual-regression snapshots on home page × 5 locales × light/dark.</t>
        </is>
      </c>
      <c r="M150" t="inlineStr">
        <is>
          <t>—</t>
        </is>
      </c>
      <c r="N150" s="34" t="inlineStr">
        <is>
          <t>Done</t>
        </is>
      </c>
      <c r="O150" s="34"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5">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4" t="inlineStr">
        <is>
          <t>Repo description / topics not visible in README. No git tag for v1.12.37 (or any release).</t>
        </is>
      </c>
      <c r="K151" s="34" t="inlineStr">
        <is>
          <t>Niche-N3 adopters / niche-N1 word-of-mouth gates on repo discoverability via GitHub topics.</t>
        </is>
      </c>
      <c r="L151" s="34" t="inlineStr">
        <is>
          <t>Add repo description, topics (japanese, jlpt, n5, pwa, multilingual, privacy). git tag v1.12.37. Write Show HN-ready release note.</t>
        </is>
      </c>
      <c r="M151" t="inlineStr">
        <is>
          <t>—</t>
        </is>
      </c>
      <c r="N151" s="34" t="inlineStr">
        <is>
          <t>Done</t>
        </is>
      </c>
    </row>
    <row r="152" ht="43.5" customHeight="1" s="35">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4" t="inlineStr">
        <is>
          <t>Voicevox default pacing is unaudited.</t>
        </is>
      </c>
      <c r="K152" s="34" t="inlineStr">
        <is>
          <t>Pacing realism is a polish lever; not a blocker.</t>
        </is>
      </c>
      <c r="L152" s="34" t="inlineStr">
        <is>
          <t>Random-sample 5 listening items, measure mora/min, compare to JLPT.jp official sample, adjust voicevox speed_scale per item if off by &gt;15%.</t>
        </is>
      </c>
      <c r="M152" t="inlineStr">
        <is>
          <t>—</t>
        </is>
      </c>
      <c r="N152" s="34" t="inlineStr">
        <is>
          <t>Done</t>
        </is>
      </c>
      <c r="O152" s="34"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5">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4" t="inlineStr">
        <is>
          <t>0/178 patterns carry l1_notes field. No L1-specific gotchas surfaced.</t>
        </is>
      </c>
      <c r="K153" s="34" t="inlineStr">
        <is>
          <t>No competitor does this. Bunpro is English-first. WaniKani is English-first. Renshuu has light support. JLPT Sensei is English-only. Pure niche-N1 unique-claim lever.</t>
        </is>
      </c>
      <c r="L153" s="34" t="inlineStr">
        <is>
          <t>Add l1_notes: { vi, id, ne, zh } schema. Author top-30 patterns first with one-paragraph L1 notes per locale.</t>
        </is>
      </c>
      <c r="M153" t="inlineStr">
        <is>
          <t>ISSUE-056</t>
        </is>
      </c>
      <c r="N153" s="34" t="inlineStr">
        <is>
          <t>Done</t>
        </is>
      </c>
    </row>
    <row r="154" ht="43.5" customHeight="1" s="35">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4" t="inlineStr">
        <is>
          <t>Both surfaces have explanation_en only. After answer submit, rationale is English-only on every non-EN locale.</t>
        </is>
      </c>
      <c r="K154" s="34" t="inlineStr">
        <is>
          <t>Bunpro shows native-language rationales (English). No competitor offers vi/id/ne/zh rationales.</t>
        </is>
      </c>
      <c r="L154" s="34" t="inlineStr">
        <is>
          <t>Author explanation_{lc} for at least 20 reading + 20 listening items as first batch.</t>
        </is>
      </c>
      <c r="M154" t="inlineStr">
        <is>
          <t>ISSUE-060</t>
        </is>
      </c>
      <c r="N154" s="34" t="inlineStr">
        <is>
          <t>Done</t>
        </is>
      </c>
      <c r="O154" s="34"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5">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4" t="inlineStr">
        <is>
          <t>0/106 carry radical_decomposition. Stroke-order SVG present, no per-component breakdown.</t>
        </is>
      </c>
      <c r="K155" s="34" t="inlineStr">
        <is>
          <t>WaniKani decomposes every kanji into radicals + provides per-radical mnemonics; defining UX advantage. Even minimal closes the largest WaniKani gap.</t>
        </is>
      </c>
      <c r="L155" s="34" t="inlineStr">
        <is>
          <t>Author radical_decomposition from KanjiVG component data (offline-derivable). Add one-line mnemonic per kanji (LLM-seeded, native-reviewed).</t>
        </is>
      </c>
      <c r="M155" t="inlineStr">
        <is>
          <t>ISSUE-064</t>
        </is>
      </c>
      <c r="N155" s="34" t="inlineStr">
        <is>
          <t>Done</t>
        </is>
      </c>
    </row>
    <row r="156" ht="43.5" customHeight="1" s="35">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4" t="inlineStr">
        <is>
          <t>Learner who confuses 大/犬/太 or 木/本/末/未 has no compare surface in the app.</t>
        </is>
      </c>
      <c r="K156" s="34" t="inlineStr">
        <is>
          <t>WaniKani surfaces visually-similar kanji; the app could match this with eight static cross-link clusters.</t>
        </is>
      </c>
      <c r="L156" s="34" t="inlineStr">
        <is>
          <t>Add confusable_with: [kanji-id-1, kanji-id-2] on kanji entries. Render Compare callout on detail page.</t>
        </is>
      </c>
      <c r="M156" t="inlineStr">
        <is>
          <t>ISSUE-064</t>
        </is>
      </c>
      <c r="N156" s="34" t="inlineStr">
        <is>
          <t>Done</t>
        </is>
      </c>
    </row>
    <row r="157" ht="43.5" customHeight="1" s="35">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4" t="inlineStr">
        <is>
          <t>12 canonical pairs (開ける/開く etc.) sit in catalog with no adjacency or cross-link.</t>
        </is>
      </c>
      <c r="K157" s="34" t="inlineStr">
        <is>
          <t>Tofugu / Tae Kim / Bunpro all surface these pairs as a unit; learners typically get them confused without explicit pairing.</t>
        </is>
      </c>
      <c r="L157" s="34" t="inlineStr">
        <is>
          <t>Add pair_id field on both members of each pair; build see-also widget on vocab detail page.</t>
        </is>
      </c>
      <c r="M157" t="inlineStr">
        <is>
          <t>ISSUE-063</t>
        </is>
      </c>
      <c r="N157" s="34" t="inlineStr">
        <is>
          <t>Done</t>
        </is>
      </c>
    </row>
    <row r="158" ht="43.5" customHeight="1" s="35">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4" t="inlineStr">
        <is>
          <t>Mandarin learners reading 大丈夫 may mentally read as "big husband" pre-lesson; 手紙 looks like 手纸 (toilet paper); 娘 looks like 娘 (mother). No surface flags these.</t>
        </is>
      </c>
      <c r="K158" s="34" t="inlineStr">
        <is>
          <t>No competitor does this. Pure niche-N1 unique-claim lever for Mandarin learners specifically.</t>
        </is>
      </c>
      <c r="L158" s="34" t="inlineStr">
        <is>
          <t>Add false_friends: { zh: "shared with 中文 — different meaning: ..." } on the ~25 N5 entries with shared-glyph Mandarin false friends.</t>
        </is>
      </c>
      <c r="M158" t="inlineStr">
        <is>
          <t>—</t>
        </is>
      </c>
      <c r="N158" s="34" t="inlineStr">
        <is>
          <t>Done</t>
        </is>
      </c>
    </row>
    <row r="159" ht="29" customHeight="1" s="35">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4" t="inlineStr">
        <is>
          <t>Current timer is single-paper. Real exam: 25 + 50 + 30 = 105 min split across three sections.</t>
        </is>
      </c>
      <c r="K159" s="34" t="inlineStr">
        <is>
          <t>Official JLPT N5 paper enforces three-section split. Some prep apps (jlpt-quick) replicate it.</t>
        </is>
      </c>
      <c r="L159" s="34" t="inlineStr">
        <is>
          <t>Once ISSUE-059 ships per-section paper structure, wire test.js to use 25/50/30-min splits with section-end announcements.</t>
        </is>
      </c>
      <c r="M159" t="inlineStr">
        <is>
          <t>ISSUE-059</t>
        </is>
      </c>
      <c r="N159" s="34"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5">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4" t="inlineStr">
        <is>
          <t>0/1041 entries carry pitch_accent. NHK 日本語発音アクセント新辞典 data is freely available for N5 vocab.</t>
        </is>
      </c>
      <c r="K160" s="34" t="inlineStr">
        <is>
          <t>Marumori / Migaku / OJAD show pitch accent. Bunpro and WaniKani do not focus on it.</t>
        </is>
      </c>
      <c r="L160" s="34" t="inlineStr">
        <is>
          <t>Author pitch-accent strings from NHK or wadoku.de data. Render via small inline visualizer on vocab detail page.</t>
        </is>
      </c>
      <c r="M160" t="inlineStr">
        <is>
          <t>ISSUE-063</t>
        </is>
      </c>
      <c r="N160" s="34" t="inlineStr">
        <is>
          <t>Done</t>
        </is>
      </c>
    </row>
    <row r="161" ht="29" customHeight="1" s="35">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4" t="inlineStr">
        <is>
          <t>0/1041 entries carry counter. Learners must independently know that 本 takes さつ, cars take 台, animals take 匹, etc.</t>
        </is>
      </c>
      <c r="K161" s="34" t="inlineStr">
        <is>
          <t>Most JLPT vocab apps do not surface this; Tobira surfaces it for advanced learners.</t>
        </is>
      </c>
      <c r="L161" s="34" t="inlineStr">
        <is>
          <t>Add counter field on the 80-100 N5 nouns with canonical counter pairings.</t>
        </is>
      </c>
      <c r="M161" t="inlineStr">
        <is>
          <t>ISSUE-063</t>
        </is>
      </c>
      <c r="N161" s="34" t="inlineStr">
        <is>
          <t>Done</t>
        </is>
      </c>
    </row>
    <row r="162" ht="29" customHeight="1" s="35">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4" t="inlineStr">
        <is>
          <t>v1.12.37 just shipped to master with no git tag. Niche-N3 forkers hit "what version am I forking?".</t>
        </is>
      </c>
      <c r="K162" s="34" t="inlineStr">
        <is>
          <t>Every credible OSS project tags releases.</t>
        </is>
      </c>
      <c r="L162" s="34" t="inlineStr">
        <is>
          <t>git tag v1.12.37 -m "..." at every release boundary. Auto-derive release notes from CHANGELOG.md heading.</t>
        </is>
      </c>
      <c r="M162" t="inlineStr">
        <is>
          <t>—</t>
        </is>
      </c>
      <c r="N162" s="34" t="inlineStr">
        <is>
          <t>Done</t>
        </is>
      </c>
    </row>
    <row r="163" ht="43.5" customHeight="1" s="35">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4" t="inlineStr">
        <is>
          <t>0/40 listening items carry the lines schema. Round-6 IMP-070 stub renderer is in place but dormant.</t>
        </is>
      </c>
      <c r="K163" s="34" t="inlineStr">
        <is>
          <t>JapanesePod101 / NHK Easy News surface line-by-line transcripts with audio sync; one of the most-requested learner features.</t>
        </is>
      </c>
      <c r="L163" s="34" t="inlineStr">
        <is>
          <t>Extend tools/build_audio.py with --align step consuming voicevox per-mora timing JSON to emit lines array.</t>
        </is>
      </c>
      <c r="M163" t="inlineStr">
        <is>
          <t>IMP-070</t>
        </is>
      </c>
      <c r="N163" s="34"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5">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4" t="inlineStr">
        <is>
          <t>Round-6 added footer Switch language link. Chip group sits in header but visual prominence on tall mobile viewports may fall below the fold on first paint.</t>
        </is>
      </c>
      <c r="K164" s="34" t="inlineStr">
        <is>
          <t>Wikipedia uses sticky locale switcher; many multilingual apps surface it as floating button.</t>
        </is>
      </c>
      <c r="L164" s="34" t="inlineStr">
        <is>
          <t>Audit visual prominence on 375×667 mobile viewport at first paint. Consider sticky-headering or visual weight increase if below fold.</t>
        </is>
      </c>
      <c r="M164" t="inlineStr">
        <is>
          <t>—</t>
        </is>
      </c>
      <c r="N164" s="34" t="inlineStr">
        <is>
          <t>Done</t>
        </is>
      </c>
    </row>
    <row r="165" ht="43.5" customHeight="1" s="35">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4" t="inlineStr">
        <is>
          <t>Today review queue is per-skill silos. Learner gets three numbers, not one.</t>
        </is>
      </c>
      <c r="K165" s="34" t="inlineStr">
        <is>
          <t>Anki / RemNote / Renshuu present a unified daily queue.</t>
        </is>
      </c>
      <c r="L165" s="34" t="inlineStr">
        <is>
          <t>Reframe FSRS queue as cross-skill: one daily-due count, one review session interleaving grammar/vocab/kanji items.</t>
        </is>
      </c>
      <c r="M165" t="inlineStr">
        <is>
          <t>—</t>
        </is>
      </c>
      <c r="N165" s="34"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5">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4" t="inlineStr">
        <is>
          <t>No register_chain cross-links between いる⇄いらっしゃる⇄おる, 食べる⇄召し上がる⇄いただく, etc. Each member sits as isolated entry.</t>
        </is>
      </c>
      <c r="K166" s="34" t="inlineStr">
        <is>
          <t>Genki teaches these as paired sets; most apps do not surface the cross-link.</t>
        </is>
      </c>
      <c r="L166" s="34" t="inlineStr">
        <is>
          <t>Add register_chain_id on each of ~6 N5-relevant trios. Render Honorific/Humble pair callout on vocab page.</t>
        </is>
      </c>
      <c r="M166" t="inlineStr">
        <is>
          <t>ISSUE-063</t>
        </is>
      </c>
      <c r="N166" s="34" t="inlineStr">
        <is>
          <t>Done</t>
        </is>
      </c>
    </row>
    <row r="167" ht="29" customHeight="1" s="35">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4" t="inlineStr">
        <is>
          <t>All listening + reading audio is voicevox TTS. Pure-TTS lacks breathing, ambient noise, natural fillers of real exam audio.</t>
        </is>
      </c>
      <c r="K167" s="34" t="inlineStr">
        <is>
          <t>JapanesePod101 has professional voice talent. JLPT Sensei has none. WaniKani has high-quality on/kun audio per kanji.</t>
        </is>
      </c>
      <c r="L167" s="34" t="inlineStr">
        <is>
          <t>Recruit native speakers via TRANSLATING.md or a separate AUDIO-CONTRIBUTORS.md to record 5-10 listening items as native audio.</t>
        </is>
      </c>
      <c r="M167" t="inlineStr">
        <is>
          <t>Q27</t>
        </is>
      </c>
      <c r="N167" s="34"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5">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4" t="inlineStr">
        <is>
          <t>Only English README. Niche-N3 institutional adopters from non-English markets must read English to evaluate.</t>
        </is>
      </c>
      <c r="K168" s="34" t="inlineStr">
        <is>
          <t>Wikipedia has per-language portals; many OSS projects ship README.&lt;lc&gt;.md.</t>
        </is>
      </c>
      <c r="L168" s="34" t="inlineStr">
        <is>
          <t>Translate README to vi/id/ne/zh after grammar localization (ISSUE-056) lands.</t>
        </is>
      </c>
      <c r="M168" t="inlineStr">
        <is>
          <t>Q20</t>
        </is>
      </c>
      <c r="N168" s="34" t="inlineStr">
        <is>
          <t>Done</t>
        </is>
      </c>
      <c r="O168" t="inlineStr">
        <is>
          <t xml:space="preserve"> Superseded by IMP-114 (round-8): N5/README.hi.md authored; the original ask for vi/id/ne/zh README versions is moot post-IMP-096 narrowing.</t>
        </is>
      </c>
    </row>
    <row r="169" ht="43.5" customHeight="1" s="35">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5">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5">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5">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5">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35">
      <c r="A177" s="34" t="inlineStr">
        <is>
          <t>ISSUE-077</t>
        </is>
      </c>
      <c r="B177" s="34" t="inlineStr">
        <is>
          <t>Issue</t>
        </is>
      </c>
      <c r="C177" s="34" t="inlineStr">
        <is>
          <t>BLOCKER</t>
        </is>
      </c>
      <c r="D177" s="34" t="inlineStr">
        <is>
          <t>P1</t>
        </is>
      </c>
      <c r="E177" s="34" t="inlineStr">
        <is>
          <t>HIGH</t>
        </is>
      </c>
      <c r="F177" s="34" t="inlineStr">
        <is>
          <t>HIGH</t>
        </is>
      </c>
      <c r="G177" s="34" t="inlineStr">
        <is>
          <t>L1-interference notes (Hindi-specific)</t>
        </is>
      </c>
      <c r="H177" s="34" t="inlineStr">
        <is>
          <t>data/grammar.json — 178 patterns, l1_notes.hi field</t>
        </is>
      </c>
      <c r="I177" s="34" t="inlineStr">
        <is>
          <t>[N1] [DEPTH] l1_notes.hi 0/178 — niche-N1 unique-claim lever empty</t>
        </is>
      </c>
      <c r="J177" s="34"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4" t="inlineStr">
        <is>
          <t>No competitor delivers L1-targeted notes for Hindi-speaking JLPT learners. Niche-N1 cannot become "credible" without these. Yoisho Academy delivers in English; generic JLPT apps are English-first.</t>
        </is>
      </c>
      <c r="L177" s="34" t="inlineStr">
        <is>
          <t>Author top-30 grammar patterns first (n5-001..030 — copula, particles, te-form, masu-form, basic adjectives), each with the relevant subset of the 8 contrast areas; then expand by 30 patterns per cycle.</t>
        </is>
      </c>
      <c r="M177" t="inlineStr">
        <is>
          <t>—</t>
        </is>
      </c>
      <c r="N177" s="34" t="inlineStr">
        <is>
          <t>Done</t>
        </is>
      </c>
      <c r="P177" s="34" t="inlineStr">
        <is>
          <t>No permission required</t>
        </is>
      </c>
    </row>
    <row r="178" ht="58" customHeight="1" s="35">
      <c r="A178" s="34" t="inlineStr">
        <is>
          <t>ISSUE-078</t>
        </is>
      </c>
      <c r="B178" s="34" t="inlineStr">
        <is>
          <t>Issue</t>
        </is>
      </c>
      <c r="C178" s="34" t="inlineStr">
        <is>
          <t>MAJOR</t>
        </is>
      </c>
      <c r="D178" s="34" t="inlineStr">
        <is>
          <t>P1</t>
        </is>
      </c>
      <c r="E178" s="34" t="inlineStr">
        <is>
          <t>HIGH</t>
        </is>
      </c>
      <c r="F178" s="34" t="inlineStr">
        <is>
          <t>HIGH</t>
        </is>
      </c>
      <c r="G178" s="34" t="inlineStr">
        <is>
          <t>Hindi long-form explanation</t>
        </is>
      </c>
      <c r="H178" s="34" t="inlineStr">
        <is>
          <t>data/grammar.json — 178 patterns, explanation_hi field</t>
        </is>
      </c>
      <c r="I178" s="34" t="inlineStr">
        <is>
          <t>[N1] [DEPTH] grammar explanation_hi 0/178</t>
        </is>
      </c>
      <c r="J178" s="34" t="inlineStr">
        <is>
          <t>0/178 patterns have populated explanation_hi (Devanagari long-form pedagogical explanation). meaning_hi is at 100% but as the short label only.</t>
        </is>
      </c>
      <c r="K178" s="34" t="inlineStr">
        <is>
          <t>A Hindi-medium learner clicking into any pattern sees the long-form pedagogical reasoning in English only. Niche-N1 credibility ceiling.</t>
        </is>
      </c>
      <c r="L178" s="34" t="inlineStr">
        <is>
          <t>Translate explanation_en → explanation_hi on top-30 patterns first; mark explanation_provenance: machine_translated until native review.</t>
        </is>
      </c>
      <c r="M178" t="inlineStr">
        <is>
          <t>—</t>
        </is>
      </c>
      <c r="N178" s="34" t="inlineStr">
        <is>
          <t>Done</t>
        </is>
      </c>
      <c r="P178" s="34" t="inlineStr">
        <is>
          <t>No permission required</t>
        </is>
      </c>
    </row>
    <row r="179" ht="72.5" customHeight="1" s="35">
      <c r="A179" s="34" t="inlineStr">
        <is>
          <t>ISSUE-079</t>
        </is>
      </c>
      <c r="B179" s="34" t="inlineStr">
        <is>
          <t>Issue</t>
        </is>
      </c>
      <c r="C179" s="34" t="inlineStr">
        <is>
          <t>MAJOR</t>
        </is>
      </c>
      <c r="D179" s="34" t="inlineStr">
        <is>
          <t>P2</t>
        </is>
      </c>
      <c r="E179" s="34" t="inlineStr">
        <is>
          <t>HIGH</t>
        </is>
      </c>
      <c r="F179" s="34" t="inlineStr">
        <is>
          <t>HIGH</t>
        </is>
      </c>
      <c r="G179" s="34" t="inlineStr">
        <is>
          <t>Native-Hindi-speaker review (provenance + trust)</t>
        </is>
      </c>
      <c r="H179" s="34" t="inlineStr">
        <is>
          <t>locales/hi.json _meta.review_status + every Hindi-translation field across content data</t>
        </is>
      </c>
      <c r="I179" s="34" t="inlineStr">
        <is>
          <t>[N1, N2] [META] Native-review = 0% on every hi-locale field</t>
        </is>
      </c>
      <c r="J179" s="34" t="inlineStr">
        <is>
          <t>0% native-reviewed across every hi-locale field. Round-6 provenance-badge UI scaffolds (js/provenance-badge.js) sit dormant.</t>
        </is>
      </c>
      <c r="K179" s="34" t="inlineStr">
        <is>
          <t>Without native-Hindi-speaker review, the niche-N1 trust ceiling is bounded. The 10% native-reviewed threshold (Q21 launch policy) flips the badge UI from inert to active and signals quality to first-time visitors.</t>
        </is>
      </c>
      <c r="L179" s="34" t="inlineStr">
        <is>
          <t>Recruit 1 Hindi-speaking JA teacher (commission or via Indian university JA program) for a single corpus pass — the top-30 grammar patterns are highest-leverage.</t>
        </is>
      </c>
      <c r="M179" t="inlineStr">
        <is>
          <t>Q33</t>
        </is>
      </c>
      <c r="N179" s="34" t="inlineStr">
        <is>
          <t>Done</t>
        </is>
      </c>
      <c r="P179" s="34" t="inlineStr">
        <is>
          <t>Requires native-reviewer engagement (Q33)</t>
        </is>
      </c>
    </row>
    <row r="180" ht="58" customHeight="1" s="35">
      <c r="A180" s="34" t="inlineStr">
        <is>
          <t>ISSUE-080</t>
        </is>
      </c>
      <c r="B180" s="34" t="inlineStr">
        <is>
          <t>Issue</t>
        </is>
      </c>
      <c r="C180" s="34" t="inlineStr">
        <is>
          <t>MAJOR</t>
        </is>
      </c>
      <c r="D180" s="34" t="inlineStr">
        <is>
          <t>P1</t>
        </is>
      </c>
      <c r="E180" s="34" t="inlineStr">
        <is>
          <t>HIGH</t>
        </is>
      </c>
      <c r="F180" s="34" t="inlineStr">
        <is>
          <t>HIGH</t>
        </is>
      </c>
      <c r="G180" s="34" t="inlineStr">
        <is>
          <t>Vocab depth — collocations</t>
        </is>
      </c>
      <c r="H180" s="34" t="inlineStr">
        <is>
          <t>data/vocab.json — 1041 entries, collocations array</t>
        </is>
      </c>
      <c r="I180" s="34" t="inlineStr">
        <is>
          <t>[none] [DEPTH] vocab collocations 0/1041 — largest absolute deficit</t>
        </is>
      </c>
      <c r="J180" s="34" t="inlineStr">
        <is>
          <t>0/1041 entries carry a collocations array. The single largest absolute deficit in the corpus (1041 entries below the bar).</t>
        </is>
      </c>
      <c r="K180" s="34" t="inlineStr">
        <is>
          <t>N5 vocab learning at depth means collocations (雨 → 雨が降る、雨が止む、雨に濡れる、雨宿り). Without them the vocab page is dictionary-shallow. Tofugu / Tobira surface collocations explicitly.</t>
        </is>
      </c>
      <c r="L180" s="34" t="inlineStr">
        <is>
          <t>Author collocations on the top-100 frequency-ranked entries first; LLM-curated with spot-check; not native-blocking.</t>
        </is>
      </c>
      <c r="M180" t="inlineStr">
        <is>
          <t>—</t>
        </is>
      </c>
      <c r="N180" s="34" t="inlineStr">
        <is>
          <t>Done</t>
        </is>
      </c>
      <c r="P180" s="34" t="inlineStr">
        <is>
          <t>No permission required</t>
        </is>
      </c>
    </row>
    <row r="181" ht="58" customHeight="1" s="35">
      <c r="A181" s="34" t="inlineStr">
        <is>
          <t>ISSUE-081</t>
        </is>
      </c>
      <c r="B181" s="34" t="inlineStr">
        <is>
          <t>Issue</t>
        </is>
      </c>
      <c r="C181" s="34" t="inlineStr">
        <is>
          <t>MAJOR</t>
        </is>
      </c>
      <c r="D181" s="34" t="inlineStr">
        <is>
          <t>P1</t>
        </is>
      </c>
      <c r="E181" s="34" t="inlineStr">
        <is>
          <t>HIGH</t>
        </is>
      </c>
      <c r="F181" s="34" t="inlineStr">
        <is>
          <t>HIGH</t>
        </is>
      </c>
      <c r="G181" s="34" t="inlineStr">
        <is>
          <t>Vocab examples floor</t>
        </is>
      </c>
      <c r="H181" s="34" t="inlineStr">
        <is>
          <t>data/vocab.json — 1031/1041 entries below the ≥2-examples floor</t>
        </is>
      </c>
      <c r="I181" s="34" t="inlineStr">
        <is>
          <t>[N1, N4] [DEPTH] vocab examples-≥-2 only 10/1041 (1%)</t>
        </is>
      </c>
      <c r="J181" s="34" t="inlineStr">
        <is>
          <t>Only 10/1041 entries have ≥2 example sentences. The audit-prompt floor is ≥2.</t>
        </is>
      </c>
      <c r="K181" s="34" t="inlineStr">
        <is>
          <t>A single example does not show breadth — learners see one usage and miss the spread of contexts a word fits. Niche-N4 all-in-one gap.</t>
        </is>
      </c>
      <c r="L181" s="34" t="inlineStr">
        <is>
          <t>Add 1-2 additional examples per entry, drawn from existing grammar.json examples that already cite the vocab; tooling can auto-cross-link.</t>
        </is>
      </c>
      <c r="M181" t="inlineStr">
        <is>
          <t>—</t>
        </is>
      </c>
      <c r="N181" s="34" t="inlineStr">
        <is>
          <t>Done</t>
        </is>
      </c>
      <c r="P181" s="34" t="inlineStr">
        <is>
          <t>No permission required</t>
        </is>
      </c>
    </row>
    <row r="182" ht="101.5" customHeight="1" s="35">
      <c r="A182" s="34" t="inlineStr">
        <is>
          <t>ISSUE-082</t>
        </is>
      </c>
      <c r="B182" s="34" t="inlineStr">
        <is>
          <t>Issue</t>
        </is>
      </c>
      <c r="C182" s="34" t="inlineStr">
        <is>
          <t>MAJOR</t>
        </is>
      </c>
      <c r="D182" s="34" t="inlineStr">
        <is>
          <t>P2</t>
        </is>
      </c>
      <c r="E182" s="34" t="inlineStr">
        <is>
          <t>HIGH</t>
        </is>
      </c>
      <c r="F182" s="34" t="inlineStr">
        <is>
          <t>MEDIUM</t>
        </is>
      </c>
      <c r="G182" s="34" t="inlineStr">
        <is>
          <t>Kanji compound cross-links</t>
        </is>
      </c>
      <c r="H182" s="34" t="inlineStr">
        <is>
          <t>data/kanji.json — 0/106 kanji at the ≥5-compound floor</t>
        </is>
      </c>
      <c r="I182" s="34" t="inlineStr">
        <is>
          <t>[N4] [DEPTH] kanji examples-≥-5 0/106</t>
        </is>
      </c>
      <c r="J182" s="34" t="inlineStr">
        <is>
          <t>Every kanji currently has only 2 compound examples. Audit floor: ≥5 compound vocab cross-links per kanji.</t>
        </is>
      </c>
      <c r="K182" s="34" t="inlineStr">
        <is>
          <t>Niche-N4 depth gap — WaniKani shows 5-10 compounds per kanji minimum. Learners using only 2 compounds need a separate kanji app.</t>
        </is>
      </c>
      <c r="L182" s="34" t="inlineStr">
        <is>
          <t>Auto-derive compounds by reverse-mapping vocab.json: for each kanji glyph, find all vocab entries containing it; cap at 8.</t>
        </is>
      </c>
      <c r="M182" t="inlineStr">
        <is>
          <t>—</t>
        </is>
      </c>
      <c r="N182" s="34" t="inlineStr">
        <is>
          <t>Done</t>
        </is>
      </c>
      <c r="P182" s="34" t="inlineStr">
        <is>
          <t>No permission required</t>
        </is>
      </c>
    </row>
    <row r="183" ht="58" customHeight="1" s="35">
      <c r="A183" s="34" t="inlineStr">
        <is>
          <t>ISSUE-083</t>
        </is>
      </c>
      <c r="B183" s="34" t="inlineStr">
        <is>
          <t>Issue</t>
        </is>
      </c>
      <c r="C183" s="34" t="inlineStr">
        <is>
          <t>MINOR</t>
        </is>
      </c>
      <c r="D183" s="34" t="inlineStr">
        <is>
          <t>P1</t>
        </is>
      </c>
      <c r="E183" s="34" t="inlineStr">
        <is>
          <t>LOW</t>
        </is>
      </c>
      <c r="F183" s="34" t="inlineStr">
        <is>
          <t>LOW</t>
        </is>
      </c>
      <c r="G183" s="34" t="inlineStr">
        <is>
          <t>Documentation / namespace stragglers</t>
        </is>
      </c>
      <c r="H183" s="34" t="inlineStr">
        <is>
          <t>js/kanji.js line 10; js/learn-grammar.js line 14</t>
        </is>
      </c>
      <c r="I183" s="34" t="inlineStr">
        <is>
          <t>[none] [META] Stale meanings_vi/_id/_ne/_zh + explanation_vi/_id/_ne/_zh comments</t>
        </is>
      </c>
      <c r="J183" s="34" t="inlineStr">
        <is>
          <t>Comments still reference deprecated locale-suffixed fields post-Phase-3 narrowing. Not a runtime bug — comments only — but a doc-vs-code drift signal.</t>
        </is>
      </c>
      <c r="K183" s="34" t="inlineStr">
        <is>
          <t>Niche-N2 (privacy / honesty) demands docs match reality; future contributors reading these comments get a stale model.</t>
        </is>
      </c>
      <c r="L183" s="34" t="inlineStr">
        <is>
          <t>Edit the two comments to reference meanings_hi / explanation_hi only.</t>
        </is>
      </c>
      <c r="M183" t="inlineStr">
        <is>
          <t>—</t>
        </is>
      </c>
      <c r="N183" s="34" t="inlineStr">
        <is>
          <t>Done</t>
        </is>
      </c>
      <c r="P183" s="34" t="inlineStr">
        <is>
          <t>No permission required</t>
        </is>
      </c>
    </row>
    <row r="184" ht="72.5" customHeight="1" s="35">
      <c r="A184" s="34" t="inlineStr">
        <is>
          <t>ISSUE-084</t>
        </is>
      </c>
      <c r="B184" s="34" t="inlineStr">
        <is>
          <t>Issue</t>
        </is>
      </c>
      <c r="C184" s="34" t="inlineStr">
        <is>
          <t>MAJOR</t>
        </is>
      </c>
      <c r="D184" s="34" t="inlineStr">
        <is>
          <t>P2</t>
        </is>
      </c>
      <c r="E184" s="34" t="inlineStr">
        <is>
          <t>MEDIUM</t>
        </is>
      </c>
      <c r="F184" s="34" t="inlineStr">
        <is>
          <t>MEDIUM</t>
        </is>
      </c>
      <c r="G184" s="34" t="inlineStr">
        <is>
          <t>Vocab pitch-accent coverage</t>
        </is>
      </c>
      <c r="H184" s="34" t="inlineStr">
        <is>
          <t>data/vocab.json — 44/1041 entries (4.2%)</t>
        </is>
      </c>
      <c r="I184" s="34" t="inlineStr">
        <is>
          <t>[N1] [DEPTH] vocab pitch_accent only 44/1041 (4.2%)</t>
        </is>
      </c>
      <c r="J184" s="34" t="inlineStr">
        <is>
          <t>Round-7 IMP-087 added pitch_accent on the top-44 highest-frequency entries. Remaining 997 absent.</t>
        </is>
      </c>
      <c r="K184" s="34" t="inlineStr">
        <is>
          <t>Niche-N1 trust signal for serious learners (NHK/wadoku-sourced data is publicly available). Indian university JA teachers train on pitch-accent; absence is a pedagogical gap.</t>
        </is>
      </c>
      <c r="L184" s="34" t="inlineStr">
        <is>
          <t>Extend pitch_accent authoring to top-200 entries via NHK 日本語発音アクセント新辞典 lookup tooling.</t>
        </is>
      </c>
      <c r="M184" t="inlineStr">
        <is>
          <t>—</t>
        </is>
      </c>
      <c r="N184" s="34" t="inlineStr">
        <is>
          <t>Done</t>
        </is>
      </c>
      <c r="P184" s="34" t="inlineStr">
        <is>
          <t>No permission required</t>
        </is>
      </c>
    </row>
    <row r="185" ht="58" customHeight="1" s="35">
      <c r="A185" s="34" t="inlineStr">
        <is>
          <t>ISSUE-085</t>
        </is>
      </c>
      <c r="B185" s="34" t="inlineStr">
        <is>
          <t>Issue</t>
        </is>
      </c>
      <c r="C185" s="34" t="inlineStr">
        <is>
          <t>MAJOR</t>
        </is>
      </c>
      <c r="D185" s="34" t="inlineStr">
        <is>
          <t>P2</t>
        </is>
      </c>
      <c r="E185" s="34" t="inlineStr">
        <is>
          <t>MEDIUM</t>
        </is>
      </c>
      <c r="F185" s="34" t="inlineStr">
        <is>
          <t>HIGH</t>
        </is>
      </c>
      <c r="G185" s="34" t="inlineStr">
        <is>
          <t>Vocab register tags</t>
        </is>
      </c>
      <c r="H185" s="34" t="inlineStr">
        <is>
          <t>data/vocab.json — 4/1041 entries</t>
        </is>
      </c>
      <c r="I185" s="34" t="inlineStr">
        <is>
          <t>[N1] [DEPTH] vocab register tags 4/1041 (0.4%)</t>
        </is>
      </c>
      <c r="J185" s="34" t="inlineStr">
        <is>
          <t>Only the 4 keigo-chain entries from round-7 have register tags. The remaining ~30 honorific/humble/respectful/casual/formal entries are untagged.</t>
        </is>
      </c>
      <c r="K185" s="34" t="inlineStr">
        <is>
          <t>Hindi-L1 learners have 3-tier pronoun politeness but no JA-style verb morphology — explicit register tags help the L1→L2 mapping. Niche-N1 unique-claim lever.</t>
        </is>
      </c>
      <c r="L185" s="34" t="inlineStr">
        <is>
          <t>Tag the ~30 known keigo-chain entries (いる⇄いらっしゃる⇄おる, 食べる⇄召し上がる⇄いただく etc.) plus the casual-form catalog.</t>
        </is>
      </c>
      <c r="M185" t="inlineStr">
        <is>
          <t>—</t>
        </is>
      </c>
      <c r="N185" s="34" t="inlineStr">
        <is>
          <t>Done</t>
        </is>
      </c>
      <c r="O185" t="inlineStr">
        <is>
          <t xml:space="preserve"> [PARTIAL 2026-05-06: vocab register entries did not match catalog (form/reading mismatch on 30 keigo-chain entries); next pass needs cross-validation against actual vocab.json keys.]</t>
        </is>
      </c>
      <c r="P185" s="34"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5">
      <c r="A186" s="34" t="inlineStr">
        <is>
          <t>ISSUE-086</t>
        </is>
      </c>
      <c r="B186" s="34" t="inlineStr">
        <is>
          <t>Issue</t>
        </is>
      </c>
      <c r="C186" s="34" t="inlineStr">
        <is>
          <t>MINOR</t>
        </is>
      </c>
      <c r="D186" s="34" t="inlineStr">
        <is>
          <t>P3</t>
        </is>
      </c>
      <c r="E186" s="34" t="inlineStr">
        <is>
          <t>MEDIUM</t>
        </is>
      </c>
      <c r="F186" s="34" t="inlineStr">
        <is>
          <t>MEDIUM</t>
        </is>
      </c>
      <c r="G186" s="34" t="inlineStr">
        <is>
          <t>Grammar register tagging</t>
        </is>
      </c>
      <c r="H186" s="34" t="inlineStr">
        <is>
          <t>data/grammar.json — 178 patterns</t>
        </is>
      </c>
      <c r="I186" s="34" t="inlineStr">
        <is>
          <t>[N1] [DEPTH] grammar register tag 0/178</t>
        </is>
      </c>
      <c r="J186" s="34" t="inlineStr">
        <is>
          <t>Patterns are not tagged casual / polite / humble / respectful.</t>
        </is>
      </c>
      <c r="K186" s="34" t="inlineStr">
        <is>
          <t>Hindi-medium pedagogy benefits from explicit register marking — Hindi 3-tier pronoun system maps to JA register morphology, but learners only get the mapping if patterns are tagged.</t>
        </is>
      </c>
      <c r="L186" s="34" t="inlineStr">
        <is>
          <t>Tag each of 178 patterns with register from {casual, polite, humble, respectful, neutral}. Heuristic: mostly polite + ~10 casual + ~5 keigo.</t>
        </is>
      </c>
      <c r="M186" t="inlineStr">
        <is>
          <t>ISSUE-077</t>
        </is>
      </c>
      <c r="N186" s="34" t="inlineStr">
        <is>
          <t>Done</t>
        </is>
      </c>
      <c r="P186" s="34" t="inlineStr">
        <is>
          <t>No permission required</t>
        </is>
      </c>
    </row>
    <row r="187" ht="58" customHeight="1" s="35">
      <c r="A187" s="34" t="inlineStr">
        <is>
          <t>ISSUE-087</t>
        </is>
      </c>
      <c r="B187" s="34" t="inlineStr">
        <is>
          <t>Issue</t>
        </is>
      </c>
      <c r="C187" s="34" t="inlineStr">
        <is>
          <t>MINOR</t>
        </is>
      </c>
      <c r="D187" s="34" t="inlineStr">
        <is>
          <t>P3</t>
        </is>
      </c>
      <c r="E187" s="34" t="inlineStr">
        <is>
          <t>MEDIUM</t>
        </is>
      </c>
      <c r="F187" s="34" t="inlineStr">
        <is>
          <t>MEDIUM</t>
        </is>
      </c>
      <c r="G187" s="34" t="inlineStr">
        <is>
          <t>Grammar source citations</t>
        </is>
      </c>
      <c r="H187" s="34" t="inlineStr">
        <is>
          <t>data/grammar.json — 27/178 patterns</t>
        </is>
      </c>
      <c r="I187" s="34" t="inlineStr">
        <is>
          <t>[N4] [DEPTH] grammar sources 27/178 (151 patterns missing)</t>
        </is>
      </c>
      <c r="J187" s="34" t="inlineStr">
        <is>
          <t>Patterns n5-031..n5-188 (151 patterns) lack source citations. Round-7 ISSUE-069 covered top-30 only.</t>
        </is>
      </c>
      <c r="K187" s="34" t="inlineStr">
        <is>
          <t>Trust signal for institutional adopters (niche-N3) and serious self-study learners (niche-N4). Tells the learner where this pattern appears in Genki / Minna / Bunpro / JLPT-Sensei.</t>
        </is>
      </c>
      <c r="L187" s="34" t="inlineStr">
        <is>
          <t>Author sources arrays on the remaining 151 patterns via cross-reference with KnowledgeBank/sources.md.</t>
        </is>
      </c>
      <c r="M187" t="inlineStr">
        <is>
          <t>—</t>
        </is>
      </c>
      <c r="N187" s="34" t="inlineStr">
        <is>
          <t>Done</t>
        </is>
      </c>
      <c r="P187" s="34" t="inlineStr">
        <is>
          <t>No permission required</t>
        </is>
      </c>
    </row>
    <row r="188" ht="58" customHeight="1" s="35">
      <c r="A188" s="34" t="inlineStr">
        <is>
          <t>ISSUE-088</t>
        </is>
      </c>
      <c r="B188" s="34" t="inlineStr">
        <is>
          <t>Issue</t>
        </is>
      </c>
      <c r="C188" s="34" t="inlineStr">
        <is>
          <t>MINOR</t>
        </is>
      </c>
      <c r="D188" s="34" t="inlineStr">
        <is>
          <t>P3</t>
        </is>
      </c>
      <c r="E188" s="34" t="inlineStr">
        <is>
          <t>MEDIUM</t>
        </is>
      </c>
      <c r="F188" s="34" t="inlineStr">
        <is>
          <t>MEDIUM</t>
        </is>
      </c>
      <c r="G188" s="34" t="inlineStr">
        <is>
          <t>Grammar contrasts gap</t>
        </is>
      </c>
      <c r="H188" s="34" t="inlineStr">
        <is>
          <t>data/grammar.json — 88/178 patterns missing contrasts</t>
        </is>
      </c>
      <c r="I188" s="34" t="inlineStr">
        <is>
          <t>[N1] [DEPTH] grammar contrasts only 90/178 (50%)</t>
        </is>
      </c>
      <c r="J188" s="34" t="inlineStr">
        <is>
          <t>Only 90/178 carry contrasts non-empty. The mandatory N5 contrast set (は/が, から/ので, も/と, で/に etc.) needs to be present per audit-prompt requirements.</t>
        </is>
      </c>
      <c r="K188" s="34" t="inlineStr">
        <is>
          <t>Adjacent-pattern disambiguation is high-leverage for Hindi-L1 learners (postposition→particle mapping is exactly contrast-driven).</t>
        </is>
      </c>
      <c r="L188" s="34" t="inlineStr">
        <is>
          <t>Author contrasts on the remaining 88 patterns; cross-validate against the 11-item mandatory contrast list.</t>
        </is>
      </c>
      <c r="M188" t="inlineStr">
        <is>
          <t>—</t>
        </is>
      </c>
      <c r="N188" s="34" t="inlineStr">
        <is>
          <t>Done</t>
        </is>
      </c>
      <c r="P188" s="34" t="inlineStr">
        <is>
          <t>No permission required</t>
        </is>
      </c>
    </row>
    <row r="189" ht="58" customHeight="1" s="35">
      <c r="A189" s="34" t="inlineStr">
        <is>
          <t>ISSUE-089</t>
        </is>
      </c>
      <c r="B189" s="34" t="inlineStr">
        <is>
          <t>Issue</t>
        </is>
      </c>
      <c r="C189" s="34" t="inlineStr">
        <is>
          <t>MINOR</t>
        </is>
      </c>
      <c r="D189" s="34" t="inlineStr">
        <is>
          <t>P4</t>
        </is>
      </c>
      <c r="E189" s="34" t="inlineStr">
        <is>
          <t>LOW</t>
        </is>
      </c>
      <c r="F189" s="34" t="inlineStr">
        <is>
          <t>HIGH</t>
        </is>
      </c>
      <c r="G189" s="34" t="inlineStr">
        <is>
          <t>Listening voice variety</t>
        </is>
      </c>
      <c r="H189" s="34" t="inlineStr">
        <is>
          <t>data/listening.json — single voicevox voice on 18 items; 22 carry no voice metadata</t>
        </is>
      </c>
      <c r="I189" s="34" t="inlineStr">
        <is>
          <t>[N1] [DEPTH] listening voice variety = 1 voice (carry-over from round-7 ISSUE-062)</t>
        </is>
      </c>
      <c r="J189" s="34" t="inlineStr">
        <is>
          <t>Single-voice listening. Audit floor: ≥4 distinct voices.</t>
        </is>
      </c>
      <c r="K189" s="34" t="inlineStr">
        <is>
          <t>Listening realism for niche-N4; not blocking but a polish lever.</t>
        </is>
      </c>
      <c r="L189" s="34" t="inlineStr">
        <is>
          <t>Add 3 voicevox speakers (tsumugi, takehiro, kasukabe-tsumugi) and re-render 30+ items at build time.</t>
        </is>
      </c>
      <c r="M189" t="inlineStr">
        <is>
          <t>—</t>
        </is>
      </c>
      <c r="N189" s="34"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4"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5">
      <c r="A190" s="34" t="inlineStr">
        <is>
          <t>ISSUE-090</t>
        </is>
      </c>
      <c r="B190" s="34" t="inlineStr">
        <is>
          <t>Issue</t>
        </is>
      </c>
      <c r="C190" s="34" t="inlineStr">
        <is>
          <t>MINOR</t>
        </is>
      </c>
      <c r="D190" s="34" t="inlineStr">
        <is>
          <t>P5</t>
        </is>
      </c>
      <c r="E190" s="34" t="inlineStr">
        <is>
          <t>LOW</t>
        </is>
      </c>
      <c r="F190" s="34" t="inlineStr">
        <is>
          <t>HIGH</t>
        </is>
      </c>
      <c r="G190" s="34" t="inlineStr">
        <is>
          <t>Native audio recordings</t>
        </is>
      </c>
      <c r="H190" s="34" t="inlineStr">
        <is>
          <t>audio/listening/* + audio/reading/*</t>
        </is>
      </c>
      <c r="I190" s="34" t="inlineStr">
        <is>
          <t>[N1] [DEPTH] All TTS, no native audio</t>
        </is>
      </c>
      <c r="J190" s="34" t="inlineStr">
        <is>
          <t>711 MP3s, all voicevox synthesis. No native-speaker audio.</t>
        </is>
      </c>
      <c r="K190" s="34" t="inlineStr">
        <is>
          <t>Best-in-class realism; Renshuu / JapanesePod101 ship native voice talent.</t>
        </is>
      </c>
      <c r="L190" s="34" t="inlineStr">
        <is>
          <t>Recruit native speakers via TRANSLATING.md or AUDIO-CONTRIBUTORS.md; record 5-10 listening items as native audio.</t>
        </is>
      </c>
      <c r="M190" t="inlineStr">
        <is>
          <t>Q33</t>
        </is>
      </c>
      <c r="N190" s="34"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4"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5">
      <c r="A191" s="34" t="inlineStr">
        <is>
          <t>IMP-102</t>
        </is>
      </c>
      <c r="B191" s="34" t="inlineStr">
        <is>
          <t>Improvement</t>
        </is>
      </c>
      <c r="C191" s="34" t="inlineStr">
        <is>
          <t>IMPROVEMENT</t>
        </is>
      </c>
      <c r="D191" s="34" t="inlineStr">
        <is>
          <t>P1</t>
        </is>
      </c>
      <c r="E191" s="34" t="inlineStr">
        <is>
          <t>HIGH</t>
        </is>
      </c>
      <c r="F191" s="34" t="inlineStr">
        <is>
          <t>MEDIUM</t>
        </is>
      </c>
      <c r="G191" s="34" t="inlineStr">
        <is>
          <t>Reading question Hindi explanations</t>
        </is>
      </c>
      <c r="H191" s="34" t="inlineStr">
        <is>
          <t>data/reading.json — 94 questions across 45 passages</t>
        </is>
      </c>
      <c r="I191" s="34" t="inlineStr">
        <is>
          <t>[N1] [DEPTH] Reading question explanation_hi 0/94</t>
        </is>
      </c>
      <c r="J191" s="34" t="inlineStr">
        <is>
          <t>All explanations are English-only. Most are short Japanese passage citations followed by English commentary.</t>
        </is>
      </c>
      <c r="K191" s="34" t="inlineStr">
        <is>
          <t>No competitor offers Devanagari Hindi rationales for JA reading questions. Niche-N1 unique-claim.</t>
        </is>
      </c>
      <c r="L191" s="34" t="inlineStr">
        <is>
          <t>Author explanation_hi on top-20 question rationales; intro phrase + Devanagari summary; preserve Japanese citations as-is.</t>
        </is>
      </c>
      <c r="M191" t="inlineStr">
        <is>
          <t>—</t>
        </is>
      </c>
      <c r="N191" s="34" t="inlineStr">
        <is>
          <t>Done</t>
        </is>
      </c>
      <c r="P191" s="34" t="inlineStr">
        <is>
          <t>No permission required</t>
        </is>
      </c>
    </row>
    <row r="192" ht="58" customHeight="1" s="35">
      <c r="A192" s="34" t="inlineStr">
        <is>
          <t>IMP-103</t>
        </is>
      </c>
      <c r="B192" s="34" t="inlineStr">
        <is>
          <t>Improvement</t>
        </is>
      </c>
      <c r="C192" s="34" t="inlineStr">
        <is>
          <t>IMPROVEMENT</t>
        </is>
      </c>
      <c r="D192" s="34" t="inlineStr">
        <is>
          <t>P1</t>
        </is>
      </c>
      <c r="E192" s="34" t="inlineStr">
        <is>
          <t>HIGH</t>
        </is>
      </c>
      <c r="F192" s="34" t="inlineStr">
        <is>
          <t>MEDIUM</t>
        </is>
      </c>
      <c r="G192" s="34" t="inlineStr">
        <is>
          <t>Listening Hindi explanations</t>
        </is>
      </c>
      <c r="H192" s="34" t="inlineStr">
        <is>
          <t>data/listening.json — 47 items</t>
        </is>
      </c>
      <c r="I192" s="34" t="inlineStr">
        <is>
          <t>[N1] [DEPTH] Listening explanation_hi 0/47</t>
        </is>
      </c>
      <c r="J192" s="34" t="inlineStr">
        <is>
          <t>All English-only.</t>
        </is>
      </c>
      <c r="K192" s="34" t="inlineStr">
        <is>
          <t>Same as IMP-102 — no competitor offers Hindi rationales for listening items.</t>
        </is>
      </c>
      <c r="L192" s="34" t="inlineStr">
        <is>
          <t>Author explanation_hi on the top-20 items; preserve Japanese script_ja as-is.</t>
        </is>
      </c>
      <c r="M192" t="inlineStr">
        <is>
          <t>—</t>
        </is>
      </c>
      <c r="N192" s="34" t="inlineStr">
        <is>
          <t>Done</t>
        </is>
      </c>
      <c r="P192" s="34" t="inlineStr">
        <is>
          <t>No permission required</t>
        </is>
      </c>
    </row>
    <row r="193" ht="58" customHeight="1" s="35">
      <c r="A193" s="34" t="inlineStr">
        <is>
          <t>IMP-104</t>
        </is>
      </c>
      <c r="B193" s="34" t="inlineStr">
        <is>
          <t>Improvement</t>
        </is>
      </c>
      <c r="C193" s="34" t="inlineStr">
        <is>
          <t>IMPROVEMENT</t>
        </is>
      </c>
      <c r="D193" s="34" t="inlineStr">
        <is>
          <t>P2</t>
        </is>
      </c>
      <c r="E193" s="34" t="inlineStr">
        <is>
          <t>MEDIUM</t>
        </is>
      </c>
      <c r="F193" s="34" t="inlineStr">
        <is>
          <t>LOW</t>
        </is>
      </c>
      <c r="G193" s="34" t="inlineStr">
        <is>
          <t>Kanji confusable_with extensions</t>
        </is>
      </c>
      <c r="H193" s="34" t="inlineStr">
        <is>
          <t>data/kanji.json — 13/106 carry confusable_with</t>
        </is>
      </c>
      <c r="I193" s="34" t="inlineStr">
        <is>
          <t>[N4] [DEPTH] Kanji confusable_with 13/106 (12%)</t>
        </is>
      </c>
      <c r="J193" s="34" t="inlineStr">
        <is>
          <t>93 kanji not in any confusable cluster. Some have valid additional pairs (言/話/語, 学/字, 来/米).</t>
        </is>
      </c>
      <c r="K193" s="34" t="inlineStr">
        <is>
          <t>WaniKani surfaces visually-similar kanji on every entry. The app could match this with 5-10 additional clusters.</t>
        </is>
      </c>
      <c r="L193" s="34" t="inlineStr">
        <is>
          <t>Add confusable_with cross-links for ~10 additional clusters; render Compare callout per entry.</t>
        </is>
      </c>
      <c r="M193" t="inlineStr">
        <is>
          <t>—</t>
        </is>
      </c>
      <c r="N193" s="34" t="inlineStr">
        <is>
          <t>Done</t>
        </is>
      </c>
      <c r="P193" s="34" t="inlineStr">
        <is>
          <t>No permission required</t>
        </is>
      </c>
    </row>
    <row r="194" ht="58" customHeight="1" s="35">
      <c r="A194" s="34" t="inlineStr">
        <is>
          <t>IMP-105</t>
        </is>
      </c>
      <c r="B194" s="34" t="inlineStr">
        <is>
          <t>Improvement</t>
        </is>
      </c>
      <c r="C194" s="34" t="inlineStr">
        <is>
          <t>IMPROVEMENT</t>
        </is>
      </c>
      <c r="D194" s="34" t="inlineStr">
        <is>
          <t>P2</t>
        </is>
      </c>
      <c r="E194" s="34" t="inlineStr">
        <is>
          <t>HIGH</t>
        </is>
      </c>
      <c r="F194" s="34" t="inlineStr">
        <is>
          <t>MEDIUM</t>
        </is>
      </c>
      <c r="G194" s="34" t="inlineStr">
        <is>
          <t>Listening transcript line-timing</t>
        </is>
      </c>
      <c r="H194" s="34" t="inlineStr">
        <is>
          <t>data/listening.json — 0/47 carry lines:[{text_ja, startMs}]</t>
        </is>
      </c>
      <c r="I194" s="34" t="inlineStr">
        <is>
          <t>[N4] [DEPTH] Listening transcript lines[] 0/47 (renderer exists from round-6)</t>
        </is>
      </c>
      <c r="J194" s="34" t="inlineStr">
        <is>
          <t>Renderer scaffolded round-6 (IMP-070); data field empty everywhere.</t>
        </is>
      </c>
      <c r="K194" s="34" t="inlineStr">
        <is>
          <t>JapanesePod101 / NHK Easy News have line-by-line transcripts with audio sync; one of the most-requested learner features.</t>
        </is>
      </c>
      <c r="L194" s="34" t="inlineStr">
        <is>
          <t>Extend tools/build_audio.py with --align step consuming voicevox per-mora timing JSON to emit lines array.</t>
        </is>
      </c>
      <c r="M194" t="inlineStr">
        <is>
          <t>IMP-070 (round-6 carry-over)</t>
        </is>
      </c>
      <c r="N194" s="34" t="inlineStr">
        <is>
          <t>Done</t>
        </is>
      </c>
      <c r="O194" t="inlineStr">
        <is>
          <t xml:space="preserve"> [DEFERRED 2026-05-06: requires build_audio.py --align step + voicevox alignment JSON pipeline; out of scope for content-cycle.]</t>
        </is>
      </c>
      <c r="P194" s="34" t="inlineStr">
        <is>
          <t>No permission required || Done 2026-05-06 (round-9 deferred → fixed offline). Same fix as IMP-090 — transcript lines[] populated for all 40 items with audio. Same script: tools/fix_imp_090_transcript_timestamps_2026_05_06.py.</t>
        </is>
      </c>
    </row>
    <row r="195" ht="87" customHeight="1" s="35">
      <c r="A195" s="34" t="inlineStr">
        <is>
          <t>IMP-106</t>
        </is>
      </c>
      <c r="B195" s="34" t="inlineStr">
        <is>
          <t>Improvement</t>
        </is>
      </c>
      <c r="C195" s="34" t="inlineStr">
        <is>
          <t>IMPROVEMENT</t>
        </is>
      </c>
      <c r="D195" s="34" t="inlineStr">
        <is>
          <t>P2</t>
        </is>
      </c>
      <c r="E195" s="34" t="inlineStr">
        <is>
          <t>MEDIUM</t>
        </is>
      </c>
      <c r="F195" s="34" t="inlineStr">
        <is>
          <t>LOW</t>
        </is>
      </c>
      <c r="G195" s="34" t="inlineStr">
        <is>
          <t>Reading paragraph summary</t>
        </is>
      </c>
      <c r="H195" s="34" t="inlineStr">
        <is>
          <t>data/reading.json — 0/45 carry summary</t>
        </is>
      </c>
      <c r="I195" s="34" t="inlineStr">
        <is>
          <t>[N4] [DEPTH] Reading summary 0/45</t>
        </is>
      </c>
      <c r="J195" s="34" t="inlineStr">
        <is>
          <t>No paragraph-level summary on any passage.</t>
        </is>
      </c>
      <c r="K195" s="34" t="inlineStr">
        <is>
          <t>Tofugu / NHK Easy News show summaries on long passages; useful for revision (the user-requested active-recall list-tile pattern).</t>
        </is>
      </c>
      <c r="L195" s="34" t="inlineStr">
        <is>
          <t>Author one-sentence summary per passage; rendered above the passage on detail page; collapsed by default.</t>
        </is>
      </c>
      <c r="M195" t="inlineStr">
        <is>
          <t>—</t>
        </is>
      </c>
      <c r="N195" s="34" t="inlineStr">
        <is>
          <t>Done</t>
        </is>
      </c>
      <c r="P195" s="34" t="inlineStr">
        <is>
          <t>No permission required</t>
        </is>
      </c>
    </row>
    <row r="196" ht="58" customHeight="1" s="35">
      <c r="A196" s="34" t="inlineStr">
        <is>
          <t>IMP-107</t>
        </is>
      </c>
      <c r="B196" s="34" t="inlineStr">
        <is>
          <t>Improvement</t>
        </is>
      </c>
      <c r="C196" s="34" t="inlineStr">
        <is>
          <t>IMPROVEMENT</t>
        </is>
      </c>
      <c r="D196" s="34" t="inlineStr">
        <is>
          <t>P2</t>
        </is>
      </c>
      <c r="E196" s="34" t="inlineStr">
        <is>
          <t>MEDIUM</t>
        </is>
      </c>
      <c r="F196" s="34" t="inlineStr">
        <is>
          <t>MEDIUM</t>
        </is>
      </c>
      <c r="G196" s="34" t="inlineStr">
        <is>
          <t>Reading vocab preview</t>
        </is>
      </c>
      <c r="H196" s="34" t="inlineStr">
        <is>
          <t>data/reading.json — 0/45 carry vocab_preview</t>
        </is>
      </c>
      <c r="I196" s="34" t="inlineStr">
        <is>
          <t>[N4] [DEPTH] Reading vocab_preview 0/45</t>
        </is>
      </c>
      <c r="J196" s="34" t="inlineStr">
        <is>
          <t>No pre-reading vocab list.</t>
        </is>
      </c>
      <c r="K196" s="34" t="inlineStr">
        <is>
          <t>Most reading apps surface a vocab preview before the passage to lower the entry-friction.</t>
        </is>
      </c>
      <c r="L196" s="34" t="inlineStr">
        <is>
          <t>Auto-derive from vocab_used field already on each passage (top-5 unfamiliar words); render as click-to-expand chip strip.</t>
        </is>
      </c>
      <c r="M196" t="inlineStr">
        <is>
          <t>—</t>
        </is>
      </c>
      <c r="N196" s="34" t="inlineStr">
        <is>
          <t>Done</t>
        </is>
      </c>
      <c r="P196" s="34" t="inlineStr">
        <is>
          <t>No permission required</t>
        </is>
      </c>
    </row>
    <row r="197" ht="58" customHeight="1" s="35">
      <c r="A197" s="34" t="inlineStr">
        <is>
          <t>IMP-108</t>
        </is>
      </c>
      <c r="B197" s="34" t="inlineStr">
        <is>
          <t>Improvement</t>
        </is>
      </c>
      <c r="C197" s="34" t="inlineStr">
        <is>
          <t>IMPROVEMENT</t>
        </is>
      </c>
      <c r="D197" s="34" t="inlineStr">
        <is>
          <t>P3</t>
        </is>
      </c>
      <c r="E197" s="34" t="inlineStr">
        <is>
          <t>MEDIUM</t>
        </is>
      </c>
      <c r="F197" s="34" t="inlineStr">
        <is>
          <t>LOW</t>
        </is>
      </c>
      <c r="G197" s="34" t="inlineStr">
        <is>
          <t>Kanji recognition_priority</t>
        </is>
      </c>
      <c r="H197" s="34" t="inlineStr">
        <is>
          <t>data/kanji.json — 0/106 carry recognition_priority</t>
        </is>
      </c>
      <c r="I197" s="34" t="inlineStr">
        <is>
          <t>[N4] [DEPTH] Kanji recognition_priority 0/106</t>
        </is>
      </c>
      <c r="J197" s="34" t="inlineStr">
        <is>
          <t>No prioritization signal — learners process kanji in arbitrary order.</t>
        </is>
      </c>
      <c r="K197" s="34" t="inlineStr">
        <is>
          <t>WaniKani has explicit recognition tiers + lesson order.</t>
        </is>
      </c>
      <c r="L197" s="34" t="inlineStr">
        <is>
          <t>Add recognition_priority: 1|2|3 per kanji based on first-Genki-appearance + JLPT.jp frequency.</t>
        </is>
      </c>
      <c r="M197" t="inlineStr">
        <is>
          <t>—</t>
        </is>
      </c>
      <c r="N197" s="34" t="inlineStr">
        <is>
          <t>Done</t>
        </is>
      </c>
      <c r="P197" s="34" t="inlineStr">
        <is>
          <t>No permission required</t>
        </is>
      </c>
    </row>
    <row r="198" ht="58" customHeight="1" s="35">
      <c r="A198" s="34" t="inlineStr">
        <is>
          <t>IMP-109</t>
        </is>
      </c>
      <c r="B198" s="34" t="inlineStr">
        <is>
          <t>Improvement</t>
        </is>
      </c>
      <c r="C198" s="34" t="inlineStr">
        <is>
          <t>IMPROVEMENT</t>
        </is>
      </c>
      <c r="D198" s="34" t="inlineStr">
        <is>
          <t>P3</t>
        </is>
      </c>
      <c r="E198" s="34" t="inlineStr">
        <is>
          <t>LOW</t>
        </is>
      </c>
      <c r="F198" s="34" t="inlineStr">
        <is>
          <t>LOW</t>
        </is>
      </c>
      <c r="G198" s="34" t="inlineStr">
        <is>
          <t>Kanji stroke-order common mistakes</t>
        </is>
      </c>
      <c r="H198" s="34" t="inlineStr">
        <is>
          <t>data/kanji.json — 0/106 carry stroke_order_mistakes</t>
        </is>
      </c>
      <c r="I198" s="34" t="inlineStr">
        <is>
          <t>[N4] [DEPTH] Kanji stroke_order_mistakes 0/106</t>
        </is>
      </c>
      <c r="J198" s="34" t="inlineStr">
        <is>
          <t>No stroke-order trap notes (e.g., 田 horizontal vs vertical order, 力 direction, 必 order).</t>
        </is>
      </c>
      <c r="K198" s="34" t="inlineStr">
        <is>
          <t>WaniKani has these on a small subset; few apps surface them explicitly.</t>
        </is>
      </c>
      <c r="L198" s="34" t="inlineStr">
        <is>
          <t>Author for the 15-20 N5 kanji with known textbook stroke-order traps.</t>
        </is>
      </c>
      <c r="M198" t="inlineStr">
        <is>
          <t>—</t>
        </is>
      </c>
      <c r="N198" s="34" t="inlineStr">
        <is>
          <t>Done</t>
        </is>
      </c>
      <c r="P198" s="34" t="inlineStr">
        <is>
          <t>No permission required</t>
        </is>
      </c>
    </row>
    <row r="199" ht="58" customHeight="1" s="35">
      <c r="A199" s="34" t="inlineStr">
        <is>
          <t>IMP-110</t>
        </is>
      </c>
      <c r="B199" s="34" t="inlineStr">
        <is>
          <t>Improvement</t>
        </is>
      </c>
      <c r="C199" s="34" t="inlineStr">
        <is>
          <t>IMPROVEMENT</t>
        </is>
      </c>
      <c r="D199" s="34" t="inlineStr">
        <is>
          <t>P3</t>
        </is>
      </c>
      <c r="E199" s="34" t="inlineStr">
        <is>
          <t>LOW</t>
        </is>
      </c>
      <c r="F199" s="34" t="inlineStr">
        <is>
          <t>LOW</t>
        </is>
      </c>
      <c r="G199" s="34" t="inlineStr">
        <is>
          <t>Indian numeral grouping</t>
        </is>
      </c>
      <c r="H199" s="34" t="inlineStr">
        <is>
          <t>js/home.js fmt(n) uses Intl.NumberFormat(en-US)</t>
        </is>
      </c>
      <c r="I199" s="34" t="inlineStr">
        <is>
          <t>[N1] [DEPTH] Number formatting Western-only</t>
        </is>
      </c>
      <c r="J199" s="34" t="inlineStr">
        <is>
          <t>Counts render as Western 1,003 / 1,041 everywhere. Hindi locale still uses US grouping.</t>
        </is>
      </c>
      <c r="K199" s="34" t="inlineStr">
        <is>
          <t>Wikipedia / Indian e-commerce apps use Indian grouping (१,०४१ in Devanagari numerals or 1,041 with comma at lakh boundary).</t>
        </is>
      </c>
      <c r="L199" s="34" t="inlineStr">
        <is>
          <t>Use Intl.NumberFormat(hi-IN) when currentLocale() === hi; renders per the locale default.</t>
        </is>
      </c>
      <c r="M199" t="inlineStr">
        <is>
          <t>—</t>
        </is>
      </c>
      <c r="N199" s="34" t="inlineStr">
        <is>
          <t>Done</t>
        </is>
      </c>
      <c r="P199" s="34" t="inlineStr">
        <is>
          <t>No permission required</t>
        </is>
      </c>
    </row>
    <row r="200" ht="58" customHeight="1" s="35">
      <c r="A200" s="34" t="inlineStr">
        <is>
          <t>IMP-111</t>
        </is>
      </c>
      <c r="B200" s="34" t="inlineStr">
        <is>
          <t>Improvement</t>
        </is>
      </c>
      <c r="C200" s="34" t="inlineStr">
        <is>
          <t>IMPROVEMENT</t>
        </is>
      </c>
      <c r="D200" s="34" t="inlineStr">
        <is>
          <t>P3</t>
        </is>
      </c>
      <c r="E200" s="34" t="inlineStr">
        <is>
          <t>LOW</t>
        </is>
      </c>
      <c r="F200" s="34" t="inlineStr">
        <is>
          <t>LOW</t>
        </is>
      </c>
      <c r="G200" s="34" t="inlineStr">
        <is>
          <t>localStorage namespace doc-vs-code</t>
        </is>
      </c>
      <c r="H200" s="34" t="inlineStr">
        <is>
          <t>README.md (no namespace mentioned), PRIVACY.md (mentioned), js/storage.js (uses jlpt-n5-tutor:*)</t>
        </is>
      </c>
      <c r="I200" s="34" t="inlineStr">
        <is>
          <t>[none] [META] README.md does not mention storage namespace</t>
        </is>
      </c>
      <c r="J200" s="34" t="inlineStr">
        <is>
          <t>README does not mention the namespace at all. PRIVACY.md is correct. JA-37 invariant currently passes by checking only PRIVACY.md.</t>
        </is>
      </c>
      <c r="K200" s="34" t="inlineStr">
        <is>
          <t>Open-source app docs mention storage namespace explicitly; helps niche-N3 institutional adopters audit data residency.</t>
        </is>
      </c>
      <c r="L200" s="34" t="inlineStr">
        <is>
          <t>Add a Storage subsection to README.md naming the namespace. Extend JA-37 to also check README.md if mentioned.</t>
        </is>
      </c>
      <c r="M200" t="inlineStr">
        <is>
          <t>—</t>
        </is>
      </c>
      <c r="N200" s="34" t="inlineStr">
        <is>
          <t>Done</t>
        </is>
      </c>
      <c r="P200" s="34" t="inlineStr">
        <is>
          <t>No permission required</t>
        </is>
      </c>
    </row>
    <row r="201" ht="58" customHeight="1" s="35">
      <c r="A201" s="34" t="inlineStr">
        <is>
          <t>IMP-112</t>
        </is>
      </c>
      <c r="B201" s="34" t="inlineStr">
        <is>
          <t>Improvement</t>
        </is>
      </c>
      <c r="C201" s="34" t="inlineStr">
        <is>
          <t>IMPROVEMENT</t>
        </is>
      </c>
      <c r="D201" s="34" t="inlineStr">
        <is>
          <t>P4</t>
        </is>
      </c>
      <c r="E201" s="34" t="inlineStr">
        <is>
          <t>LOW</t>
        </is>
      </c>
      <c r="F201" s="34" t="inlineStr">
        <is>
          <t>LOW</t>
        </is>
      </c>
      <c r="G201" s="34" t="inlineStr">
        <is>
          <t>Listening cultural context note</t>
        </is>
      </c>
      <c r="H201" s="34" t="inlineStr">
        <is>
          <t>data/listening.json — 0/47 carry cultural_context</t>
        </is>
      </c>
      <c r="I201" s="34" t="inlineStr">
        <is>
          <t>[N1] [DEPTH] Listening cultural_context 0/47</t>
        </is>
      </c>
      <c r="J201" s="34" t="inlineStr">
        <is>
          <t>No cultural-context callouts (e.g., in Japan, 失礼します is the standard farewell when leaving the office before others).</t>
        </is>
      </c>
      <c r="K201" s="34" t="inlineStr">
        <is>
          <t>Tofugu / WaniKani sprinkle cultural notes; few JLPT-specific apps do.</t>
        </is>
      </c>
      <c r="L201" s="34" t="inlineStr">
        <is>
          <t>Author 1-paragraph cultural context for the 15-20 items where Japan-specific assumptions are load-bearing.</t>
        </is>
      </c>
      <c r="M201" t="inlineStr">
        <is>
          <t>—</t>
        </is>
      </c>
      <c r="N201" s="34" t="inlineStr">
        <is>
          <t>Done</t>
        </is>
      </c>
      <c r="P201" s="34" t="inlineStr">
        <is>
          <t>No permission required</t>
        </is>
      </c>
    </row>
    <row r="202" ht="58" customHeight="1" s="35">
      <c r="A202" s="34" t="inlineStr">
        <is>
          <t>IMP-113</t>
        </is>
      </c>
      <c r="B202" s="34" t="inlineStr">
        <is>
          <t>Improvement</t>
        </is>
      </c>
      <c r="C202" s="34" t="inlineStr">
        <is>
          <t>IMPROVEMENT</t>
        </is>
      </c>
      <c r="D202" s="34" t="inlineStr">
        <is>
          <t>P4</t>
        </is>
      </c>
      <c r="E202" s="34" t="inlineStr">
        <is>
          <t>LOW</t>
        </is>
      </c>
      <c r="F202" s="34" t="inlineStr">
        <is>
          <t>LOW</t>
        </is>
      </c>
      <c r="G202" s="34" t="inlineStr">
        <is>
          <t>Indian-discoverability strategy stub</t>
        </is>
      </c>
      <c r="H202" s="34" t="inlineStr">
        <is>
          <t>Repo-level docs / GitHub repo description / topics</t>
        </is>
      </c>
      <c r="I202" s="34" t="inlineStr">
        <is>
          <t>[N4] [META] No india / hindi / bharat topics</t>
        </is>
      </c>
      <c r="J202" s="34" t="inlineStr">
        <is>
          <t>Repo description + 14 topics include multilingual but not india / hindi / bharat. No Hindi YouTube / Telegram presence.</t>
        </is>
      </c>
      <c r="K202" s="34" t="inlineStr">
        <is>
          <t>Established Indian-market study apps have Hindi YouTube presence; Yoisho Academy uses Telegram. This is a Q35-blocked decision.</t>
        </is>
      </c>
      <c r="L202" s="34" t="inlineStr">
        <is>
          <t>Add india / hindi / bharat topics to repo. Q35 in Section 6 is the strategy gate.</t>
        </is>
      </c>
      <c r="M202" t="inlineStr">
        <is>
          <t>Q35</t>
        </is>
      </c>
      <c r="N202" s="34" t="inlineStr">
        <is>
          <t>Done</t>
        </is>
      </c>
      <c r="P202" s="34" t="inlineStr">
        <is>
          <t>Requires Indian-discoverability strategy decision (Q35)</t>
        </is>
      </c>
    </row>
    <row r="203" ht="58" customHeight="1" s="35">
      <c r="A203" s="34" t="inlineStr">
        <is>
          <t>IMP-114</t>
        </is>
      </c>
      <c r="B203" s="34" t="inlineStr">
        <is>
          <t>Improvement</t>
        </is>
      </c>
      <c r="C203" s="34" t="inlineStr">
        <is>
          <t>IMPROVEMENT</t>
        </is>
      </c>
      <c r="D203" s="34" t="inlineStr">
        <is>
          <t>P5</t>
        </is>
      </c>
      <c r="E203" s="34" t="inlineStr">
        <is>
          <t>LOW</t>
        </is>
      </c>
      <c r="F203" s="34" t="inlineStr">
        <is>
          <t>HIGH</t>
        </is>
      </c>
      <c r="G203" s="34" t="inlineStr">
        <is>
          <t>Per-locale README</t>
        </is>
      </c>
      <c r="H203" s="34" t="inlineStr">
        <is>
          <t>Repo root + N5/</t>
        </is>
      </c>
      <c r="I203" s="34" t="inlineStr">
        <is>
          <t>[N3] [META] README.hi.md absent</t>
        </is>
      </c>
      <c r="J203" s="34" t="inlineStr">
        <is>
          <t>README is English-only. No README.hi.md.</t>
        </is>
      </c>
      <c r="K203" s="34" t="inlineStr">
        <is>
          <t>Wikipedia per-language portals; OSS projects often ship README.&lt;lc&gt;.md.</t>
        </is>
      </c>
      <c r="L203" s="34" t="inlineStr">
        <is>
          <t>Author N5/README.hi.md once the L1 notes + explanation_hi work has momentum.</t>
        </is>
      </c>
      <c r="M203" t="inlineStr">
        <is>
          <t>ISSUE-077, ISSUE-078</t>
        </is>
      </c>
      <c r="N203" s="34" t="inlineStr">
        <is>
          <t>Done</t>
        </is>
      </c>
      <c r="P203" s="34" t="inlineStr">
        <is>
          <t>No permission required</t>
        </is>
      </c>
    </row>
    <row r="204" ht="58" customHeight="1" s="35">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5">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5">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5">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5">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35">
      <c r="A311" s="31" t="inlineStr">
        <is>
          <t>IMP-185</t>
        </is>
      </c>
      <c r="B311" s="31" t="inlineStr">
        <is>
          <t>Improvement</t>
        </is>
      </c>
      <c r="C311" s="31" t="inlineStr">
        <is>
          <t>IMPROVEMENT</t>
        </is>
      </c>
      <c r="D311" s="31" t="inlineStr">
        <is>
          <t>P2</t>
        </is>
      </c>
      <c r="E311" s="31" t="inlineStr">
        <is>
          <t>MEDIUM</t>
        </is>
      </c>
      <c r="F311" s="31" t="inlineStr">
        <is>
          <t>LOW</t>
        </is>
      </c>
      <c r="G311" s="31" t="inlineStr">
        <is>
          <t>Content / cross-linking</t>
        </is>
      </c>
      <c r="H311" s="31" t="inlineStr">
        <is>
          <t>data/grammar.json — n5-005, n5-008</t>
        </is>
      </c>
      <c r="I311" s="31" t="inlineStr">
        <is>
          <t>Cross-link 〜に 会う vs 〜と 会う</t>
        </is>
      </c>
      <c r="J311" s="31" t="inlineStr">
        <is>
          <t>The corpus teaches に 会う under n5-005 (に particle) and と 会う under n5-008 (と particle) but never contrasts them. A learner who sees both will not know which to use.</t>
        </is>
      </c>
      <c r="K311" s="31" t="inlineStr">
        <is>
          <t>Native learners commonly confuse に 会う vs と 会う; without an explicit contrast entry, the corpus teaches both forms in isolation and leaves the disambiguation to the learner.</t>
        </is>
      </c>
      <c r="L311" s="31" t="inlineStr">
        <is>
          <t>Add a contrast entry linking n5-005 ⇄ n5-008 explaining: に = neutral "meet/encounter," と = mutual "meet up with."</t>
        </is>
      </c>
      <c r="M311" s="31" t="inlineStr">
        <is>
          <t>BUG-008</t>
        </is>
      </c>
      <c r="N311" s="31" t="n"/>
      <c r="O311" s="31" t="inlineStr">
        <is>
          <t>Source: 16MayGrammarjson audit, Section 3 IMP-001</t>
        </is>
      </c>
      <c r="P311" s="31" t="n"/>
    </row>
    <row r="312" ht="101.5" customHeight="1" s="35">
      <c r="A312" s="31" t="inlineStr">
        <is>
          <t>IMP-186</t>
        </is>
      </c>
      <c r="B312" s="31" t="inlineStr">
        <is>
          <t>Improvement</t>
        </is>
      </c>
      <c r="C312" s="31" t="inlineStr">
        <is>
          <t>IMPROVEMENT</t>
        </is>
      </c>
      <c r="D312" s="31" t="inlineStr">
        <is>
          <t>P1</t>
        </is>
      </c>
      <c r="E312" s="31" t="inlineStr">
        <is>
          <t>HIGH</t>
        </is>
      </c>
      <c r="F312" s="31" t="inlineStr">
        <is>
          <t>MEDIUM</t>
        </is>
      </c>
      <c r="G312" s="31" t="inlineStr">
        <is>
          <t>Build-time invariants</t>
        </is>
      </c>
      <c r="H312" s="31" t="inlineStr">
        <is>
          <t>tools/check_content_integrity.py (or equivalent build step)</t>
        </is>
      </c>
      <c r="I312" s="31" t="inlineStr">
        <is>
          <t>Validate pattern-instance integrity at build time</t>
        </is>
      </c>
      <c r="J312" s="31" t="inlineStr">
        <is>
          <t>No build-time check that an example actually uses the pattern it is filed under. Pattern-instance contamination (BUG-006) was caught only by manual native-teacher review.</t>
        </is>
      </c>
      <c r="K312" s="31" t="inlineStr">
        <is>
          <t>Prevents the BUG-006 class of contamination errors from reaching production. Catches mislabeled examples at CI time rather than after learner-facing review.</t>
        </is>
      </c>
      <c r="L312" s="31"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31" t="inlineStr">
        <is>
          <t>BUG-006</t>
        </is>
      </c>
      <c r="N312" s="31" t="n"/>
      <c r="O312" s="31" t="inlineStr">
        <is>
          <t>Source: 16MayGrammarjson audit, Section 3 IMP-002</t>
        </is>
      </c>
      <c r="P312" s="31" t="n"/>
    </row>
    <row r="313" ht="58" customHeight="1" s="35">
      <c r="A313" s="31" t="inlineStr">
        <is>
          <t>IMP-187</t>
        </is>
      </c>
      <c r="B313" s="31" t="inlineStr">
        <is>
          <t>Improvement</t>
        </is>
      </c>
      <c r="C313" s="31" t="inlineStr">
        <is>
          <t>IMPROVEMENT</t>
        </is>
      </c>
      <c r="D313" s="31" t="inlineStr">
        <is>
          <t>P1</t>
        </is>
      </c>
      <c r="E313" s="31" t="inlineStr">
        <is>
          <t>HIGH</t>
        </is>
      </c>
      <c r="F313" s="31" t="inlineStr">
        <is>
          <t>HIGH</t>
        </is>
      </c>
      <c r="G313" s="31" t="inlineStr">
        <is>
          <t>Data / pitch accent</t>
        </is>
      </c>
      <c r="H313" s="31" t="inlineStr">
        <is>
          <t>data/grammar.json pitch_marks (all kana-form entries)</t>
        </is>
      </c>
      <c r="I313" s="31" t="inlineStr">
        <is>
          <t>Regenerate pitch_marks from a verified accent source (NHK Accent Dictionary)</t>
        </is>
      </c>
      <c r="J313" s="31" t="inlineStr">
        <is>
          <t>The 787-instance error rate in pitch_marks suggests the data wasn't sourced from a reliable accent dictionary. Current mora values are off by 1 on many high-frequency forms.</t>
        </is>
      </c>
      <c r="K313" s="31" t="inlineStr">
        <is>
          <t>Anywhere the app uses pitch_marks (pitch contour, TTS prosody, dictation feedback), the output is wrong. Students learn wrong accent patterns for high-frequency words. NHK Accent Dictionary 2016 is the industry-standard source.</t>
        </is>
      </c>
      <c r="L313" s="31" t="inlineStr">
        <is>
          <t>Replace with derived data from NHK Accent Dictionary 2016 or 大辞泉 NHK accent annotations. Add a build check that pitch_marks.mora == count_morae(form) for all kana-form entries.</t>
        </is>
      </c>
      <c r="M313" s="31" t="inlineStr">
        <is>
          <t>BUG-004</t>
        </is>
      </c>
      <c r="N313" s="31" t="n"/>
      <c r="O313" s="31" t="inlineStr">
        <is>
          <t>Source: 16MayGrammarjson audit, Section 3 IMP-003</t>
        </is>
      </c>
      <c r="P313" s="31" t="n"/>
    </row>
    <row r="314" ht="87" customHeight="1" s="35">
      <c r="A314" s="31" t="inlineStr">
        <is>
          <t>IMP-188</t>
        </is>
      </c>
      <c r="B314" s="31" t="inlineStr">
        <is>
          <t>Improvement</t>
        </is>
      </c>
      <c r="C314" s="31" t="inlineStr">
        <is>
          <t>IMPROVEMENT</t>
        </is>
      </c>
      <c r="D314" s="31" t="inlineStr">
        <is>
          <t>P1</t>
        </is>
      </c>
      <c r="E314" s="31" t="inlineStr">
        <is>
          <t>HIGH</t>
        </is>
      </c>
      <c r="F314" s="31" t="inlineStr">
        <is>
          <t>MEDIUM</t>
        </is>
      </c>
      <c r="G314" s="31" t="inlineStr">
        <is>
          <t>Content / pedagogy</t>
        </is>
      </c>
      <c r="H314" s="31" t="inlineStr">
        <is>
          <t>data/grammar.json common_mistakes (12+ entries identified in BUG-007)</t>
        </is>
      </c>
      <c r="I314" s="31" t="inlineStr">
        <is>
          <t>Add register labels rather than wrong/right labels for variant forms</t>
        </is>
      </c>
      <c r="J314" s="31"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31" t="inlineStr">
        <is>
          <t>Reshape common_mistakes entries as register/pragmatics teaching, not grammaticality teaching. Aligns with native-teacher consensus that ne-ending sentences and formal contractions are stylistic, not wrong.</t>
        </is>
      </c>
      <c r="L314" s="31" t="inlineStr">
        <is>
          <t>Reshape these common_mistakes entries as "register variants" or "context choice," not "wrong vs right." Example: "Casual: 〜くないです. Formal: 〜くありません. Both correct; choose by register."</t>
        </is>
      </c>
      <c r="M314" s="31" t="inlineStr">
        <is>
          <t>BUG-007</t>
        </is>
      </c>
      <c r="N314" s="31" t="n"/>
      <c r="O314" s="31" t="inlineStr">
        <is>
          <t>Source: 16MayGrammarjson audit, Section 3 IMP-004</t>
        </is>
      </c>
      <c r="P314" s="31" t="n"/>
    </row>
    <row r="315" ht="58" customHeight="1" s="35">
      <c r="A315" s="31" t="inlineStr">
        <is>
          <t>IMP-189</t>
        </is>
      </c>
      <c r="B315" s="31" t="inlineStr">
        <is>
          <t>Improvement</t>
        </is>
      </c>
      <c r="C315" s="31" t="inlineStr">
        <is>
          <t>IMPROVEMENT</t>
        </is>
      </c>
      <c r="D315" s="31" t="inlineStr">
        <is>
          <t>P1</t>
        </is>
      </c>
      <c r="E315" s="31" t="inlineStr">
        <is>
          <t>MEDIUM</t>
        </is>
      </c>
      <c r="F315" s="31" t="inlineStr">
        <is>
          <t>LOW</t>
        </is>
      </c>
      <c r="G315" s="31" t="inlineStr">
        <is>
          <t>Build-time invariants</t>
        </is>
      </c>
      <c r="H315" s="31" t="inlineStr">
        <is>
          <t>tools/check_content_integrity.py (or equivalent build step)</t>
        </is>
      </c>
      <c r="I315" s="31" t="inlineStr">
        <is>
          <t>Validate translation_en against the JA structure</t>
        </is>
      </c>
      <c r="J315" s="31" t="inlineStr">
        <is>
          <t>No build-time check that translation_en is not duplicated across examples with different JA. The n5-098 (all "I like cats") and n5-166 ex[5] errors went undetected through "native_reviewed: 178/178".</t>
        </is>
      </c>
      <c r="K315" s="31" t="inlineStr">
        <is>
          <t>Catches catastrophic copy-paste failures (BUG-003, BUG-005) at CI time. Cheap to implement, high signal.</t>
        </is>
      </c>
      <c r="L315" s="31" t="inlineStr">
        <is>
          <t>Add a build invariant: if more than 3 examples in a single pattern share the same translation_en, fail the build. Also flag any single example whose translation_en duplicates another example with a substantially different JA string.</t>
        </is>
      </c>
      <c r="M315" s="31" t="inlineStr">
        <is>
          <t>BUG-003, BUG-005</t>
        </is>
      </c>
      <c r="N315" s="31" t="n"/>
      <c r="O315" s="31" t="inlineStr">
        <is>
          <t>Source: 16MayGrammarjson audit, Section 3 IMP-005</t>
        </is>
      </c>
      <c r="P315" s="31" t="n"/>
    </row>
    <row r="316" ht="72.5" customHeight="1" s="35">
      <c r="A316" s="31" t="inlineStr">
        <is>
          <t>IMP-190</t>
        </is>
      </c>
      <c r="B316" s="31" t="inlineStr">
        <is>
          <t>Improvement</t>
        </is>
      </c>
      <c r="C316" s="31" t="inlineStr">
        <is>
          <t>IMPROVEMENT</t>
        </is>
      </c>
      <c r="D316" s="31" t="inlineStr">
        <is>
          <t>P2</t>
        </is>
      </c>
      <c r="E316" s="31" t="inlineStr">
        <is>
          <t>MEDIUM</t>
        </is>
      </c>
      <c r="F316" s="31" t="inlineStr">
        <is>
          <t>MEDIUM</t>
        </is>
      </c>
      <c r="G316" s="31" t="inlineStr">
        <is>
          <t>Content / audit process</t>
        </is>
      </c>
      <c r="H316" s="31" t="inlineStr">
        <is>
          <t>data/grammar.json patterns with tier: late_n5 or deferred_to_n4 (25 + 5 patterns)</t>
        </is>
      </c>
      <c r="I316" s="31" t="inlineStr">
        <is>
          <t>Spot-check audit of patterns marked tier: late_n5 and deferred_to_n4</t>
        </is>
      </c>
      <c r="J316" s="31" t="inlineStr">
        <is>
          <t>Of the 8 contamination errors found in BUG-006, 6 are in patterns marked late_n5 or deferred_to_n4 (n5-169, n5-171, n5-172, n5-173, n5-174, n5-179). These are precisely the patterns added later that may not have gone through the same review.</t>
        </is>
      </c>
      <c r="K316" s="31" t="inlineStr">
        <is>
          <t>Targets the segment of the corpus with the highest known defect rate. Confirms or refutes the hypothesis that the late-added patterns share a common defect source.</t>
        </is>
      </c>
      <c r="L316" s="31" t="inlineStr">
        <is>
          <t>Re-audit all 25 late_n5 + 5 deferred_to_n4 patterns specifically. Check each example uses the filed pattern; check each translation_en matches the JA.</t>
        </is>
      </c>
      <c r="M316" s="31" t="inlineStr">
        <is>
          <t>BUG-006</t>
        </is>
      </c>
      <c r="N316" s="31" t="n"/>
      <c r="O316" s="31" t="inlineStr">
        <is>
          <t>Source: 16MayGrammarjson audit, Section 3 IMP-006</t>
        </is>
      </c>
      <c r="P316" s="31"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4" min="1" max="1"/>
    <col width="32" customWidth="1" style="34" min="2" max="2"/>
    <col width="60" customWidth="1" style="34" min="3" max="3"/>
    <col width="50" customWidth="1" style="34" min="4" max="4"/>
    <col width="22" customWidth="1" style="34" min="5" max="5"/>
    <col width="23.90625" customWidth="1" style="34" min="6" max="6"/>
  </cols>
  <sheetData>
    <row r="1" ht="18.5" customHeight="1" s="35">
      <c r="A1" s="37" t="inlineStr">
        <is>
          <t>Open questions — product decisions needed</t>
        </is>
      </c>
    </row>
    <row r="3" ht="29" customHeight="1" s="35">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5">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5">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5">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5">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5">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5">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5">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5">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5">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5">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5">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5">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5">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5">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5">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5">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5">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5">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5">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5">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5">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5">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5">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5">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4" t="inlineStr">
        <is>
          <t>Three options for fixing ISSUE-048: (a) translate every page (slowest), (b) translate just the Settings page (most visited), (c) wait until someone asks.</t>
        </is>
      </c>
    </row>
    <row r="28" ht="116" customHeight="1" s="35">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4" t="inlineStr">
        <is>
          <t>Vocab is 12% translated. Pick: should I keep translating to 50%, 75%, or 100%? OR should I hide the partial translations until they reach a threshold?</t>
        </is>
      </c>
    </row>
    <row r="29" ht="87" customHeight="1" s="35">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4" t="inlineStr">
        <is>
          <t>Source maps help developers debug production code. They do not load for normal users. Should we ship them?</t>
        </is>
      </c>
    </row>
    <row r="30" ht="87" customHeight="1" s="35">
      <c r="A30" t="inlineStr">
        <is>
          <t>Q27</t>
        </is>
      </c>
      <c r="B30" s="34" t="inlineStr">
        <is>
          <t>Native-review budget</t>
        </is>
      </c>
      <c r="C30" s="34"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4" t="inlineStr">
        <is>
          <t>Which path? Commissioned reviewers? Volunteer recruitment via TRANSLATING.md? Partnership? Or all three with priority order?</t>
        </is>
      </c>
      <c r="E30" s="34" t="inlineStr">
        <is>
          <t>Done</t>
        </is>
      </c>
    </row>
    <row r="31" ht="43.5" customHeight="1" s="35">
      <c r="A31" t="inlineStr">
        <is>
          <t>Q28</t>
        </is>
      </c>
      <c r="B31" s="34" t="inlineStr">
        <is>
          <t>Grammar localization first-batch scope</t>
        </is>
      </c>
      <c r="C31" s="34" t="inlineStr">
        <is>
          <t>Grammar surface has 0% non-EN translations. Authoring 178 × 4 locales = 712 explanation_{lc} blocks is large. ISSUE-056 is P1 + BLOCKER but the lift is real.</t>
        </is>
      </c>
      <c r="D31" s="34" t="inlineStr">
        <is>
          <t>Commit to all 178 patterns, or pick a 30-pattern "essential N5" first batch and defer the remaining 148? The latter creates a "translated some / not all" UX state.</t>
        </is>
      </c>
      <c r="E31" s="34" t="inlineStr">
        <is>
          <t>Done</t>
        </is>
      </c>
    </row>
    <row r="32" ht="58" customHeight="1" s="35">
      <c r="A32" t="inlineStr">
        <is>
          <t>Q29</t>
        </is>
      </c>
      <c r="B32" s="34" t="inlineStr">
        <is>
          <t>Mock-paper restructure scope</t>
        </is>
      </c>
      <c r="C32" s="34" t="inlineStr">
        <is>
          <t>Current 28 papers are flat 15-question packs. Restructuring to per-section sub-mondai weighting is a tooling rewrite plus a content reauthoring pass (existing 402 questions need mondai backfilled).</t>
        </is>
      </c>
      <c r="D32" s="34" t="inlineStr">
        <is>
          <t>Is the niche-N1/N4 lift worth the disruption to the existing test surface? Or do we keep flat mocks as "free practice" and add structured papers as a separate "exam-fidelity" surface?</t>
        </is>
      </c>
      <c r="E32" s="34" t="inlineStr">
        <is>
          <t>Done</t>
        </is>
      </c>
    </row>
    <row r="33" ht="58" customHeight="1" s="35">
      <c r="A33" t="inlineStr">
        <is>
          <t>Q30</t>
        </is>
      </c>
      <c r="B33" s="34" t="inlineStr">
        <is>
          <t>Listening voice-variety budget</t>
        </is>
      </c>
      <c r="C33" s="34" t="inlineStr">
        <is>
          <t>Today: 1 voicevox voice (18 items) + 22 items with no voice metadata. Adding 3 more voicevox voices is free + offline-generable but re-renders 30+ MP3s and requires native-listener review of pacing/naturalness per voice.</t>
        </is>
      </c>
      <c r="D33" s="34" t="inlineStr">
        <is>
          <t>Add at build-time? Recruit native voice volunteers for any subset? Or both? Affects ISSUE-062.</t>
        </is>
      </c>
      <c r="E33" s="34" t="inlineStr">
        <is>
          <t>Done</t>
        </is>
      </c>
    </row>
    <row r="34" ht="43.5" customHeight="1" s="35">
      <c r="A34" t="inlineStr">
        <is>
          <t>Q31</t>
        </is>
      </c>
      <c r="B34" s="34" t="inlineStr">
        <is>
          <t>Mondai-4 listening authoring</t>
        </is>
      </c>
      <c r="C34" s="34" t="inlineStr">
        <is>
          <t>Adding 6-8 即時応答 items requires authoring stimulus + 3-choice response sets. Each is short (~10 sec audio). Blocks ISSUE-057 + ISSUE-059.</t>
        </is>
      </c>
      <c r="D34" s="34" t="inlineStr">
        <is>
          <t>LLM-seed → native-review? Or commission directly? Or hold until native-reviewer pipeline is in place per Q27?</t>
        </is>
      </c>
      <c r="E34" s="34" t="inlineStr">
        <is>
          <t>Done</t>
        </is>
      </c>
    </row>
    <row r="35" ht="58" customHeight="1" s="35">
      <c r="A35" t="inlineStr">
        <is>
          <t>Q32</t>
        </is>
      </c>
      <c r="B35" s="34" t="inlineStr">
        <is>
          <t>L1-interference content authoring</t>
        </is>
      </c>
      <c r="C35" s="34" t="inlineStr">
        <is>
          <t>IMP-080 needs L1-specific notes per the four target locales. Each L1 needs a native-speaker reviewer who is also a Japanese-learner (unusual combination). This is the niche-N1 unique-claim lever — authenticity matters more than for UI translation.</t>
        </is>
      </c>
      <c r="D35" s="34" t="inlineStr">
        <is>
          <t>EN-source notes machine-translated (faster, less authentic)? Or recruit native L1+JA speakers per locale (slower, higher quality)?</t>
        </is>
      </c>
      <c r="E35" s="34" t="inlineStr">
        <is>
          <t>Done</t>
        </is>
      </c>
    </row>
    <row r="36" ht="72.5" customHeight="1" s="35">
      <c r="A36" s="34" t="inlineStr">
        <is>
          <t>Q33</t>
        </is>
      </c>
      <c r="B36" s="34" t="inlineStr">
        <is>
          <t>Native-Hindi-review budget</t>
        </is>
      </c>
      <c r="C36" s="34"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4" t="inlineStr">
        <is>
          <t>Which path, and what cycle-budget? Affects ISSUE-079 + ISSUE-090 (native audio) + IMP-114.</t>
        </is>
      </c>
      <c r="E36" s="34" t="inlineStr">
        <is>
          <t>Review by LLM giving him a persona of a native hindi speaker [Acted: round-8 close-out 2026-05-06]</t>
        </is>
      </c>
    </row>
    <row r="37" ht="87" customHeight="1" s="35">
      <c r="A37" s="34" t="inlineStr">
        <is>
          <t>Q34</t>
        </is>
      </c>
      <c r="B37" s="34" t="inlineStr">
        <is>
          <t>Niche-N1 commitment depth (go-to-market)</t>
        </is>
      </c>
      <c r="C37" s="34"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4" t="inlineStr">
        <is>
          <t>Shapes prioritization of ISSUE-077..079 vs IMP-104..109. Concrete commitment level.</t>
        </is>
      </c>
      <c r="E37" s="34" t="inlineStr">
        <is>
          <t>do as recommended [Acted: round-8 close-out 2026-05-06]</t>
        </is>
      </c>
    </row>
    <row r="38" ht="43.5" customHeight="1" s="35">
      <c r="A38" s="34" t="inlineStr">
        <is>
          <t>Q35</t>
        </is>
      </c>
      <c r="B38" s="34" t="inlineStr">
        <is>
          <t>Indian discoverability channel</t>
        </is>
      </c>
      <c r="C38" s="34" t="inlineStr">
        <is>
          <t>GitHub Pages alone will not reach Tier-2/3 Indian learners. Hindi YouTube? Telegram groups? Indian Japanese-language teacher partnerships? Show HN is unlikely to reach this audience.</t>
        </is>
      </c>
      <c r="D38" s="34" t="inlineStr">
        <is>
          <t>Which 1-2 channels to invest in for the first wave?</t>
        </is>
      </c>
      <c r="E38" s="34" t="inlineStr">
        <is>
          <t>do as recommended [Acted: round-8 close-out 2026-05-06]</t>
        </is>
      </c>
    </row>
    <row r="39" ht="43.5" customHeight="1" s="35">
      <c r="A39" s="34" t="inlineStr">
        <is>
          <t>Q36</t>
        </is>
      </c>
      <c r="B39" s="34" t="inlineStr">
        <is>
          <t>Vocab depth-batch order</t>
        </is>
      </c>
      <c r="C39" s="34" t="inlineStr">
        <is>
          <t>With 1041 entries and multiple deficit dimensions (collocations 0%, examples-≥-2 1%, pitch-accent 4%, counter 0.4%, register 0.4%), the highest-leverage batch order is non-obvious.</t>
        </is>
      </c>
      <c r="D39" s="34" t="inlineStr">
        <is>
          <t>Author one dimension across all 1041 entries (full collocations pass), or all dimensions across the top-100 frequency-ranked entries (depth-per-entry)?</t>
        </is>
      </c>
      <c r="E39" s="34" t="inlineStr">
        <is>
          <t>do as recommended [Acted: round-8 close-out 2026-05-06]</t>
        </is>
      </c>
    </row>
    <row r="40" ht="43.5" customHeight="1" s="35">
      <c r="A40" s="34" t="inlineStr">
        <is>
          <t>Q37</t>
        </is>
      </c>
      <c r="B40" s="34" t="inlineStr">
        <is>
          <t>Reading/listening sentence-by-sentence footnote scope</t>
        </is>
      </c>
      <c r="C40" s="34" t="inlineStr">
        <is>
          <t>IMP-106/107 (summary + vocab_preview) are cheap. Sentence-by-sentence grammar footnote layer (per the audit-prompt depth dimension) is a substantial UI + content lift.</t>
        </is>
      </c>
      <c r="D40" s="34" t="inlineStr">
        <is>
          <t>In scope for next cycle, or defer behind ISSUE-077..079 native-review work?</t>
        </is>
      </c>
      <c r="E40" s="34" t="inlineStr">
        <is>
          <t>do as recommended [Acted: round-8 close-out 2026-05-06]</t>
        </is>
      </c>
    </row>
    <row r="41" ht="43.5" customHeight="1" s="35">
      <c r="A41" s="34" t="inlineStr">
        <is>
          <t>Q38</t>
        </is>
      </c>
      <c r="B41" s="34" t="inlineStr">
        <is>
          <t>Mock-paper restructure phase 2/3 reactivation</t>
        </is>
      </c>
      <c r="C41" s="34" t="inlineStr">
        <is>
          <t>Round-7 ISSUE-059 phase 1 (mondai backfill) shipped; phase 2 (chokai papers from listening.json) + phase 3 (per-section build_papers.py reweighting + 25/50/30-min timing) sit deferred.</t>
        </is>
      </c>
      <c r="D41" s="34" t="inlineStr">
        <is>
          <t>Re-prioritize for next cycle, or defer until Q33/Q34 unlock?</t>
        </is>
      </c>
      <c r="E41" s="34"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cols>
    <col width="14.54296875" customWidth="1" style="35" min="1" max="1"/>
    <col width="18.1796875" customWidth="1" style="35" min="2" max="2"/>
    <col width="21.81640625" customWidth="1" style="35" min="3" max="3"/>
    <col width="32.7265625" customWidth="1" style="35" min="4" max="4"/>
    <col width="47.26953125" customWidth="1" style="35" min="5" max="5"/>
    <col width="16.36328125" customWidth="1" style="35" min="6" max="6"/>
    <col width="14.54296875" customWidth="1" style="35" min="7" max="7"/>
    <col width="20" customWidth="1" style="35" min="8" max="8"/>
    <col width="23.6328125" customWidth="1" style="35" min="9" max="9"/>
    <col width="8.7265625" customWidth="1" style="35" min="10" max="10"/>
    <col width="20" customWidth="1" style="35" min="11" max="11"/>
    <col width="12.7265625" customWidth="1" style="35" min="12" max="12"/>
    <col width="8.7265625" customWidth="1" style="35" min="13" max="13"/>
    <col width="8.7265625" customWidth="1" style="35" min="20" max="20"/>
  </cols>
  <sheetData>
    <row r="1">
      <c r="A1" t="inlineStr">
        <is>
          <t>User Reported Bugs</t>
        </is>
      </c>
    </row>
    <row r="3">
      <c r="A3" t="inlineStr">
        <is>
          <t>Bug ID</t>
        </is>
      </c>
      <c r="B3" t="inlineStr">
        <is>
          <t>Date Reported</t>
        </is>
      </c>
      <c r="C3" t="inlineStr">
        <is>
          <t>Reported By</t>
        </is>
      </c>
      <c r="D3" t="inlineStr">
        <is>
          <t>Title</t>
        </is>
      </c>
      <c r="E3" t="inlineStr">
        <is>
          <t>Description</t>
        </is>
      </c>
      <c r="F3" t="inlineStr">
        <is>
          <t>Severity</t>
        </is>
      </c>
      <c r="G3" t="inlineStr">
        <is>
          <t>Priority</t>
        </is>
      </c>
      <c r="H3" t="inlineStr">
        <is>
          <t>Status</t>
        </is>
      </c>
      <c r="I3" t="inlineStr">
        <is>
          <t>Assigned To</t>
        </is>
      </c>
      <c r="K3" t="inlineStr">
        <is>
          <t>Summary</t>
        </is>
      </c>
    </row>
    <row r="4">
      <c r="A4">
        <f>"BUG-"&amp;TEXT(ROW()-3,"000")</f>
        <v/>
      </c>
      <c r="B4" s="38" t="n">
        <v>46158</v>
      </c>
      <c r="D4" t="inlineStr">
        <is>
          <t>Unable to access URL through claude chat</t>
        </is>
      </c>
      <c r="E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t="inlineStr">
        <is>
          <t>High</t>
        </is>
      </c>
      <c r="G4" t="inlineStr">
        <is>
          <t>P2</t>
        </is>
      </c>
      <c r="H4" t="inlineStr">
        <is>
          <t>Fixed</t>
        </is>
      </c>
      <c r="K4" t="inlineStr">
        <is>
          <t>Total Bugs</t>
        </is>
      </c>
      <c r="L4" t="n">
        <v>24</v>
      </c>
    </row>
    <row r="5">
      <c r="A5">
        <f>"BUG-"&amp;TEXT(ROW()-3,"000")</f>
        <v/>
      </c>
      <c r="D5" t="inlineStr">
        <is>
          <t>incorrect grammar statement. correct : ✗ Incorrect: ともだちに あいました。 (X "I met with my friend" intent)
✓ Correct: ともだちと あいました</t>
        </is>
      </c>
      <c r="E5"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t="inlineStr">
        <is>
          <t>High</t>
        </is>
      </c>
      <c r="G5" t="inlineStr">
        <is>
          <t>P1</t>
        </is>
      </c>
      <c r="H5" t="inlineStr">
        <is>
          <t>Fixed</t>
        </is>
      </c>
      <c r="K5" t="inlineStr">
        <is>
          <t>New</t>
        </is>
      </c>
      <c r="L5" t="n">
        <v>0</v>
      </c>
    </row>
    <row r="6">
      <c r="A6">
        <f>"BUG-"&amp;TEXT(ROW()-3,"000")</f>
        <v/>
      </c>
      <c r="B6" s="38" t="n">
        <v>46158</v>
      </c>
      <c r="C6" t="inlineStr">
        <is>
          <t>grammar.json audit (native-teacher review)</t>
        </is>
      </c>
      <c r="D6" t="inlineStr">
        <is>
          <t>n5-098 (superlative pattern) has corrupted explanation and 10/10 wrong translations</t>
        </is>
      </c>
      <c r="E6"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t="inlineStr">
        <is>
          <t>Critical</t>
        </is>
      </c>
      <c r="G6" t="inlineStr">
        <is>
          <t>P1</t>
        </is>
      </c>
      <c r="H6" t="inlineStr">
        <is>
          <t>Fixed</t>
        </is>
      </c>
      <c r="K6" t="inlineStr">
        <is>
          <t>In Progress</t>
        </is>
      </c>
      <c r="L6">
        <f>COUNTIF(H4:H100,"In Progress")</f>
        <v/>
      </c>
    </row>
    <row r="7">
      <c r="A7">
        <f>"BUG-"&amp;TEXT(ROW()-3,"000")</f>
        <v/>
      </c>
      <c r="B7" s="38" t="n">
        <v>46158</v>
      </c>
      <c r="C7" t="inlineStr">
        <is>
          <t>grammar.json audit (native-teacher review)</t>
        </is>
      </c>
      <c r="D7" t="inlineStr">
        <is>
          <t>Pitch-mark mora data systematically broken (787 wrong instances, 115 unique kana forms)</t>
        </is>
      </c>
      <c r="E7"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t="inlineStr">
        <is>
          <t>Critical</t>
        </is>
      </c>
      <c r="G7" t="inlineStr">
        <is>
          <t>P1</t>
        </is>
      </c>
      <c r="H7" t="inlineStr">
        <is>
          <t>Fixed</t>
        </is>
      </c>
      <c r="K7" t="inlineStr">
        <is>
          <t>Fixed</t>
        </is>
      </c>
      <c r="L7" t="n">
        <v>24</v>
      </c>
    </row>
    <row r="8">
      <c r="A8">
        <f>"BUG-"&amp;TEXT(ROW()-3,"000")</f>
        <v/>
      </c>
      <c r="B8" s="38" t="n">
        <v>46158</v>
      </c>
      <c r="C8" t="inlineStr">
        <is>
          <t>grammar.json audit (native-teacher review)</t>
        </is>
      </c>
      <c r="D8" t="inlineStr">
        <is>
          <t>n5-166 ex[5] has mismatched JA/EN (copy-paste error)</t>
        </is>
      </c>
      <c r="E8"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t="inlineStr">
        <is>
          <t>High</t>
        </is>
      </c>
      <c r="G8" t="inlineStr">
        <is>
          <t>P1</t>
        </is>
      </c>
      <c r="H8" t="inlineStr">
        <is>
          <t>Fixed</t>
        </is>
      </c>
      <c r="K8" t="inlineStr">
        <is>
          <t>Verified</t>
        </is>
      </c>
      <c r="L8">
        <f>COUNTIF(H4:H100,"Verified")</f>
        <v/>
      </c>
    </row>
    <row r="9">
      <c r="A9">
        <f>"BUG-"&amp;TEXT(ROW()-3,"000")</f>
        <v/>
      </c>
      <c r="B9" s="38" t="n">
        <v>46158</v>
      </c>
      <c r="C9" t="inlineStr">
        <is>
          <t>grammar.json audit (native-teacher review)</t>
        </is>
      </c>
      <c r="D9" t="inlineStr">
        <is>
          <t>Pattern-instance contamination: 8+ examples filed under wrong pattern</t>
        </is>
      </c>
      <c r="E9"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t="inlineStr">
        <is>
          <t>High</t>
        </is>
      </c>
      <c r="G9" t="inlineStr">
        <is>
          <t>P1</t>
        </is>
      </c>
      <c r="H9" t="inlineStr">
        <is>
          <t>Fixed</t>
        </is>
      </c>
      <c r="K9" t="inlineStr">
        <is>
          <t>Closed</t>
        </is>
      </c>
      <c r="L9">
        <f>COUNTIF(H4:H100,"Closed")</f>
        <v/>
      </c>
    </row>
    <row r="10">
      <c r="A10">
        <f>"BUG-"&amp;TEXT(ROW()-3,"000")</f>
        <v/>
      </c>
      <c r="B10" s="38" t="n">
        <v>46158</v>
      </c>
      <c r="C10" t="inlineStr">
        <is>
          <t>grammar.json audit (native-teacher review)</t>
        </is>
      </c>
      <c r="D10" t="inlineStr">
        <is>
          <t>Pedagogically misleading common_mistakes: 12+ N5-canonical sentences marked WRONG</t>
        </is>
      </c>
      <c r="E10"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t="inlineStr">
        <is>
          <t>High</t>
        </is>
      </c>
      <c r="G10" t="inlineStr">
        <is>
          <t>P1</t>
        </is>
      </c>
      <c r="H10" t="inlineStr">
        <is>
          <t>Fixed</t>
        </is>
      </c>
      <c r="K10" t="inlineStr">
        <is>
          <t>Critical</t>
        </is>
      </c>
      <c r="L10">
        <f>COUNTIF(F4:F100,"Critical")</f>
        <v/>
      </c>
    </row>
    <row r="11">
      <c r="A11">
        <f>"BUG-"&amp;TEXT(ROW()-3,"000")</f>
        <v/>
      </c>
      <c r="B11" s="38" t="n">
        <v>46158</v>
      </c>
      <c r="C11" t="inlineStr">
        <is>
          <t>grammar.json audit (native-teacher review)</t>
        </is>
      </c>
      <c r="D11" t="inlineStr">
        <is>
          <t>n5-004 incorrectly calls 会う "intransitive" (folk-linguistics terminology error)</t>
        </is>
      </c>
      <c r="E1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t="inlineStr">
        <is>
          <t>Medium</t>
        </is>
      </c>
      <c r="G11" t="inlineStr">
        <is>
          <t>P2</t>
        </is>
      </c>
      <c r="H11" t="inlineStr">
        <is>
          <t>Fixed</t>
        </is>
      </c>
    </row>
    <row r="12">
      <c r="A12">
        <f>"BUG-"&amp;TEXT(ROW()-3,"000")</f>
        <v/>
      </c>
      <c r="B12" s="38" t="n">
        <v>46158</v>
      </c>
      <c r="C12" t="inlineStr">
        <is>
          <t>grammar.json audit (native-teacher review)</t>
        </is>
      </c>
      <c r="D12" t="inlineStr">
        <is>
          <t>n5-003 (が particle) example uses は, not が</t>
        </is>
      </c>
      <c r="E1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t="inlineStr">
        <is>
          <t>Medium</t>
        </is>
      </c>
      <c r="G12" t="inlineStr">
        <is>
          <t>P2</t>
        </is>
      </c>
      <c r="H12" t="inlineStr">
        <is>
          <t>Fixed</t>
        </is>
      </c>
    </row>
    <row r="13">
      <c r="A13">
        <f>"BUG-"&amp;TEXT(ROW()-3,"000")</f>
        <v/>
      </c>
      <c r="B13" s="38" t="n">
        <v>46158</v>
      </c>
      <c r="C13" t="inlineStr">
        <is>
          <t>User (SPA crawlability report)</t>
        </is>
      </c>
      <c r="D13" t="inlineStr">
        <is>
          <t>SPA hash routes are invisible to non-JS clients (Claude chat, crawlers, archive.org, social previews)</t>
        </is>
      </c>
      <c r="E1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t="inlineStr">
        <is>
          <t>High</t>
        </is>
      </c>
      <c r="G13" t="inlineStr">
        <is>
          <t>P1</t>
        </is>
      </c>
      <c r="H13" t="inlineStr">
        <is>
          <t>Fixed</t>
        </is>
      </c>
    </row>
    <row r="14">
      <c r="A14">
        <f>"BUG-"&amp;TEXT(ROW()-3,"000")</f>
        <v/>
      </c>
      <c r="B14" s="38" t="n">
        <v>46158</v>
      </c>
      <c r="C14" t="inlineStr">
        <is>
          <t>grammar.json audit (native-teacher review)</t>
        </is>
      </c>
      <c r="D14" t="inlineStr">
        <is>
          <t>Self-contradicting WRONG/RIGHT labels across 7 common_mistakes entries (plus 7 ね-vs-か question patterns)</t>
        </is>
      </c>
      <c r="E1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t="inlineStr">
        <is>
          <t>High</t>
        </is>
      </c>
      <c r="G14" t="inlineStr">
        <is>
          <t>P1</t>
        </is>
      </c>
      <c r="H14" t="inlineStr">
        <is>
          <t>Fixed</t>
        </is>
      </c>
    </row>
    <row r="15">
      <c r="A15">
        <f>"BUG-"&amp;TEXT(ROW()-3,"000")</f>
        <v/>
      </c>
      <c r="B15" s="38" t="n">
        <v>46158</v>
      </c>
      <c r="C15" t="inlineStr">
        <is>
          <t>grammar.json audit (native-teacher review)</t>
        </is>
      </c>
      <c r="D15" t="inlineStr">
        <is>
          <t>review_status "native_reviewed" misleads when read per-pattern in isolation (label assigned by Claude persona, not human)</t>
        </is>
      </c>
      <c r="E15"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t="inlineStr">
        <is>
          <t>Medium</t>
        </is>
      </c>
      <c r="G15" t="inlineStr">
        <is>
          <t>P2</t>
        </is>
      </c>
      <c r="H15" t="inlineStr">
        <is>
          <t>Fixed</t>
        </is>
      </c>
    </row>
    <row r="16">
      <c r="A16">
        <f>"BUG-"&amp;TEXT(ROW()-3,"000")</f>
        <v/>
      </c>
      <c r="B16" s="38" t="n">
        <v>46158</v>
      </c>
      <c r="C16" t="inlineStr">
        <is>
          <t>grammar.json audit re-inspection (native-teacher review)</t>
        </is>
      </c>
      <c r="D16" t="inlineStr">
        <is>
          <t>Self-contradicting WRONG/RIGHT labels still present across 14 common_mistakes entries (BUG-011 re-audit shows fix did not land at display surface)</t>
        </is>
      </c>
      <c r="E16"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t="inlineStr">
        <is>
          <t>High</t>
        </is>
      </c>
      <c r="G16" t="inlineStr">
        <is>
          <t>P1</t>
        </is>
      </c>
      <c r="H16" t="inlineStr">
        <is>
          <t>Fixed</t>
        </is>
      </c>
    </row>
    <row r="17">
      <c r="A17">
        <f>"BUG-"&amp;TEXT(ROW()-3,"000")</f>
        <v/>
      </c>
      <c r="B17" s="38" t="n">
        <v>46158</v>
      </c>
      <c r="C17" t="inlineStr">
        <is>
          <t>vocab.json audit (native-teacher review)</t>
        </is>
      </c>
      <c r="D17" t="inlineStr">
        <is>
          <t>19 vocab example sentences are template-generated semantic nonsense ("X が あります" applied to time words and abstract nouns)</t>
        </is>
      </c>
      <c r="E17"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t="inlineStr">
        <is>
          <t>High</t>
        </is>
      </c>
      <c r="G17" t="inlineStr">
        <is>
          <t>P1</t>
        </is>
      </c>
      <c r="H17" t="inlineStr">
        <is>
          <t>Fixed</t>
        </is>
      </c>
    </row>
    <row r="18">
      <c r="A18">
        <f>"BUG-"&amp;TEXT(ROW()-3,"000")</f>
        <v/>
      </c>
      <c r="B18" s="38" t="n">
        <v>46158</v>
      </c>
      <c r="C18" t="inlineStr">
        <is>
          <t>vocab.json audit (native-teacher review)</t>
        </is>
      </c>
      <c r="D18" t="inlineStr">
        <is>
          <t>vocab.json counter field has three inconsistent schema types across 1009 entries (string / dict / null) — same applies to counter_register</t>
        </is>
      </c>
      <c r="E18"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t="inlineStr">
        <is>
          <t>Medium</t>
        </is>
      </c>
      <c r="G18" t="inlineStr">
        <is>
          <t>P2</t>
        </is>
      </c>
      <c r="H18" t="inlineStr">
        <is>
          <t>Fixed</t>
        </is>
      </c>
    </row>
    <row r="19">
      <c r="A19">
        <f>"BUG-"&amp;TEXT(ROW()-3,"000")</f>
        <v/>
      </c>
      <c r="B19" s="38" t="n">
        <v>46158</v>
      </c>
      <c r="C19" t="inlineStr">
        <is>
          <t>vocab.json audit (native-teacher review)</t>
        </is>
      </c>
      <c r="D19" t="inlineStr">
        <is>
          <t>Transitivity field is set on only 22 of 132 verbs (17% coverage) — most transitive verbs lack the classification</t>
        </is>
      </c>
      <c r="E19"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t="inlineStr">
        <is>
          <t>Medium</t>
        </is>
      </c>
      <c r="G19" t="inlineStr">
        <is>
          <t>P2</t>
        </is>
      </c>
      <c r="H19" t="inlineStr">
        <is>
          <t>Fixed</t>
        </is>
      </c>
    </row>
    <row r="20">
      <c r="A20">
        <f>"BUG-"&amp;TEXT(ROW()-3,"000")</f>
        <v/>
      </c>
      <c r="B20" s="38" t="n">
        <v>46158</v>
      </c>
      <c r="C20" t="inlineStr">
        <is>
          <t>vocab.json audit (native-teacher review)</t>
        </is>
      </c>
      <c r="D20" t="inlineStr">
        <is>
          <t>3 kanji used in vocab forms are not in the N5 kanji whitelist (倍, 籍, 末)</t>
        </is>
      </c>
      <c r="E20"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t="inlineStr">
        <is>
          <t>Medium</t>
        </is>
      </c>
      <c r="G20" t="inlineStr">
        <is>
          <t>P2</t>
        </is>
      </c>
      <c r="H20" t="inlineStr">
        <is>
          <t>Fixed</t>
        </is>
      </c>
    </row>
    <row r="21">
      <c r="A21">
        <f>"BUG-"&amp;TEXT(ROW()-3,"000")</f>
        <v/>
      </c>
      <c r="B21" s="38" t="n">
        <v>46158</v>
      </c>
      <c r="C21" t="inlineStr">
        <is>
          <t>vocab.json audit (native-teacher review)</t>
        </is>
      </c>
      <c r="D21" t="inlineStr">
        <is>
          <t>~10 vocab entries are over-duplicated across sections with overlapping glosses (count inflation)</t>
        </is>
      </c>
      <c r="E21"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t="inlineStr">
        <is>
          <t>Low</t>
        </is>
      </c>
      <c r="G21" t="inlineStr">
        <is>
          <t>P3</t>
        </is>
      </c>
      <c r="H21" t="inlineStr">
        <is>
          <t>Fixed</t>
        </is>
      </c>
    </row>
    <row r="22">
      <c r="A22">
        <f>"BUG-"&amp;TEXT(ROW()-3,"000")</f>
        <v/>
      </c>
      <c r="B22" t="inlineStr">
        <is>
          <t>2026-05-16</t>
        </is>
      </c>
      <c r="C22" t="inlineStr">
        <is>
          <t>vocab.json audit re-inspection (native-teacher follow-up)</t>
        </is>
      </c>
      <c r="D22" t="inlineStr">
        <is>
          <t>3 over-duplicated (form, reading) pairs missed by BUG-018 dedup pass (月, あつい, きって)</t>
        </is>
      </c>
      <c r="E22"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t="inlineStr">
        <is>
          <t>Low</t>
        </is>
      </c>
      <c r="G22" t="inlineStr">
        <is>
          <t>P3</t>
        </is>
      </c>
      <c r="H22" t="inlineStr">
        <is>
          <t>Fixed</t>
        </is>
      </c>
    </row>
    <row r="23">
      <c r="A23">
        <f>"BUG-"&amp;TEXT(ROW()-3,"000")</f>
        <v/>
      </c>
      <c r="B23" s="38" t="n">
        <v>46158</v>
      </c>
      <c r="C23" t="inlineStr">
        <is>
          <t>kanji.json audit (native-teacher review)</t>
        </is>
      </c>
      <c r="D23" t="inlineStr">
        <is>
          <t>BUG-017 fix did not propagate to kanji.json — n5_compounds and auto-derived examples still display 週末 and 国籍 (non-whitelist kanji 末, 籍)</t>
        </is>
      </c>
      <c r="E2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t="inlineStr">
        <is>
          <t>Medium</t>
        </is>
      </c>
      <c r="G23" t="inlineStr">
        <is>
          <t>P2</t>
        </is>
      </c>
      <c r="H23" t="inlineStr">
        <is>
          <t>Fixed</t>
        </is>
      </c>
    </row>
    <row r="24">
      <c r="A24">
        <f>"BUG-"&amp;TEXT(ROW()-3,"000")</f>
        <v/>
      </c>
      <c r="B24" s="38" t="n">
        <v>46158</v>
      </c>
      <c r="C24" t="inlineStr">
        <is>
          <t>kanji.json audit (native-teacher review)</t>
        </is>
      </c>
      <c r="D24" t="inlineStr">
        <is>
          <t>primary_reading set to on-yomi for 6 kanji whose actual N5 standalone reading is the kun-yomi (人, 中, 外, 東, 車, 国)</t>
        </is>
      </c>
      <c r="E2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t="inlineStr">
        <is>
          <t>Medium</t>
        </is>
      </c>
      <c r="G24" t="inlineStr">
        <is>
          <t>P2</t>
        </is>
      </c>
      <c r="H24" t="inlineStr">
        <is>
          <t>Fixed</t>
        </is>
      </c>
    </row>
    <row r="25">
      <c r="A25">
        <f>"BUG-"&amp;TEXT(ROW()-3,"000")</f>
        <v/>
      </c>
      <c r="B25" s="38" t="n">
        <v>46158</v>
      </c>
      <c r="C25" t="inlineStr">
        <is>
          <t>kanji.json audit (native-teacher review)</t>
        </is>
      </c>
      <c r="D25" t="inlineStr">
        <is>
          <t>Examples field uses inconsistent field names — `form` (374 entries), `lemma` (20 entries), or both (14 entries)</t>
        </is>
      </c>
      <c r="E25"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t="inlineStr">
        <is>
          <t>Low</t>
        </is>
      </c>
      <c r="G25" t="inlineStr">
        <is>
          <t>P3</t>
        </is>
      </c>
      <c r="H25" t="inlineStr">
        <is>
          <t>Fixed</t>
        </is>
      </c>
    </row>
    <row r="26">
      <c r="A26">
        <f>"BUG-"&amp;TEXT(ROW()-3,"000")</f>
        <v/>
      </c>
      <c r="B26">
        <f>DATE(2026,5,17)</f>
        <v/>
      </c>
      <c r="C26" t="inlineStr">
        <is>
          <t>kanji.json ↔ vocab.json cross-file audit (native-teacher review)</t>
        </is>
      </c>
      <c r="D26" t="inlineStr">
        <is>
          <t>KANJI-004 — 6 cross-file form mismatches: kanji.json uses kanji forms, vocab.json had kana-only forms — RESOLVED</t>
        </is>
      </c>
      <c r="E26" t="inlineStr">
        <is>
          <t>RE-AUDIT 2026-05-17: kanji.json was modified in latest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Net: 5 vocab.json entries to update, 6 kanji.json references resolved.
Original framing preserved:
- Inverse-direction vs BUG-020:
  BUG-020 → kanji.json had NON-whitelist kanji (末, 籍) → fixed by removing kanji forms.
  BUG-023 → kanji.json has whitelist kanji (友, 手, 上, 足, 目) → fix by adding kanji forms to vocab.json.
- All 5 affected kanji (友, 手, 上, 足, 目) are in the N5 whitelist; there is no scope-rule reason for kana-only forms in vocab.json.
- Native-teacher rationale: students learning ともだち / て / じょうず / あし / め as kana-only and then encountering 友だち / 手 / 上手 / 足 / 目 in reading passages will not connect them. Textbook references: Genki I L3-4, Minna no Nihongo L9-10, Try! N5, So-matome N5 — all introduce these with kanji forms.
Fix direction (unchanged):
Update vocab.json form field on these 5 entries (reading and id fields stay unchanged):
  n5.vocab.2-people-family.ともだち:    form: "ともだち" → "友だち"
  n5.vocab.4-body-parts.て:             form: "て"       → "手"
  n5.vocab.4-body-parts.あし:           form: "あし"     → "足"
  n5.vocab.4-body-parts.め:             form: "め"       → "目"
  n5.vocab.32-adjectives.じょうず:      form: "じょうず" → "上手"
For 友だち: the okurigana だち after 友 uses kana, which is the standard rendering. The full kanji form 友達 introduces 達 (N4 kanji); strict-N5-scope-safe choice is "友だち" matching kanji.json's compound form exactly.
Build invariant to add (CARRIED OVER — still not implemented): for every kanji.json compound/example with a vocab_id, assert form == linked vocab_entry.form. Fail CI on mismatch. This catches both directions of drift (BUG-020 style and BUG-023 style) automatically.
---
[VERIFY 2026-05-17 — Round 2 re-audit reading stale snapshot; live corpus shows fix IS in place]
The re-audit reports vocab.json unchanged, but the live data and commit history disagree. Verification evidence:
1. **Local vocab.json state (as of HEAD = 552b5cc)** — all 5 entries carry the kanji forms:
   - n5.vocab.2-people-family.ともだち   form='友だち'  ✓ + bug_023_fix_2026_05_17: True
   - n5.vocab.4-body-parts.て             form='手'      ✓ + bug_023_fix_2026_05_17: True
   - n5.vocab.4-body-parts.あし           form='足'      ✓ + bug_023_fix_2026_05_17: True
   - n5.vocab.4-body-parts.め             form='目'      ✓ + bug_023_fix_2026_05_17: True
   - n5.vocab.32-adjectives.じょうず      form='上手'    ✓ + bug_023_fix_2026_05_17: True
2. **Git history** — commit cbbf02e ("fix(bugs): close BUG-023 — restore kanji forms to 5 vocab entries (inverse of BUG-020)") modified N5/data/vocab.json (30 lines changed) + N5/data/kanji.json (5 lines for the 上 compound) + N5/tools/check_content_integrity.py (91 lines, JA-100 tightened to strict form-match).
3. **CI verification** — `python tools/check_content_integrity.py` returns PASS 100/100. JA-100 is the strict-form-match invariant; if ANY of the 6 mismatches the re-audit listed were still present, JA-100 would fail. It doesn't.
4. **Repo sync** — local HEAD 552b5cc == origin/master 552b5cc. The fix is on GitHub.
5. **Case (f) — the 6th mismatch the re-audit noticed** — 上 entry's compound for 上手 was ALSO aligned in the same fix (kanji.json's 上 n5_compounds[1] form changed from じょうず → 上手 to match the now-kanji vocab form). All 6 mismatches resolved.
If the re-audit pipeline shows "vocab.json unchanged", it's reading either: (a) a cached older snapshot, (b) the data/vocab.json.bak_2026_05_17_bug_023 backup file, or (c) an unrelated stale build artifact. The HEAD of the master branch has the fix.
Status: Fixed (verified 2026-05-17 against HEAD 552b5cc).</t>
        </is>
      </c>
      <c r="F26" t="inlineStr">
        <is>
          <t>Medium</t>
        </is>
      </c>
      <c r="G26" t="inlineStr">
        <is>
          <t>P2</t>
        </is>
      </c>
      <c r="H26" t="inlineStr">
        <is>
          <t>Fixed</t>
        </is>
      </c>
    </row>
    <row r="27">
      <c r="A27">
        <f>"BUG-"&amp;TEXT(ROW()-3,"000")</f>
        <v/>
      </c>
      <c r="B27" t="inlineStr">
        <is>
          <t>2026-05-17</t>
        </is>
      </c>
      <c r="C27" t="inlineStr">
        <is>
          <t>kanji.json audit (native-teacher review)</t>
        </is>
      </c>
      <c r="D27" t="inlineStr">
        <is>
          <t>KANJI-005 — 7 duplicate compound entries within kanji.json (subset glosses) — RESOLVED</t>
        </is>
      </c>
      <c r="E27" t="inlineStr">
        <is>
          <t>**Source:** kanji.json audit 2026-05-17, KANJI-005. Mirror of the VOCAB-005 / VOCAB-006 dedup pattern, applied to kanji.json's n5_compounds.
**Problem:** Several kanji entries had the same compound listed twice in their n5_compounds array with the same (form, reading) tuple but overlapping glosses where one was a strict subset of the other.
Affected cases:
  (c) 月 entry → 月 ×2: "month, moon" vs "moon" (subset)
  (e) 本 entry → 本 ×2: "counter for long thin objects" vs "book" (same reading ほん; distinct senses)
  (f) 前 entry → 前 ×2: "before, in front" vs "front" (subset)
  (g) 気 + 電 entries → 電気 ×2 in each: "electricity, light" vs "light" (subset)
  (h) 道 entry → 道 ×2: "road, way" vs "road" (subset)
  (i) 言 entry → ことば ×2: "word, language" vs "word" (subset)
Cases (a) 一/一日, (b) 日/一日, (d) 人/人 — left intact (legitimate polysemy with DIFFERENT readings ついたち/いちにち or ひと/にん; the (form, reading) tuple differs).
[FIX 2026-05-17]: Applied mirror of the VOCAB-005 dedup approach:
  - Dropped 6 subset-gloss compound rows:
    * 月 entry "moon" (subset of "month, moon")
    * 前 entry "front" (subset of "before, in front")
    * 気 entry 電気 "light" (subset of "electricity, light")
    * 電 entry 電気 "light" (subset of "electricity, light")
    * 道 entry "road" (subset of "road, way")
    * 言 entry ことば "word" (subset of "word, language")
  - Merged 本/本 (same reading, distinct senses): combined gloss now "book; counter for long thin objects"
  - Left a/b/d (legitimate polysemy with different readings)
CI invariant added: JA-103 — within any single kanji entry's n5_compounds array, the (form, reading) tuple must be unique. Catches the dedup class automatically. Different readings PASS (legitimate polysemy like 一日 ついたち vs いちにち).
Root cause: this data was auto-derived from vocab.json BEFORE the VOCAB-005 / VOCAB-006 dedup cleanup landed. The cleaned vocab.json no longer carries the subset-gloss duplicates, but kanji.json's auto-derived n5_compounds list was never regenerated. Operational rule going forward: re-run the auto-derivation pipeline after every vocab.json dedup pass.
Fix script: tools/fix_bug_024_kanji_compound_dups_2026_05_17.py. Backup: data/kanji.json.bak_2026_05_17_bug_024.
CI: 101/101 invariants green (was 100; +1 from JA-103).
Status: Fixed.</t>
        </is>
      </c>
      <c r="F27" t="inlineStr">
        <is>
          <t>Low</t>
        </is>
      </c>
      <c r="G27" t="inlineStr">
        <is>
          <t>P3</t>
        </is>
      </c>
      <c r="H27" t="inlineStr">
        <is>
          <t>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2026-05-16T23:15:04Z</dcterms:modified>
  <cp:lastModifiedBy>Srivastava, Gaurav</cp:lastModifiedBy>
</cp:coreProperties>
</file>