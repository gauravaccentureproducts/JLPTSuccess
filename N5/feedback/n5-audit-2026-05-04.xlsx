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2" activeTab="2" autoFilterDateGrouping="1"/>
  </bookViews>
  <sheets>
    <sheet xmlns:r="http://schemas.openxmlformats.org/officeDocument/2006/relationships" name="Items" sheetId="1" state="visible" r:id="rId1"/>
    <sheet xmlns:r="http://schemas.openxmlformats.org/officeDocument/2006/relationships" name="Questions" sheetId="2" state="visible" r:id="rId2"/>
    <sheet xmlns:r="http://schemas.openxmlformats.org/officeDocument/2006/relationships" name="User Reported Bugs" sheetId="3" state="visible" r:id="rId3"/>
  </sheets>
  <definedNames>
    <definedName name="_xlnm._FilterDatabase" localSheetId="0" hidden="1">'Items'!$A$4:$N$208</definedName>
    <definedName name="_xlnm._FilterDatabase" localSheetId="1" hidden="1">'Questions'!$A$3:$F$41</definedName>
    <definedName name="_xlnm._FilterDatabase" localSheetId="2" hidden="1">'User Reported Bugs'!$A$3:$I$25</definedName>
  </definedNames>
  <calcPr calcId="191029" fullCalcOnLoad="1"/>
</workbook>
</file>

<file path=xl/styles.xml><?xml version="1.0" encoding="utf-8"?>
<styleSheet xmlns="http://schemas.openxmlformats.org/spreadsheetml/2006/main">
  <numFmts count="1">
    <numFmt numFmtId="164" formatCode="yyyy\-mm\-dd"/>
  </numFmts>
  <fonts count="13">
    <font>
      <name val="Calibri"/>
      <family val="2"/>
      <color theme="1"/>
      <sz val="11"/>
      <scheme val="minor"/>
    </font>
    <font>
      <name val="Calibri"/>
      <family val="2"/>
      <b val="1"/>
      <color rgb="FF14452A"/>
      <sz val="16"/>
    </font>
    <font>
      <name val="Calibri"/>
      <family val="2"/>
      <i val="1"/>
      <color rgb="FF555555"/>
      <sz val="10"/>
    </font>
    <font>
      <name val="Calibri"/>
      <family val="2"/>
      <b val="1"/>
      <color rgb="FFFFFFFF"/>
      <sz val="11"/>
    </font>
    <font>
      <name val="Calibri"/>
      <family val="2"/>
      <sz val="11"/>
    </font>
    <font>
      <name val="Calibri"/>
      <family val="2"/>
      <b val="1"/>
      <sz val="11"/>
    </font>
    <font>
      <name val="Calibri"/>
      <family val="2"/>
      <b val="1"/>
      <color rgb="FF333333"/>
      <sz val="10"/>
    </font>
    <font>
      <name val="Calibri"/>
      <family val="2"/>
      <b val="1"/>
      <color rgb="FF14452A"/>
      <sz val="11"/>
    </font>
    <font>
      <name val="Calibri"/>
      <family val="2"/>
      <b val="1"/>
      <color rgb="FF14452A"/>
      <sz val="14"/>
    </font>
    <font>
      <name val="Calibri"/>
      <family val="2"/>
      <b val="1"/>
      <color rgb="FF14452A"/>
      <sz val="11"/>
    </font>
    <font>
      <name val="Calibri"/>
      <family val="2"/>
      <b val="1"/>
      <color rgb="FF333333"/>
      <sz val="10"/>
    </font>
    <font>
      <name val="Calibri"/>
      <family val="2"/>
      <b val="1"/>
      <color theme="1"/>
      <sz val="11"/>
      <scheme val="minor"/>
    </font>
    <font>
      <name val="Calibri"/>
      <family val="2"/>
      <b val="1"/>
      <color rgb="FFFFFFFF"/>
      <sz val="16"/>
      <scheme val="minor"/>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1F4E78"/>
        <bgColor indexed="64"/>
      </patternFill>
    </fill>
    <fill>
      <patternFill patternType="solid">
        <fgColor rgb="FFD9E1F2"/>
        <bgColor indexed="64"/>
      </patternFill>
    </fill>
  </fills>
  <borders count="10">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50">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3" applyAlignment="1" pivotButton="0" quotePrefix="0" xfId="0">
      <alignment horizontal="left" vertical="top" wrapText="1"/>
    </xf>
    <xf numFmtId="0" fontId="0" fillId="0" borderId="0" applyAlignment="1" pivotButton="0" quotePrefix="0" xfId="0">
      <alignment horizontal="left" vertical="top" wrapText="1"/>
    </xf>
    <xf numFmtId="0" fontId="11" fillId="20" borderId="6" applyAlignment="1" pivotButton="0" quotePrefix="0" xfId="0">
      <alignment horizontal="left" vertical="top" wrapText="1"/>
    </xf>
    <xf numFmtId="164" fontId="0" fillId="0" borderId="3" applyAlignment="1" pivotButton="0" quotePrefix="0" xfId="0">
      <alignment horizontal="left" vertical="top" wrapText="1"/>
    </xf>
    <xf numFmtId="0" fontId="11" fillId="0" borderId="3" applyAlignment="1" pivotButton="0" quotePrefix="0" xfId="0">
      <alignment horizontal="left" vertical="top" wrapText="1"/>
    </xf>
    <xf numFmtId="164" fontId="0" fillId="0" borderId="0" applyAlignment="1" pivotButton="0" quotePrefix="0" xfId="0">
      <alignment horizontal="left" vertical="top" wrapText="1"/>
    </xf>
    <xf numFmtId="0" fontId="0" fillId="0" borderId="6" applyAlignment="1" pivotButton="0" quotePrefix="0" xfId="0">
      <alignment horizontal="left" vertical="top" wrapText="1"/>
    </xf>
    <xf numFmtId="164" fontId="0" fillId="0" borderId="6" applyAlignment="1" pivotButton="0" quotePrefix="0" xfId="0">
      <alignment horizontal="left" vertical="top" wrapText="1"/>
    </xf>
    <xf numFmtId="0" fontId="0" fillId="0" borderId="0" applyAlignment="1" pivotButton="0" quotePrefix="0" xfId="0">
      <alignment vertical="top" wrapText="1"/>
    </xf>
    <xf numFmtId="0" fontId="2" fillId="0" borderId="0"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applyAlignment="1" pivotButton="0" quotePrefix="0" xfId="0">
      <alignment wrapText="1"/>
    </xf>
    <xf numFmtId="0" fontId="8" fillId="0" borderId="0" applyAlignment="1" pivotButton="0" quotePrefix="0" xfId="0">
      <alignment wrapText="1"/>
    </xf>
    <xf numFmtId="0" fontId="12" fillId="19" borderId="0" applyAlignment="1" pivotButton="0" quotePrefix="0" xfId="0">
      <alignment horizontal="left" vertical="top" wrapText="1"/>
    </xf>
    <xf numFmtId="0" fontId="0" fillId="0" borderId="0" applyAlignment="1" pivotButton="0" quotePrefix="0" xfId="0">
      <alignment horizontal="left" vertical="top" wrapText="1"/>
    </xf>
    <xf numFmtId="0" fontId="11" fillId="20" borderId="3" applyAlignment="1" pivotButton="0" quotePrefix="0" xfId="0">
      <alignment horizontal="left" vertical="top" wrapText="1"/>
    </xf>
    <xf numFmtId="0" fontId="0" fillId="0" borderId="7"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16"/>
  <sheetViews>
    <sheetView showGridLines="0" topLeftCell="J1" zoomScale="70" zoomScaleNormal="70" workbookViewId="0">
      <pane ySplit="4" topLeftCell="A205" activePane="bottomLeft" state="frozen"/>
      <selection activeCell="J1" sqref="J1"/>
      <selection pane="bottomLeft" activeCell="N208" sqref="N208"/>
    </sheetView>
  </sheetViews>
  <sheetFormatPr baseColWidth="8" defaultRowHeight="14.5"/>
  <cols>
    <col width="11" customWidth="1" style="41" min="1" max="1"/>
    <col width="12" customWidth="1" style="41" min="2" max="2"/>
    <col width="13" customWidth="1" style="41" min="3" max="3"/>
    <col width="9" customWidth="1" style="41" min="4" max="6"/>
    <col width="22" customWidth="1" style="41" min="7" max="7"/>
    <col width="32" customWidth="1" style="41" min="8" max="8"/>
    <col width="38" customWidth="1" style="41" min="9" max="9"/>
    <col width="50" customWidth="1" style="41" min="10" max="10"/>
    <col width="55" customWidth="1" style="42" min="11" max="11"/>
    <col width="50" customWidth="1" style="42" min="12" max="12"/>
    <col hidden="1" width="13" customWidth="1" style="43" min="13" max="13"/>
    <col width="22" customWidth="1" style="42" min="14" max="14"/>
    <col width="62" customWidth="1" style="42" min="15" max="15"/>
    <col width="8.7265625" customWidth="1" style="42" min="16" max="16"/>
  </cols>
  <sheetData>
    <row r="1" ht="21" customHeight="1" s="43">
      <c r="A1" s="44" t="inlineStr">
        <is>
          <t>JLPT N5 audit — JLPTSuccess sub-app at /N5/</t>
        </is>
      </c>
    </row>
    <row r="2">
      <c r="A2" s="40" t="inlineStr">
        <is>
          <t>Date: 2026-05-04 · Read-only audit · 24 entries (7 issues + 17 improvements)</t>
        </is>
      </c>
    </row>
    <row r="4" ht="43.5" customHeight="1" s="4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4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4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4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4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4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4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4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4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4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4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4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4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4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4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4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4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row>
    <row r="21" ht="58" customHeight="1" s="4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4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4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4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row>
    <row r="25" ht="43.5" customHeight="1" s="4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row>
    <row r="26" ht="43.5" customHeight="1" s="4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row>
    <row r="27" ht="29" customHeight="1" s="4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4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row>
    <row r="29" ht="58" customHeight="1" s="4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row>
    <row r="30" ht="43.5" customHeight="1" s="4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row>
    <row r="31" ht="43.5" customHeight="1" s="4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row>
    <row r="32" ht="72.5" customHeight="1" s="4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row>
    <row r="33" ht="72.5" customHeight="1" s="4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row>
    <row r="34" ht="72.5" customHeight="1" s="4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row>
    <row r="35" ht="87" customHeight="1" s="4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row>
    <row r="36" ht="58" customHeight="1" s="4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row>
    <row r="37" ht="58" customHeight="1" s="4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row>
    <row r="38" ht="58" customHeight="1" s="4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row>
    <row r="39" ht="87" customHeight="1" s="4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row>
    <row r="40" ht="72.5" customHeight="1" s="4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row>
    <row r="41" ht="72.5" customHeight="1" s="4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row>
    <row r="42" ht="72.5" customHeight="1" s="4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row>
    <row r="43" ht="72.5" customHeight="1" s="4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row>
    <row r="44" ht="87" customHeight="1" s="4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row>
    <row r="45" ht="72.5" customHeight="1" s="4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row>
    <row r="46" ht="43.5" customHeight="1" s="4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row>
    <row r="47" ht="43.5" customHeight="1" s="4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row>
    <row r="48" ht="43.5" customHeight="1" s="4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row>
    <row r="49" ht="58" customHeight="1" s="4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row>
    <row r="50" ht="43.5" customHeight="1" s="4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row>
    <row r="51" ht="43.5" customHeight="1" s="4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row>
    <row r="52" ht="29" customHeight="1" s="4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row>
    <row r="53" ht="58" customHeight="1" s="4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row>
    <row r="54" ht="43.5" customHeight="1" s="4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row>
    <row r="55" ht="29" customHeight="1" s="4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row>
    <row r="56" ht="58" customHeight="1" s="4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row>
    <row r="57" ht="43.5" customHeight="1" s="4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row>
    <row r="58" ht="43.5" customHeight="1" s="4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row>
    <row r="59" ht="58" customHeight="1" s="4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row>
    <row r="60" ht="43.5" customHeight="1" s="4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row>
    <row r="61" ht="43.5" customHeight="1" s="4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row>
    <row r="62" ht="43.5" customHeight="1" s="4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row>
    <row r="63" ht="43.5" customHeight="1" s="4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row>
    <row r="64" ht="43.5" customHeight="1" s="4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row>
    <row r="65" ht="43.5" customHeight="1" s="4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row>
    <row r="66" ht="58" customHeight="1" s="4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row>
    <row r="67" ht="43.5" customHeight="1" s="4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row>
    <row r="68" ht="43.5" customHeight="1" s="4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row>
    <row r="69" ht="43.5" customHeight="1" s="4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row>
    <row r="70" ht="43.5" customHeight="1" s="4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row>
    <row r="71" ht="43.5" customHeight="1" s="4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row>
    <row r="72" ht="43.5" customHeight="1" s="4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row>
    <row r="73" ht="43.5" customHeight="1" s="4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row>
    <row r="74" ht="58" customHeight="1" s="4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row>
    <row r="75" ht="43.5" customHeight="1" s="4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row>
    <row r="76" ht="43.5" customHeight="1" s="4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row>
    <row r="77" ht="58" customHeight="1" s="4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row>
    <row r="78" ht="58" customHeight="1" s="4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row>
    <row r="79" ht="43.5" customHeight="1" s="4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row>
    <row r="80" ht="43.5" customHeight="1" s="4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row>
    <row r="81" ht="58" customHeight="1" s="4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4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4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4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4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4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4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4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4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4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4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4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4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4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4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4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4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4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4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4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4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4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4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4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4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4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4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4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4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4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4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4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4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4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4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4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4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4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4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4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4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4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4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4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4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4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4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4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4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4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4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ht="58" customHeight="1" s="43">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42" t="inlineStr">
        <is>
          <t>0/178 patterns carry meaning_{vi,id,ne,zh} or explanation_{vi,id,ne,zh}. UI chrome is fully translated; the content the learner studies remains English-only on every non-EN locale.</t>
        </is>
      </c>
      <c r="K134" s="42" t="inlineStr">
        <is>
          <t>Single biggest niche-N1 blocker. Vocab gloss reached 45.8% in round-6, kanji meanings reached 100%, but grammar is still 0%. A non-EN learner clicking into any pattern sees only English meaning + explanation.</t>
        </is>
      </c>
      <c r="L134" s="42" t="inlineStr">
        <is>
          <t>Author meaning_{lc} + explanation_{lc} for the top-30 patterns first (copula, particles, te-form, masu-form, polite negation, basic adjective forms), then expand in successive batches.</t>
        </is>
      </c>
      <c r="M134" t="inlineStr">
        <is>
          <t>—</t>
        </is>
      </c>
      <c r="N134" s="42" t="inlineStr">
        <is>
          <t>Done</t>
        </is>
      </c>
      <c r="O134" t="inlineStr">
        <is>
          <t xml:space="preserve"> [Superseded 2026-05-06 by IMP-096 + round-8 ISSUE-077/078: locale narrowed to en+hi; Hindi grammar localization landed at native_reviewed quality on top-30 patterns.]</t>
        </is>
      </c>
    </row>
    <row r="135" ht="43.5" customHeight="1" s="43">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42" t="inlineStr">
        <is>
          <t>mondai distribution: M1=14, M2=13, M3=13, M4=0. Round-3 audit closed mondai-4=0 but the regression is back or never resolved.</t>
        </is>
      </c>
      <c r="K135" s="42" t="inlineStr">
        <is>
          <t>A real N5 chokai paper has 6 mondai-4 items (one-line stimulus + pick the right response). The app ships zero. Mock-listening fidelity is broken.</t>
        </is>
      </c>
      <c r="L135" s="42" t="inlineStr">
        <is>
          <t>Author 6-8 mondai-4 items. They are the cheapest mondai to author since they need no setup dialogue or picture.</t>
        </is>
      </c>
      <c r="M135" t="inlineStr">
        <is>
          <t>—</t>
        </is>
      </c>
      <c r="N135" s="42" t="inlineStr">
        <is>
          <t>Done</t>
        </is>
      </c>
    </row>
    <row r="136" ht="72.5" customHeight="1" s="43">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42" t="inlineStr">
        <is>
          <t>mondai null on every passage. Length range 62-138 chars (median 86). Mondai-5 (250-300 char band) has zero passages. 4/40 carry format_type schedule_table/menu_list/notice (would map to mondai-6).</t>
        </is>
      </c>
      <c r="K136" s="42" t="inlineStr">
        <is>
          <t>JLPT N5 dokkai has three mondai: M4 (100-200 chars), M5 (250-300), M6 (info-search). Today only the M4-length band is represented and even those carry no mondai tag.</t>
        </is>
      </c>
      <c r="L136" s="42" t="inlineStr">
        <is>
          <t>Backfill mondai∈{4,5,6} on existing 40 passages by length + format_type matching. Author 8-10 new passages in the 250-300 char band.</t>
        </is>
      </c>
      <c r="M136" t="inlineStr">
        <is>
          <t>ISSUE-061</t>
        </is>
      </c>
      <c r="N136" s="42" t="inlineStr">
        <is>
          <t>Done</t>
        </is>
      </c>
    </row>
    <row r="137" ht="58" customHeight="1" s="43">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42" t="inlineStr">
        <is>
          <t>Three structural gaps: (1) no chokai papers exist; (2) all 402 questions carry no mondai field; (3) papers are flat 15-question packs, not the per-section sub-mondai distribution real exams use.</t>
        </is>
      </c>
      <c r="K137" s="42" t="inlineStr">
        <is>
          <t>A learner taking the app mock paper gets a flat quiz, not a 25/50/30-min three-section structured exam. The headline "all-in-one" feature falls short of N5 official structure.</t>
        </is>
      </c>
      <c r="L137" s="42" t="inlineStr">
        <is>
          <t>Phase 1: backfill mondai on 402 questions. Phase 2: build chokai papers from listening.json. Phase 3: rework tools/build_papers.py to weight per official sub-mondai counts.</t>
        </is>
      </c>
      <c r="M137" t="inlineStr">
        <is>
          <t>ISSUE-057, ISSUE-058</t>
        </is>
      </c>
      <c r="N137" s="42" t="inlineStr">
        <is>
          <t>Done</t>
        </is>
      </c>
    </row>
    <row r="138" ht="72.5" customHeight="1" s="43">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42" t="inlineStr">
        <is>
          <t>Grammar 178/178 llm_curated, Vocab 1041/1041 llm_curated, Kanji 106/106 llm_curated, Reading 40/40 llm_curated, Listening 40/40 llm_curated. Provenance-badge UI shipped in round-6 but never fires (10% threshold).</t>
        </is>
      </c>
      <c r="K138" s="42" t="inlineStr">
        <is>
          <t>Round-6 paid the engineering cost to display this trust signal but content cost was deferred. Until any corpus crosses 10%, the app is indistinguishable from any LLM-generated study tool.</t>
        </is>
      </c>
      <c r="L138" s="42" t="inlineStr">
        <is>
          <t>Recruit one native reviewer per locale or one global JA reviewer; pick a small surface (e.g. top-50 grammar patterns or kanji 106) to drive to ≥10%. Once badge fires, it self-amplifies trust.</t>
        </is>
      </c>
      <c r="M138" t="inlineStr">
        <is>
          <t>Q27</t>
        </is>
      </c>
      <c r="N138" s="4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4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42" t="inlineStr">
        <is>
          <t>Raw correct-position distribution: pos0=57%, pos1=31%, pos2=8%, pos3=4%. Runtime shuffle in test/drill/diagnostic masks this for users; papers.js does NOT shuffle.</t>
        </is>
      </c>
      <c r="K139" s="42" t="inlineStr">
        <is>
          <t>Subtle bias. A new authoring batch that bypasses runtime shuffle (e.g. paper builder reading questions.json directly) inherits the bias. Also a CI invariant gap.</t>
        </is>
      </c>
      <c r="L139" s="42" t="inlineStr">
        <is>
          <t>Add a JA-36 invariant: fail if any single corpus correct-position dist exceeds 35% in any one slot. Either rebalance questions.json or document runtime-shuffle compensation in the spec.</t>
        </is>
      </c>
      <c r="M139" t="inlineStr">
        <is>
          <t>—</t>
        </is>
      </c>
      <c r="N139" s="42" t="inlineStr">
        <is>
          <t>Done</t>
        </is>
      </c>
    </row>
    <row r="140" ht="43.5" customHeight="1" s="4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42" t="inlineStr">
        <is>
          <t>18/40 use synthetic-voicevox-shikoku-metan; 22/40 carry no voice tag at all. Single-voice listening; official N5 chokai exposes ≥4 distinct voices per paper.</t>
        </is>
      </c>
      <c r="K140" s="42" t="inlineStr">
        <is>
          <t>Listening realism is the niche-N4 depth lever. Single-voice synthesis from one voicevox character makes mock-listening practice feel artificial.</t>
        </is>
      </c>
      <c r="L140" s="42" t="inlineStr">
        <is>
          <t>Add 3-4 additional voicevox speakers (tsumugi, takehiro, kasukabe-tsumugi) and re-render audio for 30+ items. Free, fully-offline-generable at build time.</t>
        </is>
      </c>
      <c r="M140" t="inlineStr">
        <is>
          <t>ISSUE-057</t>
        </is>
      </c>
      <c r="N140" s="42" t="inlineStr">
        <is>
          <t>Done</t>
        </is>
      </c>
      <c r="O140" s="4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4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42" t="inlineStr">
        <is>
          <t>All seven optional depth fields are zero. None of pitch_accent, collocations, transitivity, transitive/intransitive pair_id, counter, register, false_friends present.</t>
        </is>
      </c>
      <c r="K141" s="42" t="inlineStr">
        <is>
          <t>Niche-N4 (all-in-one vs juggling apps) requires the vocab page to be deep enough that the learner does not need Jisho.org or a paper dictionary alongside.</t>
        </is>
      </c>
      <c r="L141" s="42" t="inlineStr">
        <is>
          <t>One schema-migration pass adding the seven optional fields. Then per-field tooling passes authoring values from canonical sources (NHK pitch dict, JMdict transitivity, KanjiVG radicals).</t>
        </is>
      </c>
      <c r="M141" t="inlineStr">
        <is>
          <t>—</t>
        </is>
      </c>
      <c r="N141" s="42" t="inlineStr">
        <is>
          <t>Done</t>
        </is>
      </c>
    </row>
    <row r="142" ht="58" customHeight="1" s="4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42" t="inlineStr">
        <is>
          <t>No radicals, no decomposition (e.g. 明 = 日 + 月), no mnemonics, no confusable cross-links (e.g. 大/犬/太, 木/本/末/未).</t>
        </is>
      </c>
      <c r="K142" s="42" t="inlineStr">
        <is>
          <t>WaniKani defining advantage is radical-decomposition + mnemonic system. Learner who picks up this app + a separate kanji app for radicals is the niche-N4 "I still need a separate app" failure mode.</t>
        </is>
      </c>
      <c r="L142" s="42" t="inlineStr">
        <is>
          <t>Author radical + radical_decomposition from KanjiVG (offline-derivable). LLM-seed one-line mnemonic per kanji, then native-review batch. Add confusable_with for the 8 well-known clusters.</t>
        </is>
      </c>
      <c r="M142" t="inlineStr">
        <is>
          <t>—</t>
        </is>
      </c>
      <c r="N142" s="42" t="inlineStr">
        <is>
          <t>Done</t>
        </is>
      </c>
    </row>
    <row r="143" ht="72.5" customHeight="1" s="4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42" t="inlineStr">
        <is>
          <t>js/storage.js writes under jlpt-n5-tutor:*. PRIVACY.md mentions jlpt-n5-tutor (matches). README.md no namespace mention found in current pass. Earlier reported n5.* drift either resolved or moved.</t>
        </is>
      </c>
      <c r="K143" s="42" t="inlineStr">
        <is>
          <t>Niche-N2 (privacy) audits demand documented storage. A doc-vs-code mismatch in a privacy-positioning project disproportionately damages the niche claim.</t>
        </is>
      </c>
      <c r="L143" s="42" t="inlineStr">
        <is>
          <t>Add a JA-37 invariant: scan js/storage.js for localStorage.setItem/getItem patterns, extract namespace, assert it appears verbatim in PRIVACY.md.</t>
        </is>
      </c>
      <c r="M143" t="inlineStr">
        <is>
          <t>—</t>
        </is>
      </c>
      <c r="N143" s="42" t="inlineStr">
        <is>
          <t>Done</t>
        </is>
      </c>
    </row>
    <row r="144" ht="58" customHeight="1" s="4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42" t="inlineStr">
        <is>
          <t>Locale resolution: saved &gt; navigator.language &gt; en. Referrer hint is parallel boost (round-6). navigator.languages[] (plural array of all browser-language preferences in priority order) is NOT consulted.</t>
        </is>
      </c>
      <c r="K144" s="42" t="inlineStr">
        <is>
          <t>For users whose system is set to en-US but Accept-Language=vi-VN,en-US, the hint to default to vi is missed. Niche-N1 first-paint optimisation lever.</t>
        </is>
      </c>
      <c r="L144" s="42" t="inlineStr">
        <is>
          <t>Add navigator.languages[] consultation alongside navigator.language. Pick the highest-priority language present in supportedLocales.</t>
        </is>
      </c>
      <c r="M144" t="inlineStr">
        <is>
          <t>—</t>
        </is>
      </c>
      <c r="N144" s="42" t="inlineStr">
        <is>
          <t>Done</t>
        </is>
      </c>
    </row>
    <row r="145" ht="43.5" customHeight="1" s="4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42" t="inlineStr">
        <is>
          <t>Covered: self-introduction, family, daily routine, school, study, food, shopping, transport, weather, hobby, schedule, weekend plan. Gaps: restaurant, leisure, body/health (only 1), time/calendar, occupation.</t>
        </is>
      </c>
      <c r="K145" s="42" t="inlineStr">
        <is>
          <t>Self-study learners use the dokkai surface for topical reading; uneven coverage means some learners hit "8 shopping passages and 0 health" feel.</t>
        </is>
      </c>
      <c r="L145" s="42" t="inlineStr">
        <is>
          <t>Author 5-6 passages in the gap topics (restaurant scene, leisure/hobbies, body/health vocab in context, calendar/time, occupation light-touch).</t>
        </is>
      </c>
      <c r="M145" t="inlineStr">
        <is>
          <t>ISSUE-058</t>
        </is>
      </c>
      <c r="N145" s="42" t="inlineStr">
        <is>
          <t>Done</t>
        </is>
      </c>
    </row>
    <row r="146" ht="58" customHeight="1" s="4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42" t="inlineStr">
        <is>
          <t>Mean common-mistakes per pattern = 1.10; 31 patterns have []. Audit standard is ≥1 specific common-mistake per pattern.</t>
        </is>
      </c>
      <c r="K146" s="42" t="inlineStr">
        <is>
          <t>Common-mistakes are highest-value pedagogical artifact per pattern. 31 zero-entry patterns break the floor.</t>
        </is>
      </c>
      <c r="L146" s="42" t="inlineStr">
        <is>
          <t>Author one specific common-mistake on each of the 31 zero-entry patterns. Add JA-38 invariant requiring len(common_mistakes) &gt;= 1.</t>
        </is>
      </c>
      <c r="M146" t="inlineStr">
        <is>
          <t>—</t>
        </is>
      </c>
      <c r="N146" s="42" t="inlineStr">
        <is>
          <t>Done</t>
        </is>
      </c>
    </row>
    <row r="147" ht="58" customHeight="1" s="4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42" t="inlineStr">
        <is>
          <t>No pattern documents which canonical reference work it appears in.</t>
        </is>
      </c>
      <c r="K147" s="42" t="inlineStr">
        <is>
          <t>Trust signal for serious learners (especially institutional / niche-N3 adopters). Also helps detect over-extension of catalog (178 patterns vs Bunpro ~140 — which 38 are extras and why?).</t>
        </is>
      </c>
      <c r="L147" s="42" t="inlineStr">
        <is>
          <t>Add sources array per pattern referencing genki/minna/bunpro/jlpt-sensei. Cross-validate with KnowledgeBank/sources.md.</t>
        </is>
      </c>
      <c r="M147" t="inlineStr">
        <is>
          <t>—</t>
        </is>
      </c>
      <c r="N147" s="42" t="inlineStr">
        <is>
          <t>Done</t>
        </is>
      </c>
    </row>
    <row r="148" ht="58" customHeight="1" s="4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42" t="inlineStr">
        <is>
          <t>Round-6 added per-section coverage % badge. Per-item visual indicator that a gloss is machine_translated vs native_reviewed is missing on the vocab detail page.</t>
        </is>
      </c>
      <c r="K148" s="42" t="inlineStr">
        <is>
          <t>Once native-review starts (per ISSUE-060), the user needs an obvious way to see "this gloss is native-reviewed; that one is machine-translated."</t>
        </is>
      </c>
      <c r="L148" s="42" t="inlineStr">
        <is>
          <t>Wire js/provenance-badge.js renderItemBadge() into the vocab detail page. Stub already exists from round-6 ISSUE-053.</t>
        </is>
      </c>
      <c r="M148" t="inlineStr">
        <is>
          <t>ISSUE-060</t>
        </is>
      </c>
      <c r="N148" s="42" t="inlineStr">
        <is>
          <t>Done</t>
        </is>
      </c>
    </row>
    <row r="149" ht="58" customHeight="1" s="4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42" t="inlineStr">
        <is>
          <t>docs/SELF-HOST.md exists. Per-locale README does not.</t>
        </is>
      </c>
      <c r="K149" s="42" t="inlineStr">
        <is>
          <t>Niche-N3 fork-and-rebrand path is gated by English-only docs. A Vietnamese-language vocational-school adopter must read English to self-host.</t>
        </is>
      </c>
      <c r="L149" s="42" t="inlineStr">
        <is>
          <t>Translate docs/SELF-HOST.md to vi/id/ne/zh once content authoring momentum is up.</t>
        </is>
      </c>
      <c r="M149" t="inlineStr">
        <is>
          <t>Q20</t>
        </is>
      </c>
      <c r="N149" s="42" t="inlineStr">
        <is>
          <t>Done</t>
        </is>
      </c>
    </row>
    <row r="150" ht="58" customHeight="1" s="4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42" t="inlineStr">
        <is>
          <t>No visual-regression snapshots on home, settings, vocab list. Layout regressions are caught by humans only. Round-4 deferred.</t>
        </is>
      </c>
      <c r="K150" s="42" t="inlineStr">
        <is>
          <t>Layout drift on locale switches (Nepali / Chinese render with very different metrics than English) currently invisible.</t>
        </is>
      </c>
      <c r="L150" s="42" t="inlineStr">
        <is>
          <t>Add Playwright visual-regression snapshots on home page × 5 locales × light/dark.</t>
        </is>
      </c>
      <c r="M150" t="inlineStr">
        <is>
          <t>—</t>
        </is>
      </c>
      <c r="N150" s="42" t="inlineStr">
        <is>
          <t>Done</t>
        </is>
      </c>
      <c r="O150" s="4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4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42" t="inlineStr">
        <is>
          <t>Repo description / topics not visible in README. No git tag for v1.12.37 (or any release).</t>
        </is>
      </c>
      <c r="K151" s="42" t="inlineStr">
        <is>
          <t>Niche-N3 adopters / niche-N1 word-of-mouth gates on repo discoverability via GitHub topics.</t>
        </is>
      </c>
      <c r="L151" s="42" t="inlineStr">
        <is>
          <t>Add repo description, topics (japanese, jlpt, n5, pwa, multilingual, privacy). git tag v1.12.37. Write Show HN-ready release note.</t>
        </is>
      </c>
      <c r="M151" t="inlineStr">
        <is>
          <t>—</t>
        </is>
      </c>
      <c r="N151" s="42" t="inlineStr">
        <is>
          <t>Done</t>
        </is>
      </c>
    </row>
    <row r="152" ht="43.5" customHeight="1" s="4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42" t="inlineStr">
        <is>
          <t>Voicevox default pacing is unaudited.</t>
        </is>
      </c>
      <c r="K152" s="42" t="inlineStr">
        <is>
          <t>Pacing realism is a polish lever; not a blocker.</t>
        </is>
      </c>
      <c r="L152" s="42" t="inlineStr">
        <is>
          <t>Random-sample 5 listening items, measure mora/min, compare to JLPT.jp official sample, adjust voicevox speed_scale per item if off by &gt;15%.</t>
        </is>
      </c>
      <c r="M152" t="inlineStr">
        <is>
          <t>—</t>
        </is>
      </c>
      <c r="N152" s="42" t="inlineStr">
        <is>
          <t>Done</t>
        </is>
      </c>
      <c r="O152" s="4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4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42" t="inlineStr">
        <is>
          <t>0/178 patterns carry l1_notes field. No L1-specific gotchas surfaced.</t>
        </is>
      </c>
      <c r="K153" s="42" t="inlineStr">
        <is>
          <t>No competitor does this. Bunpro is English-first. WaniKani is English-first. Renshuu has light support. JLPT Sensei is English-only. Pure niche-N1 unique-claim lever.</t>
        </is>
      </c>
      <c r="L153" s="42" t="inlineStr">
        <is>
          <t>Add l1_notes: { vi, id, ne, zh } schema. Author top-30 patterns first with one-paragraph L1 notes per locale.</t>
        </is>
      </c>
      <c r="M153" t="inlineStr">
        <is>
          <t>ISSUE-056</t>
        </is>
      </c>
      <c r="N153" s="42" t="inlineStr">
        <is>
          <t>Done</t>
        </is>
      </c>
    </row>
    <row r="154" ht="43.5" customHeight="1" s="4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42" t="inlineStr">
        <is>
          <t>Both surfaces have explanation_en only. After answer submit, rationale is English-only on every non-EN locale.</t>
        </is>
      </c>
      <c r="K154" s="42" t="inlineStr">
        <is>
          <t>Bunpro shows native-language rationales (English). No competitor offers vi/id/ne/zh rationales.</t>
        </is>
      </c>
      <c r="L154" s="42" t="inlineStr">
        <is>
          <t>Author explanation_{lc} for at least 20 reading + 20 listening items as first batch.</t>
        </is>
      </c>
      <c r="M154" t="inlineStr">
        <is>
          <t>ISSUE-060</t>
        </is>
      </c>
      <c r="N154" s="42" t="inlineStr">
        <is>
          <t>Done</t>
        </is>
      </c>
      <c r="O154" s="4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4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42" t="inlineStr">
        <is>
          <t>0/106 carry radical_decomposition. Stroke-order SVG present, no per-component breakdown.</t>
        </is>
      </c>
      <c r="K155" s="42" t="inlineStr">
        <is>
          <t>WaniKani decomposes every kanji into radicals + provides per-radical mnemonics; defining UX advantage. Even minimal closes the largest WaniKani gap.</t>
        </is>
      </c>
      <c r="L155" s="42" t="inlineStr">
        <is>
          <t>Author radical_decomposition from KanjiVG component data (offline-derivable). Add one-line mnemonic per kanji (LLM-seeded, native-reviewed).</t>
        </is>
      </c>
      <c r="M155" t="inlineStr">
        <is>
          <t>ISSUE-064</t>
        </is>
      </c>
      <c r="N155" s="42" t="inlineStr">
        <is>
          <t>Done</t>
        </is>
      </c>
    </row>
    <row r="156" ht="43.5" customHeight="1" s="4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42" t="inlineStr">
        <is>
          <t>Learner who confuses 大/犬/太 or 木/本/末/未 has no compare surface in the app.</t>
        </is>
      </c>
      <c r="K156" s="42" t="inlineStr">
        <is>
          <t>WaniKani surfaces visually-similar kanji; the app could match this with eight static cross-link clusters.</t>
        </is>
      </c>
      <c r="L156" s="42" t="inlineStr">
        <is>
          <t>Add confusable_with: [kanji-id-1, kanji-id-2] on kanji entries. Render Compare callout on detail page.</t>
        </is>
      </c>
      <c r="M156" t="inlineStr">
        <is>
          <t>ISSUE-064</t>
        </is>
      </c>
      <c r="N156" s="42" t="inlineStr">
        <is>
          <t>Done</t>
        </is>
      </c>
    </row>
    <row r="157" ht="43.5" customHeight="1" s="4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42" t="inlineStr">
        <is>
          <t>12 canonical pairs (開ける/開く etc.) sit in catalog with no adjacency or cross-link.</t>
        </is>
      </c>
      <c r="K157" s="42" t="inlineStr">
        <is>
          <t>Tofugu / Tae Kim / Bunpro all surface these pairs as a unit; learners typically get them confused without explicit pairing.</t>
        </is>
      </c>
      <c r="L157" s="42" t="inlineStr">
        <is>
          <t>Add pair_id field on both members of each pair; build see-also widget on vocab detail page.</t>
        </is>
      </c>
      <c r="M157" t="inlineStr">
        <is>
          <t>ISSUE-063</t>
        </is>
      </c>
      <c r="N157" s="42" t="inlineStr">
        <is>
          <t>Done</t>
        </is>
      </c>
    </row>
    <row r="158" ht="43.5" customHeight="1" s="4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42" t="inlineStr">
        <is>
          <t>Mandarin learners reading 大丈夫 may mentally read as "big husband" pre-lesson; 手紙 looks like 手纸 (toilet paper); 娘 looks like 娘 (mother). No surface flags these.</t>
        </is>
      </c>
      <c r="K158" s="42" t="inlineStr">
        <is>
          <t>No competitor does this. Pure niche-N1 unique-claim lever for Mandarin learners specifically.</t>
        </is>
      </c>
      <c r="L158" s="42" t="inlineStr">
        <is>
          <t>Add false_friends: { zh: "shared with 中文 — different meaning: ..." } on the ~25 N5 entries with shared-glyph Mandarin false friends.</t>
        </is>
      </c>
      <c r="M158" t="inlineStr">
        <is>
          <t>—</t>
        </is>
      </c>
      <c r="N158" s="42" t="inlineStr">
        <is>
          <t>Done</t>
        </is>
      </c>
    </row>
    <row r="159" ht="29" customHeight="1" s="4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42" t="inlineStr">
        <is>
          <t>Current timer is single-paper. Real exam: 25 + 50 + 30 = 105 min split across three sections.</t>
        </is>
      </c>
      <c r="K159" s="42" t="inlineStr">
        <is>
          <t>Official JLPT N5 paper enforces three-section split. Some prep apps (jlpt-quick) replicate it.</t>
        </is>
      </c>
      <c r="L159" s="42" t="inlineStr">
        <is>
          <t>Once ISSUE-059 ships per-section paper structure, wire test.js to use 25/50/30-min splits with section-end announcements.</t>
        </is>
      </c>
      <c r="M159" t="inlineStr">
        <is>
          <t>ISSUE-059</t>
        </is>
      </c>
      <c r="N159" s="4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4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42" t="inlineStr">
        <is>
          <t>0/1041 entries carry pitch_accent. NHK 日本語発音アクセント新辞典 data is freely available for N5 vocab.</t>
        </is>
      </c>
      <c r="K160" s="42" t="inlineStr">
        <is>
          <t>Marumori / Migaku / OJAD show pitch accent. Bunpro and WaniKani do not focus on it.</t>
        </is>
      </c>
      <c r="L160" s="42" t="inlineStr">
        <is>
          <t>Author pitch-accent strings from NHK or wadoku.de data. Render via small inline visualizer on vocab detail page.</t>
        </is>
      </c>
      <c r="M160" t="inlineStr">
        <is>
          <t>ISSUE-063</t>
        </is>
      </c>
      <c r="N160" s="42" t="inlineStr">
        <is>
          <t>Done</t>
        </is>
      </c>
    </row>
    <row r="161" ht="29" customHeight="1" s="4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42" t="inlineStr">
        <is>
          <t>0/1041 entries carry counter. Learners must independently know that 本 takes さつ, cars take 台, animals take 匹, etc.</t>
        </is>
      </c>
      <c r="K161" s="42" t="inlineStr">
        <is>
          <t>Most JLPT vocab apps do not surface this; Tobira surfaces it for advanced learners.</t>
        </is>
      </c>
      <c r="L161" s="42" t="inlineStr">
        <is>
          <t>Add counter field on the 80-100 N5 nouns with canonical counter pairings.</t>
        </is>
      </c>
      <c r="M161" t="inlineStr">
        <is>
          <t>ISSUE-063</t>
        </is>
      </c>
      <c r="N161" s="42" t="inlineStr">
        <is>
          <t>Done</t>
        </is>
      </c>
    </row>
    <row r="162" ht="29" customHeight="1" s="4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42" t="inlineStr">
        <is>
          <t>v1.12.37 just shipped to master with no git tag. Niche-N3 forkers hit "what version am I forking?".</t>
        </is>
      </c>
      <c r="K162" s="42" t="inlineStr">
        <is>
          <t>Every credible OSS project tags releases.</t>
        </is>
      </c>
      <c r="L162" s="42" t="inlineStr">
        <is>
          <t>git tag v1.12.37 -m "..." at every release boundary. Auto-derive release notes from CHANGELOG.md heading.</t>
        </is>
      </c>
      <c r="M162" t="inlineStr">
        <is>
          <t>—</t>
        </is>
      </c>
      <c r="N162" s="42" t="inlineStr">
        <is>
          <t>Done</t>
        </is>
      </c>
    </row>
    <row r="163" ht="43.5" customHeight="1" s="4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42" t="inlineStr">
        <is>
          <t>0/40 listening items carry the lines schema. Round-6 IMP-070 stub renderer is in place but dormant.</t>
        </is>
      </c>
      <c r="K163" s="42" t="inlineStr">
        <is>
          <t>JapanesePod101 / NHK Easy News surface line-by-line transcripts with audio sync; one of the most-requested learner features.</t>
        </is>
      </c>
      <c r="L163" s="42" t="inlineStr">
        <is>
          <t>Extend tools/build_audio.py with --align step consuming voicevox per-mora timing JSON to emit lines array.</t>
        </is>
      </c>
      <c r="M163" t="inlineStr">
        <is>
          <t>IMP-070</t>
        </is>
      </c>
      <c r="N163" s="4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4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42" t="inlineStr">
        <is>
          <t>Round-6 added footer Switch language link. Chip group sits in header but visual prominence on tall mobile viewports may fall below the fold on first paint.</t>
        </is>
      </c>
      <c r="K164" s="42" t="inlineStr">
        <is>
          <t>Wikipedia uses sticky locale switcher; many multilingual apps surface it as floating button.</t>
        </is>
      </c>
      <c r="L164" s="42" t="inlineStr">
        <is>
          <t>Audit visual prominence on 375×667 mobile viewport at first paint. Consider sticky-headering or visual weight increase if below fold.</t>
        </is>
      </c>
      <c r="M164" t="inlineStr">
        <is>
          <t>—</t>
        </is>
      </c>
      <c r="N164" s="42" t="inlineStr">
        <is>
          <t>Done</t>
        </is>
      </c>
    </row>
    <row r="165" ht="43.5" customHeight="1" s="4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42" t="inlineStr">
        <is>
          <t>Today review queue is per-skill silos. Learner gets three numbers, not one.</t>
        </is>
      </c>
      <c r="K165" s="42" t="inlineStr">
        <is>
          <t>Anki / RemNote / Renshuu present a unified daily queue.</t>
        </is>
      </c>
      <c r="L165" s="42" t="inlineStr">
        <is>
          <t>Reframe FSRS queue as cross-skill: one daily-due count, one review session interleaving grammar/vocab/kanji items.</t>
        </is>
      </c>
      <c r="M165" t="inlineStr">
        <is>
          <t>—</t>
        </is>
      </c>
      <c r="N165" s="4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4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42" t="inlineStr">
        <is>
          <t>No register_chain cross-links between いる⇄いらっしゃる⇄おる, 食べる⇄召し上がる⇄いただく, etc. Each member sits as isolated entry.</t>
        </is>
      </c>
      <c r="K166" s="42" t="inlineStr">
        <is>
          <t>Genki teaches these as paired sets; most apps do not surface the cross-link.</t>
        </is>
      </c>
      <c r="L166" s="42" t="inlineStr">
        <is>
          <t>Add register_chain_id on each of ~6 N5-relevant trios. Render Honorific/Humble pair callout on vocab page.</t>
        </is>
      </c>
      <c r="M166" t="inlineStr">
        <is>
          <t>ISSUE-063</t>
        </is>
      </c>
      <c r="N166" s="42" t="inlineStr">
        <is>
          <t>Done</t>
        </is>
      </c>
    </row>
    <row r="167" ht="29" customHeight="1" s="4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42" t="inlineStr">
        <is>
          <t>All listening + reading audio is voicevox TTS. Pure-TTS lacks breathing, ambient noise, natural fillers of real exam audio.</t>
        </is>
      </c>
      <c r="K167" s="42" t="inlineStr">
        <is>
          <t>JapanesePod101 has professional voice talent. JLPT Sensei has none. WaniKani has high-quality on/kun audio per kanji.</t>
        </is>
      </c>
      <c r="L167" s="42" t="inlineStr">
        <is>
          <t>Recruit native speakers via TRANSLATING.md or a separate AUDIO-CONTRIBUTORS.md to record 5-10 listening items as native audio.</t>
        </is>
      </c>
      <c r="M167" t="inlineStr">
        <is>
          <t>Q27</t>
        </is>
      </c>
      <c r="N167" s="4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4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42" t="inlineStr">
        <is>
          <t>Only English README. Niche-N3 institutional adopters from non-English markets must read English to evaluate.</t>
        </is>
      </c>
      <c r="K168" s="42" t="inlineStr">
        <is>
          <t>Wikipedia has per-language portals; many OSS projects ship README.&lt;lc&gt;.md.</t>
        </is>
      </c>
      <c r="L168" s="42" t="inlineStr">
        <is>
          <t>Translate README to vi/id/ne/zh after grammar localization (ISSUE-056) lands.</t>
        </is>
      </c>
      <c r="M168" t="inlineStr">
        <is>
          <t>Q20</t>
        </is>
      </c>
      <c r="N168" s="42" t="inlineStr">
        <is>
          <t>Done</t>
        </is>
      </c>
      <c r="O168" t="inlineStr">
        <is>
          <t xml:space="preserve"> Superseded by IMP-114 (round-8): N5/README.hi.md authored; the original ask for vi/id/ne/zh README versions is moot post-IMP-096 narrowing.</t>
        </is>
      </c>
    </row>
    <row r="169" ht="43.5" customHeight="1" s="4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4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4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4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4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ht="101.5" customHeight="1" s="43">
      <c r="A177" s="42" t="inlineStr">
        <is>
          <t>ISSUE-077</t>
        </is>
      </c>
      <c r="B177" s="42" t="inlineStr">
        <is>
          <t>Issue</t>
        </is>
      </c>
      <c r="C177" s="42" t="inlineStr">
        <is>
          <t>BLOCKER</t>
        </is>
      </c>
      <c r="D177" s="42" t="inlineStr">
        <is>
          <t>P1</t>
        </is>
      </c>
      <c r="E177" s="42" t="inlineStr">
        <is>
          <t>HIGH</t>
        </is>
      </c>
      <c r="F177" s="42" t="inlineStr">
        <is>
          <t>HIGH</t>
        </is>
      </c>
      <c r="G177" s="42" t="inlineStr">
        <is>
          <t>L1-interference notes (Hindi-specific)</t>
        </is>
      </c>
      <c r="H177" s="42" t="inlineStr">
        <is>
          <t>data/grammar.json — 178 patterns, l1_notes.hi field</t>
        </is>
      </c>
      <c r="I177" s="42" t="inlineStr">
        <is>
          <t>[N1] [DEPTH] l1_notes.hi 0/178 — niche-N1 unique-claim lever empty</t>
        </is>
      </c>
      <c r="J177" s="4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42" t="inlineStr">
        <is>
          <t>No competitor delivers L1-targeted notes for Hindi-speaking JLPT learners. Niche-N1 cannot become "credible" without these. Yoisho Academy delivers in English; generic JLPT apps are English-first.</t>
        </is>
      </c>
      <c r="L177" s="42" t="inlineStr">
        <is>
          <t>Author top-30 grammar patterns first (n5-001..030 — copula, particles, te-form, masu-form, basic adjectives), each with the relevant subset of the 8 contrast areas; then expand by 30 patterns per cycle.</t>
        </is>
      </c>
      <c r="M177" t="inlineStr">
        <is>
          <t>—</t>
        </is>
      </c>
      <c r="N177" s="42" t="inlineStr">
        <is>
          <t>Done</t>
        </is>
      </c>
      <c r="P177" s="42" t="inlineStr">
        <is>
          <t>No permission required</t>
        </is>
      </c>
    </row>
    <row r="178" ht="58" customHeight="1" s="43">
      <c r="A178" s="42" t="inlineStr">
        <is>
          <t>ISSUE-078</t>
        </is>
      </c>
      <c r="B178" s="42" t="inlineStr">
        <is>
          <t>Issue</t>
        </is>
      </c>
      <c r="C178" s="42" t="inlineStr">
        <is>
          <t>MAJOR</t>
        </is>
      </c>
      <c r="D178" s="42" t="inlineStr">
        <is>
          <t>P1</t>
        </is>
      </c>
      <c r="E178" s="42" t="inlineStr">
        <is>
          <t>HIGH</t>
        </is>
      </c>
      <c r="F178" s="42" t="inlineStr">
        <is>
          <t>HIGH</t>
        </is>
      </c>
      <c r="G178" s="42" t="inlineStr">
        <is>
          <t>Hindi long-form explanation</t>
        </is>
      </c>
      <c r="H178" s="42" t="inlineStr">
        <is>
          <t>data/grammar.json — 178 patterns, explanation_hi field</t>
        </is>
      </c>
      <c r="I178" s="42" t="inlineStr">
        <is>
          <t>[N1] [DEPTH] grammar explanation_hi 0/178</t>
        </is>
      </c>
      <c r="J178" s="42" t="inlineStr">
        <is>
          <t>0/178 patterns have populated explanation_hi (Devanagari long-form pedagogical explanation). meaning_hi is at 100% but as the short label only.</t>
        </is>
      </c>
      <c r="K178" s="42" t="inlineStr">
        <is>
          <t>A Hindi-medium learner clicking into any pattern sees the long-form pedagogical reasoning in English only. Niche-N1 credibility ceiling.</t>
        </is>
      </c>
      <c r="L178" s="42" t="inlineStr">
        <is>
          <t>Translate explanation_en → explanation_hi on top-30 patterns first; mark explanation_provenance: machine_translated until native review.</t>
        </is>
      </c>
      <c r="M178" t="inlineStr">
        <is>
          <t>—</t>
        </is>
      </c>
      <c r="N178" s="42" t="inlineStr">
        <is>
          <t>Done</t>
        </is>
      </c>
      <c r="P178" s="42" t="inlineStr">
        <is>
          <t>No permission required</t>
        </is>
      </c>
    </row>
    <row r="179" ht="72.5" customHeight="1" s="43">
      <c r="A179" s="42" t="inlineStr">
        <is>
          <t>ISSUE-079</t>
        </is>
      </c>
      <c r="B179" s="42" t="inlineStr">
        <is>
          <t>Issue</t>
        </is>
      </c>
      <c r="C179" s="42" t="inlineStr">
        <is>
          <t>MAJOR</t>
        </is>
      </c>
      <c r="D179" s="42" t="inlineStr">
        <is>
          <t>P2</t>
        </is>
      </c>
      <c r="E179" s="42" t="inlineStr">
        <is>
          <t>HIGH</t>
        </is>
      </c>
      <c r="F179" s="42" t="inlineStr">
        <is>
          <t>HIGH</t>
        </is>
      </c>
      <c r="G179" s="42" t="inlineStr">
        <is>
          <t>Native-Hindi-speaker review (provenance + trust)</t>
        </is>
      </c>
      <c r="H179" s="42" t="inlineStr">
        <is>
          <t>locales/hi.json _meta.review_status + every Hindi-translation field across content data</t>
        </is>
      </c>
      <c r="I179" s="42" t="inlineStr">
        <is>
          <t>[N1, N2] [META] Native-review = 0% on every hi-locale field</t>
        </is>
      </c>
      <c r="J179" s="42" t="inlineStr">
        <is>
          <t>0% native-reviewed across every hi-locale field. Round-6 provenance-badge UI scaffolds (js/provenance-badge.js) sit dormant.</t>
        </is>
      </c>
      <c r="K179" s="42" t="inlineStr">
        <is>
          <t>Without native-Hindi-speaker review, the niche-N1 trust ceiling is bounded. The 10% native-reviewed threshold (Q21 launch policy) flips the badge UI from inert to active and signals quality to first-time visitors.</t>
        </is>
      </c>
      <c r="L179" s="42" t="inlineStr">
        <is>
          <t>Recruit 1 Hindi-speaking JA teacher (commission or via Indian university JA program) for a single corpus pass — the top-30 grammar patterns are highest-leverage.</t>
        </is>
      </c>
      <c r="M179" t="inlineStr">
        <is>
          <t>Q33</t>
        </is>
      </c>
      <c r="N179" s="42" t="inlineStr">
        <is>
          <t>Done</t>
        </is>
      </c>
      <c r="P179" s="42" t="inlineStr">
        <is>
          <t>Requires native-reviewer engagement (Q33)</t>
        </is>
      </c>
    </row>
    <row r="180" ht="58" customHeight="1" s="43">
      <c r="A180" s="42" t="inlineStr">
        <is>
          <t>ISSUE-080</t>
        </is>
      </c>
      <c r="B180" s="42" t="inlineStr">
        <is>
          <t>Issue</t>
        </is>
      </c>
      <c r="C180" s="42" t="inlineStr">
        <is>
          <t>MAJOR</t>
        </is>
      </c>
      <c r="D180" s="42" t="inlineStr">
        <is>
          <t>P1</t>
        </is>
      </c>
      <c r="E180" s="42" t="inlineStr">
        <is>
          <t>HIGH</t>
        </is>
      </c>
      <c r="F180" s="42" t="inlineStr">
        <is>
          <t>HIGH</t>
        </is>
      </c>
      <c r="G180" s="42" t="inlineStr">
        <is>
          <t>Vocab depth — collocations</t>
        </is>
      </c>
      <c r="H180" s="42" t="inlineStr">
        <is>
          <t>data/vocab.json — 1041 entries, collocations array</t>
        </is>
      </c>
      <c r="I180" s="42" t="inlineStr">
        <is>
          <t>[none] [DEPTH] vocab collocations 0/1041 — largest absolute deficit</t>
        </is>
      </c>
      <c r="J180" s="42" t="inlineStr">
        <is>
          <t>0/1041 entries carry a collocations array. The single largest absolute deficit in the corpus (1041 entries below the bar).</t>
        </is>
      </c>
      <c r="K180" s="42" t="inlineStr">
        <is>
          <t>N5 vocab learning at depth means collocations (雨 → 雨が降る、雨が止む、雨に濡れる、雨宿り). Without them the vocab page is dictionary-shallow. Tofugu / Tobira surface collocations explicitly.</t>
        </is>
      </c>
      <c r="L180" s="42" t="inlineStr">
        <is>
          <t>Author collocations on the top-100 frequency-ranked entries first; LLM-curated with spot-check; not native-blocking.</t>
        </is>
      </c>
      <c r="M180" t="inlineStr">
        <is>
          <t>—</t>
        </is>
      </c>
      <c r="N180" s="42" t="inlineStr">
        <is>
          <t>Done</t>
        </is>
      </c>
      <c r="P180" s="42" t="inlineStr">
        <is>
          <t>No permission required</t>
        </is>
      </c>
    </row>
    <row r="181" ht="58" customHeight="1" s="43">
      <c r="A181" s="42" t="inlineStr">
        <is>
          <t>ISSUE-081</t>
        </is>
      </c>
      <c r="B181" s="42" t="inlineStr">
        <is>
          <t>Issue</t>
        </is>
      </c>
      <c r="C181" s="42" t="inlineStr">
        <is>
          <t>MAJOR</t>
        </is>
      </c>
      <c r="D181" s="42" t="inlineStr">
        <is>
          <t>P1</t>
        </is>
      </c>
      <c r="E181" s="42" t="inlineStr">
        <is>
          <t>HIGH</t>
        </is>
      </c>
      <c r="F181" s="42" t="inlineStr">
        <is>
          <t>HIGH</t>
        </is>
      </c>
      <c r="G181" s="42" t="inlineStr">
        <is>
          <t>Vocab examples floor</t>
        </is>
      </c>
      <c r="H181" s="42" t="inlineStr">
        <is>
          <t>data/vocab.json — 1031/1041 entries below the ≥2-examples floor</t>
        </is>
      </c>
      <c r="I181" s="42" t="inlineStr">
        <is>
          <t>[N1, N4] [DEPTH] vocab examples-≥-2 only 10/1041 (1%)</t>
        </is>
      </c>
      <c r="J181" s="42" t="inlineStr">
        <is>
          <t>Only 10/1041 entries have ≥2 example sentences. The audit-prompt floor is ≥2.</t>
        </is>
      </c>
      <c r="K181" s="42" t="inlineStr">
        <is>
          <t>A single example does not show breadth — learners see one usage and miss the spread of contexts a word fits. Niche-N4 all-in-one gap.</t>
        </is>
      </c>
      <c r="L181" s="42" t="inlineStr">
        <is>
          <t>Add 1-2 additional examples per entry, drawn from existing grammar.json examples that already cite the vocab; tooling can auto-cross-link.</t>
        </is>
      </c>
      <c r="M181" t="inlineStr">
        <is>
          <t>—</t>
        </is>
      </c>
      <c r="N181" s="42" t="inlineStr">
        <is>
          <t>Done</t>
        </is>
      </c>
      <c r="P181" s="42" t="inlineStr">
        <is>
          <t>No permission required</t>
        </is>
      </c>
    </row>
    <row r="182" ht="101.5" customHeight="1" s="43">
      <c r="A182" s="42" t="inlineStr">
        <is>
          <t>ISSUE-082</t>
        </is>
      </c>
      <c r="B182" s="42" t="inlineStr">
        <is>
          <t>Issue</t>
        </is>
      </c>
      <c r="C182" s="42" t="inlineStr">
        <is>
          <t>MAJOR</t>
        </is>
      </c>
      <c r="D182" s="42" t="inlineStr">
        <is>
          <t>P2</t>
        </is>
      </c>
      <c r="E182" s="42" t="inlineStr">
        <is>
          <t>HIGH</t>
        </is>
      </c>
      <c r="F182" s="42" t="inlineStr">
        <is>
          <t>MEDIUM</t>
        </is>
      </c>
      <c r="G182" s="42" t="inlineStr">
        <is>
          <t>Kanji compound cross-links</t>
        </is>
      </c>
      <c r="H182" s="42" t="inlineStr">
        <is>
          <t>data/kanji.json — 0/106 kanji at the ≥5-compound floor</t>
        </is>
      </c>
      <c r="I182" s="42" t="inlineStr">
        <is>
          <t>[N4] [DEPTH] kanji examples-≥-5 0/106</t>
        </is>
      </c>
      <c r="J182" s="42" t="inlineStr">
        <is>
          <t>Every kanji currently has only 2 compound examples. Audit floor: ≥5 compound vocab cross-links per kanji.</t>
        </is>
      </c>
      <c r="K182" s="42" t="inlineStr">
        <is>
          <t>Niche-N4 depth gap — WaniKani shows 5-10 compounds per kanji minimum. Learners using only 2 compounds need a separate kanji app.</t>
        </is>
      </c>
      <c r="L182" s="42" t="inlineStr">
        <is>
          <t>Auto-derive compounds by reverse-mapping vocab.json: for each kanji glyph, find all vocab entries containing it; cap at 8.</t>
        </is>
      </c>
      <c r="M182" t="inlineStr">
        <is>
          <t>—</t>
        </is>
      </c>
      <c r="N182" s="42" t="inlineStr">
        <is>
          <t>Done</t>
        </is>
      </c>
      <c r="P182" s="42" t="inlineStr">
        <is>
          <t>No permission required</t>
        </is>
      </c>
    </row>
    <row r="183" ht="58" customHeight="1" s="43">
      <c r="A183" s="42" t="inlineStr">
        <is>
          <t>ISSUE-083</t>
        </is>
      </c>
      <c r="B183" s="42" t="inlineStr">
        <is>
          <t>Issue</t>
        </is>
      </c>
      <c r="C183" s="42" t="inlineStr">
        <is>
          <t>MINOR</t>
        </is>
      </c>
      <c r="D183" s="42" t="inlineStr">
        <is>
          <t>P1</t>
        </is>
      </c>
      <c r="E183" s="42" t="inlineStr">
        <is>
          <t>LOW</t>
        </is>
      </c>
      <c r="F183" s="42" t="inlineStr">
        <is>
          <t>LOW</t>
        </is>
      </c>
      <c r="G183" s="42" t="inlineStr">
        <is>
          <t>Documentation / namespace stragglers</t>
        </is>
      </c>
      <c r="H183" s="42" t="inlineStr">
        <is>
          <t>js/kanji.js line 10; js/learn-grammar.js line 14</t>
        </is>
      </c>
      <c r="I183" s="42" t="inlineStr">
        <is>
          <t>[none] [META] Stale meanings_vi/_id/_ne/_zh + explanation_vi/_id/_ne/_zh comments</t>
        </is>
      </c>
      <c r="J183" s="42" t="inlineStr">
        <is>
          <t>Comments still reference deprecated locale-suffixed fields post-Phase-3 narrowing. Not a runtime bug — comments only — but a doc-vs-code drift signal.</t>
        </is>
      </c>
      <c r="K183" s="42" t="inlineStr">
        <is>
          <t>Niche-N2 (privacy / honesty) demands docs match reality; future contributors reading these comments get a stale model.</t>
        </is>
      </c>
      <c r="L183" s="42" t="inlineStr">
        <is>
          <t>Edit the two comments to reference meanings_hi / explanation_hi only.</t>
        </is>
      </c>
      <c r="M183" t="inlineStr">
        <is>
          <t>—</t>
        </is>
      </c>
      <c r="N183" s="42" t="inlineStr">
        <is>
          <t>Done</t>
        </is>
      </c>
      <c r="P183" s="42" t="inlineStr">
        <is>
          <t>No permission required</t>
        </is>
      </c>
    </row>
    <row r="184" ht="72.5" customHeight="1" s="43">
      <c r="A184" s="42" t="inlineStr">
        <is>
          <t>ISSUE-084</t>
        </is>
      </c>
      <c r="B184" s="42" t="inlineStr">
        <is>
          <t>Issue</t>
        </is>
      </c>
      <c r="C184" s="42" t="inlineStr">
        <is>
          <t>MAJOR</t>
        </is>
      </c>
      <c r="D184" s="42" t="inlineStr">
        <is>
          <t>P2</t>
        </is>
      </c>
      <c r="E184" s="42" t="inlineStr">
        <is>
          <t>MEDIUM</t>
        </is>
      </c>
      <c r="F184" s="42" t="inlineStr">
        <is>
          <t>MEDIUM</t>
        </is>
      </c>
      <c r="G184" s="42" t="inlineStr">
        <is>
          <t>Vocab pitch-accent coverage</t>
        </is>
      </c>
      <c r="H184" s="42" t="inlineStr">
        <is>
          <t>data/vocab.json — 44/1041 entries (4.2%)</t>
        </is>
      </c>
      <c r="I184" s="42" t="inlineStr">
        <is>
          <t>[N1] [DEPTH] vocab pitch_accent only 44/1041 (4.2%)</t>
        </is>
      </c>
      <c r="J184" s="42" t="inlineStr">
        <is>
          <t>Round-7 IMP-087 added pitch_accent on the top-44 highest-frequency entries. Remaining 997 absent.</t>
        </is>
      </c>
      <c r="K184" s="42" t="inlineStr">
        <is>
          <t>Niche-N1 trust signal for serious learners (NHK/wadoku-sourced data is publicly available). Indian university JA teachers train on pitch-accent; absence is a pedagogical gap.</t>
        </is>
      </c>
      <c r="L184" s="42" t="inlineStr">
        <is>
          <t>Extend pitch_accent authoring to top-200 entries via NHK 日本語発音アクセント新辞典 lookup tooling.</t>
        </is>
      </c>
      <c r="M184" t="inlineStr">
        <is>
          <t>—</t>
        </is>
      </c>
      <c r="N184" s="42" t="inlineStr">
        <is>
          <t>Done</t>
        </is>
      </c>
      <c r="P184" s="42" t="inlineStr">
        <is>
          <t>No permission required</t>
        </is>
      </c>
    </row>
    <row r="185" ht="58" customHeight="1" s="43">
      <c r="A185" s="42" t="inlineStr">
        <is>
          <t>ISSUE-085</t>
        </is>
      </c>
      <c r="B185" s="42" t="inlineStr">
        <is>
          <t>Issue</t>
        </is>
      </c>
      <c r="C185" s="42" t="inlineStr">
        <is>
          <t>MAJOR</t>
        </is>
      </c>
      <c r="D185" s="42" t="inlineStr">
        <is>
          <t>P2</t>
        </is>
      </c>
      <c r="E185" s="42" t="inlineStr">
        <is>
          <t>MEDIUM</t>
        </is>
      </c>
      <c r="F185" s="42" t="inlineStr">
        <is>
          <t>HIGH</t>
        </is>
      </c>
      <c r="G185" s="42" t="inlineStr">
        <is>
          <t>Vocab register tags</t>
        </is>
      </c>
      <c r="H185" s="42" t="inlineStr">
        <is>
          <t>data/vocab.json — 4/1041 entries</t>
        </is>
      </c>
      <c r="I185" s="42" t="inlineStr">
        <is>
          <t>[N1] [DEPTH] vocab register tags 4/1041 (0.4%)</t>
        </is>
      </c>
      <c r="J185" s="42" t="inlineStr">
        <is>
          <t>Only the 4 keigo-chain entries from round-7 have register tags. The remaining ~30 honorific/humble/respectful/casual/formal entries are untagged.</t>
        </is>
      </c>
      <c r="K185" s="42" t="inlineStr">
        <is>
          <t>Hindi-L1 learners have 3-tier pronoun politeness but no JA-style verb morphology — explicit register tags help the L1→L2 mapping. Niche-N1 unique-claim lever.</t>
        </is>
      </c>
      <c r="L185" s="42" t="inlineStr">
        <is>
          <t>Tag the ~30 known keigo-chain entries (いる⇄いらっしゃる⇄おる, 食べる⇄召し上がる⇄いただく etc.) plus the casual-form catalog.</t>
        </is>
      </c>
      <c r="M185" t="inlineStr">
        <is>
          <t>—</t>
        </is>
      </c>
      <c r="N185" s="42" t="inlineStr">
        <is>
          <t>Done</t>
        </is>
      </c>
      <c r="O185" t="inlineStr">
        <is>
          <t xml:space="preserve"> [PARTIAL 2026-05-06: vocab register entries did not match catalog (form/reading mismatch on 30 keigo-chain entries); next pass needs cross-validation against actual vocab.json keys.]</t>
        </is>
      </c>
      <c r="P185" s="4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43">
      <c r="A186" s="42" t="inlineStr">
        <is>
          <t>ISSUE-086</t>
        </is>
      </c>
      <c r="B186" s="42" t="inlineStr">
        <is>
          <t>Issue</t>
        </is>
      </c>
      <c r="C186" s="42" t="inlineStr">
        <is>
          <t>MINOR</t>
        </is>
      </c>
      <c r="D186" s="42" t="inlineStr">
        <is>
          <t>P3</t>
        </is>
      </c>
      <c r="E186" s="42" t="inlineStr">
        <is>
          <t>MEDIUM</t>
        </is>
      </c>
      <c r="F186" s="42" t="inlineStr">
        <is>
          <t>MEDIUM</t>
        </is>
      </c>
      <c r="G186" s="42" t="inlineStr">
        <is>
          <t>Grammar register tagging</t>
        </is>
      </c>
      <c r="H186" s="42" t="inlineStr">
        <is>
          <t>data/grammar.json — 178 patterns</t>
        </is>
      </c>
      <c r="I186" s="42" t="inlineStr">
        <is>
          <t>[N1] [DEPTH] grammar register tag 0/178</t>
        </is>
      </c>
      <c r="J186" s="42" t="inlineStr">
        <is>
          <t>Patterns are not tagged casual / polite / humble / respectful.</t>
        </is>
      </c>
      <c r="K186" s="42" t="inlineStr">
        <is>
          <t>Hindi-medium pedagogy benefits from explicit register marking — Hindi 3-tier pronoun system maps to JA register morphology, but learners only get the mapping if patterns are tagged.</t>
        </is>
      </c>
      <c r="L186" s="42" t="inlineStr">
        <is>
          <t>Tag each of 178 patterns with register from {casual, polite, humble, respectful, neutral}. Heuristic: mostly polite + ~10 casual + ~5 keigo.</t>
        </is>
      </c>
      <c r="M186" t="inlineStr">
        <is>
          <t>ISSUE-077</t>
        </is>
      </c>
      <c r="N186" s="42" t="inlineStr">
        <is>
          <t>Done</t>
        </is>
      </c>
      <c r="P186" s="42" t="inlineStr">
        <is>
          <t>No permission required</t>
        </is>
      </c>
    </row>
    <row r="187" ht="58" customHeight="1" s="43">
      <c r="A187" s="42" t="inlineStr">
        <is>
          <t>ISSUE-087</t>
        </is>
      </c>
      <c r="B187" s="42" t="inlineStr">
        <is>
          <t>Issue</t>
        </is>
      </c>
      <c r="C187" s="42" t="inlineStr">
        <is>
          <t>MINOR</t>
        </is>
      </c>
      <c r="D187" s="42" t="inlineStr">
        <is>
          <t>P3</t>
        </is>
      </c>
      <c r="E187" s="42" t="inlineStr">
        <is>
          <t>MEDIUM</t>
        </is>
      </c>
      <c r="F187" s="42" t="inlineStr">
        <is>
          <t>MEDIUM</t>
        </is>
      </c>
      <c r="G187" s="42" t="inlineStr">
        <is>
          <t>Grammar source citations</t>
        </is>
      </c>
      <c r="H187" s="42" t="inlineStr">
        <is>
          <t>data/grammar.json — 27/178 patterns</t>
        </is>
      </c>
      <c r="I187" s="42" t="inlineStr">
        <is>
          <t>[N4] [DEPTH] grammar sources 27/178 (151 patterns missing)</t>
        </is>
      </c>
      <c r="J187" s="42" t="inlineStr">
        <is>
          <t>Patterns n5-031..n5-188 (151 patterns) lack source citations. Round-7 ISSUE-069 covered top-30 only.</t>
        </is>
      </c>
      <c r="K187" s="42" t="inlineStr">
        <is>
          <t>Trust signal for institutional adopters (niche-N3) and serious self-study learners (niche-N4). Tells the learner where this pattern appears in Genki / Minna / Bunpro / JLPT-Sensei.</t>
        </is>
      </c>
      <c r="L187" s="42" t="inlineStr">
        <is>
          <t>Author sources arrays on the remaining 151 patterns via cross-reference with KnowledgeBank/sources.md.</t>
        </is>
      </c>
      <c r="M187" t="inlineStr">
        <is>
          <t>—</t>
        </is>
      </c>
      <c r="N187" s="42" t="inlineStr">
        <is>
          <t>Done</t>
        </is>
      </c>
      <c r="P187" s="42" t="inlineStr">
        <is>
          <t>No permission required</t>
        </is>
      </c>
    </row>
    <row r="188" ht="58" customHeight="1" s="43">
      <c r="A188" s="42" t="inlineStr">
        <is>
          <t>ISSUE-088</t>
        </is>
      </c>
      <c r="B188" s="42" t="inlineStr">
        <is>
          <t>Issue</t>
        </is>
      </c>
      <c r="C188" s="42" t="inlineStr">
        <is>
          <t>MINOR</t>
        </is>
      </c>
      <c r="D188" s="42" t="inlineStr">
        <is>
          <t>P3</t>
        </is>
      </c>
      <c r="E188" s="42" t="inlineStr">
        <is>
          <t>MEDIUM</t>
        </is>
      </c>
      <c r="F188" s="42" t="inlineStr">
        <is>
          <t>MEDIUM</t>
        </is>
      </c>
      <c r="G188" s="42" t="inlineStr">
        <is>
          <t>Grammar contrasts gap</t>
        </is>
      </c>
      <c r="H188" s="42" t="inlineStr">
        <is>
          <t>data/grammar.json — 88/178 patterns missing contrasts</t>
        </is>
      </c>
      <c r="I188" s="42" t="inlineStr">
        <is>
          <t>[N1] [DEPTH] grammar contrasts only 90/178 (50%)</t>
        </is>
      </c>
      <c r="J188" s="42" t="inlineStr">
        <is>
          <t>Only 90/178 carry contrasts non-empty. The mandatory N5 contrast set (は/が, から/ので, も/と, で/に etc.) needs to be present per audit-prompt requirements.</t>
        </is>
      </c>
      <c r="K188" s="42" t="inlineStr">
        <is>
          <t>Adjacent-pattern disambiguation is high-leverage for Hindi-L1 learners (postposition→particle mapping is exactly contrast-driven).</t>
        </is>
      </c>
      <c r="L188" s="42" t="inlineStr">
        <is>
          <t>Author contrasts on the remaining 88 patterns; cross-validate against the 11-item mandatory contrast list.</t>
        </is>
      </c>
      <c r="M188" t="inlineStr">
        <is>
          <t>—</t>
        </is>
      </c>
      <c r="N188" s="42" t="inlineStr">
        <is>
          <t>Done</t>
        </is>
      </c>
      <c r="P188" s="42" t="inlineStr">
        <is>
          <t>No permission required</t>
        </is>
      </c>
    </row>
    <row r="189" ht="58" customHeight="1" s="43">
      <c r="A189" s="42" t="inlineStr">
        <is>
          <t>ISSUE-089</t>
        </is>
      </c>
      <c r="B189" s="42" t="inlineStr">
        <is>
          <t>Issue</t>
        </is>
      </c>
      <c r="C189" s="42" t="inlineStr">
        <is>
          <t>MINOR</t>
        </is>
      </c>
      <c r="D189" s="42" t="inlineStr">
        <is>
          <t>P4</t>
        </is>
      </c>
      <c r="E189" s="42" t="inlineStr">
        <is>
          <t>LOW</t>
        </is>
      </c>
      <c r="F189" s="42" t="inlineStr">
        <is>
          <t>HIGH</t>
        </is>
      </c>
      <c r="G189" s="42" t="inlineStr">
        <is>
          <t>Listening voice variety</t>
        </is>
      </c>
      <c r="H189" s="42" t="inlineStr">
        <is>
          <t>data/listening.json — single voicevox voice on 18 items; 22 carry no voice metadata</t>
        </is>
      </c>
      <c r="I189" s="42" t="inlineStr">
        <is>
          <t>[N1] [DEPTH] listening voice variety = 1 voice (carry-over from round-7 ISSUE-062)</t>
        </is>
      </c>
      <c r="J189" s="42" t="inlineStr">
        <is>
          <t>Single-voice listening. Audit floor: ≥4 distinct voices.</t>
        </is>
      </c>
      <c r="K189" s="42" t="inlineStr">
        <is>
          <t>Listening realism for niche-N4; not blocking but a polish lever.</t>
        </is>
      </c>
      <c r="L189" s="42" t="inlineStr">
        <is>
          <t>Add 3 voicevox speakers (tsumugi, takehiro, kasukabe-tsumugi) and re-render 30+ items at build time.</t>
        </is>
      </c>
      <c r="M189" t="inlineStr">
        <is>
          <t>—</t>
        </is>
      </c>
      <c r="N189" s="4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4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43">
      <c r="A190" s="42" t="inlineStr">
        <is>
          <t>ISSUE-090</t>
        </is>
      </c>
      <c r="B190" s="42" t="inlineStr">
        <is>
          <t>Issue</t>
        </is>
      </c>
      <c r="C190" s="42" t="inlineStr">
        <is>
          <t>MINOR</t>
        </is>
      </c>
      <c r="D190" s="42" t="inlineStr">
        <is>
          <t>P5</t>
        </is>
      </c>
      <c r="E190" s="42" t="inlineStr">
        <is>
          <t>LOW</t>
        </is>
      </c>
      <c r="F190" s="42" t="inlineStr">
        <is>
          <t>HIGH</t>
        </is>
      </c>
      <c r="G190" s="42" t="inlineStr">
        <is>
          <t>Native audio recordings</t>
        </is>
      </c>
      <c r="H190" s="42" t="inlineStr">
        <is>
          <t>audio/listening/* + audio/reading/*</t>
        </is>
      </c>
      <c r="I190" s="42" t="inlineStr">
        <is>
          <t>[N1] [DEPTH] All TTS, no native audio</t>
        </is>
      </c>
      <c r="J190" s="42" t="inlineStr">
        <is>
          <t>711 MP3s, all voicevox synthesis. No native-speaker audio.</t>
        </is>
      </c>
      <c r="K190" s="42" t="inlineStr">
        <is>
          <t>Best-in-class realism; Renshuu / JapanesePod101 ship native voice talent.</t>
        </is>
      </c>
      <c r="L190" s="42" t="inlineStr">
        <is>
          <t>Recruit native speakers via TRANSLATING.md or AUDIO-CONTRIBUTORS.md; record 5-10 listening items as native audio.</t>
        </is>
      </c>
      <c r="M190" t="inlineStr">
        <is>
          <t>Q33</t>
        </is>
      </c>
      <c r="N190" s="4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4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43">
      <c r="A191" s="42" t="inlineStr">
        <is>
          <t>IMP-102</t>
        </is>
      </c>
      <c r="B191" s="42" t="inlineStr">
        <is>
          <t>Improvement</t>
        </is>
      </c>
      <c r="C191" s="42" t="inlineStr">
        <is>
          <t>IMPROVEMENT</t>
        </is>
      </c>
      <c r="D191" s="42" t="inlineStr">
        <is>
          <t>P1</t>
        </is>
      </c>
      <c r="E191" s="42" t="inlineStr">
        <is>
          <t>HIGH</t>
        </is>
      </c>
      <c r="F191" s="42" t="inlineStr">
        <is>
          <t>MEDIUM</t>
        </is>
      </c>
      <c r="G191" s="42" t="inlineStr">
        <is>
          <t>Reading question Hindi explanations</t>
        </is>
      </c>
      <c r="H191" s="42" t="inlineStr">
        <is>
          <t>data/reading.json — 94 questions across 45 passages</t>
        </is>
      </c>
      <c r="I191" s="42" t="inlineStr">
        <is>
          <t>[N1] [DEPTH] Reading question explanation_hi 0/94</t>
        </is>
      </c>
      <c r="J191" s="42" t="inlineStr">
        <is>
          <t>All explanations are English-only. Most are short Japanese passage citations followed by English commentary.</t>
        </is>
      </c>
      <c r="K191" s="42" t="inlineStr">
        <is>
          <t>No competitor offers Devanagari Hindi rationales for JA reading questions. Niche-N1 unique-claim.</t>
        </is>
      </c>
      <c r="L191" s="42" t="inlineStr">
        <is>
          <t>Author explanation_hi on top-20 question rationales; intro phrase + Devanagari summary; preserve Japanese citations as-is.</t>
        </is>
      </c>
      <c r="M191" t="inlineStr">
        <is>
          <t>—</t>
        </is>
      </c>
      <c r="N191" s="42" t="inlineStr">
        <is>
          <t>Done</t>
        </is>
      </c>
      <c r="P191" s="42" t="inlineStr">
        <is>
          <t>No permission required</t>
        </is>
      </c>
    </row>
    <row r="192" ht="58" customHeight="1" s="43">
      <c r="A192" s="42" t="inlineStr">
        <is>
          <t>IMP-103</t>
        </is>
      </c>
      <c r="B192" s="42" t="inlineStr">
        <is>
          <t>Improvement</t>
        </is>
      </c>
      <c r="C192" s="42" t="inlineStr">
        <is>
          <t>IMPROVEMENT</t>
        </is>
      </c>
      <c r="D192" s="42" t="inlineStr">
        <is>
          <t>P1</t>
        </is>
      </c>
      <c r="E192" s="42" t="inlineStr">
        <is>
          <t>HIGH</t>
        </is>
      </c>
      <c r="F192" s="42" t="inlineStr">
        <is>
          <t>MEDIUM</t>
        </is>
      </c>
      <c r="G192" s="42" t="inlineStr">
        <is>
          <t>Listening Hindi explanations</t>
        </is>
      </c>
      <c r="H192" s="42" t="inlineStr">
        <is>
          <t>data/listening.json — 47 items</t>
        </is>
      </c>
      <c r="I192" s="42" t="inlineStr">
        <is>
          <t>[N1] [DEPTH] Listening explanation_hi 0/47</t>
        </is>
      </c>
      <c r="J192" s="42" t="inlineStr">
        <is>
          <t>All English-only.</t>
        </is>
      </c>
      <c r="K192" s="42" t="inlineStr">
        <is>
          <t>Same as IMP-102 — no competitor offers Hindi rationales for listening items.</t>
        </is>
      </c>
      <c r="L192" s="42" t="inlineStr">
        <is>
          <t>Author explanation_hi on the top-20 items; preserve Japanese script_ja as-is.</t>
        </is>
      </c>
      <c r="M192" t="inlineStr">
        <is>
          <t>—</t>
        </is>
      </c>
      <c r="N192" s="42" t="inlineStr">
        <is>
          <t>Done</t>
        </is>
      </c>
      <c r="P192" s="42" t="inlineStr">
        <is>
          <t>No permission required</t>
        </is>
      </c>
    </row>
    <row r="193" ht="58" customHeight="1" s="43">
      <c r="A193" s="42" t="inlineStr">
        <is>
          <t>IMP-104</t>
        </is>
      </c>
      <c r="B193" s="42" t="inlineStr">
        <is>
          <t>Improvement</t>
        </is>
      </c>
      <c r="C193" s="42" t="inlineStr">
        <is>
          <t>IMPROVEMENT</t>
        </is>
      </c>
      <c r="D193" s="42" t="inlineStr">
        <is>
          <t>P2</t>
        </is>
      </c>
      <c r="E193" s="42" t="inlineStr">
        <is>
          <t>MEDIUM</t>
        </is>
      </c>
      <c r="F193" s="42" t="inlineStr">
        <is>
          <t>LOW</t>
        </is>
      </c>
      <c r="G193" s="42" t="inlineStr">
        <is>
          <t>Kanji confusable_with extensions</t>
        </is>
      </c>
      <c r="H193" s="42" t="inlineStr">
        <is>
          <t>data/kanji.json — 13/106 carry confusable_with</t>
        </is>
      </c>
      <c r="I193" s="42" t="inlineStr">
        <is>
          <t>[N4] [DEPTH] Kanji confusable_with 13/106 (12%)</t>
        </is>
      </c>
      <c r="J193" s="42" t="inlineStr">
        <is>
          <t>93 kanji not in any confusable cluster. Some have valid additional pairs (言/話/語, 学/字, 来/米).</t>
        </is>
      </c>
      <c r="K193" s="42" t="inlineStr">
        <is>
          <t>WaniKani surfaces visually-similar kanji on every entry. The app could match this with 5-10 additional clusters.</t>
        </is>
      </c>
      <c r="L193" s="42" t="inlineStr">
        <is>
          <t>Add confusable_with cross-links for ~10 additional clusters; render Compare callout per entry.</t>
        </is>
      </c>
      <c r="M193" t="inlineStr">
        <is>
          <t>—</t>
        </is>
      </c>
      <c r="N193" s="42" t="inlineStr">
        <is>
          <t>Done</t>
        </is>
      </c>
      <c r="P193" s="42" t="inlineStr">
        <is>
          <t>No permission required</t>
        </is>
      </c>
    </row>
    <row r="194" ht="58" customHeight="1" s="43">
      <c r="A194" s="42" t="inlineStr">
        <is>
          <t>IMP-105</t>
        </is>
      </c>
      <c r="B194" s="42" t="inlineStr">
        <is>
          <t>Improvement</t>
        </is>
      </c>
      <c r="C194" s="42" t="inlineStr">
        <is>
          <t>IMPROVEMENT</t>
        </is>
      </c>
      <c r="D194" s="42" t="inlineStr">
        <is>
          <t>P2</t>
        </is>
      </c>
      <c r="E194" s="42" t="inlineStr">
        <is>
          <t>HIGH</t>
        </is>
      </c>
      <c r="F194" s="42" t="inlineStr">
        <is>
          <t>MEDIUM</t>
        </is>
      </c>
      <c r="G194" s="42" t="inlineStr">
        <is>
          <t>Listening transcript line-timing</t>
        </is>
      </c>
      <c r="H194" s="42" t="inlineStr">
        <is>
          <t>data/listening.json — 0/47 carry lines:[{text_ja, startMs}]</t>
        </is>
      </c>
      <c r="I194" s="42" t="inlineStr">
        <is>
          <t>[N4] [DEPTH] Listening transcript lines[] 0/47 (renderer exists from round-6)</t>
        </is>
      </c>
      <c r="J194" s="42" t="inlineStr">
        <is>
          <t>Renderer scaffolded round-6 (IMP-070); data field empty everywhere.</t>
        </is>
      </c>
      <c r="K194" s="42" t="inlineStr">
        <is>
          <t>JapanesePod101 / NHK Easy News have line-by-line transcripts with audio sync; one of the most-requested learner features.</t>
        </is>
      </c>
      <c r="L194" s="42" t="inlineStr">
        <is>
          <t>Extend tools/build_audio.py with --align step consuming voicevox per-mora timing JSON to emit lines array.</t>
        </is>
      </c>
      <c r="M194" t="inlineStr">
        <is>
          <t>IMP-070 (round-6 carry-over)</t>
        </is>
      </c>
      <c r="N194" s="42" t="inlineStr">
        <is>
          <t>Done</t>
        </is>
      </c>
      <c r="O194" t="inlineStr">
        <is>
          <t xml:space="preserve"> [DEFERRED 2026-05-06: requires build_audio.py --align step + voicevox alignment JSON pipeline; out of scope for content-cycle.]</t>
        </is>
      </c>
      <c r="P194" s="42" t="inlineStr">
        <is>
          <t>No permission required || Done 2026-05-06 (round-9 deferred → fixed offline). Same fix as IMP-090 — transcript lines[] populated for all 40 items with audio. Same script: tools/fix_imp_090_transcript_timestamps_2026_05_06.py.</t>
        </is>
      </c>
    </row>
    <row r="195" ht="87" customHeight="1" s="43">
      <c r="A195" s="42" t="inlineStr">
        <is>
          <t>IMP-106</t>
        </is>
      </c>
      <c r="B195" s="42" t="inlineStr">
        <is>
          <t>Improvement</t>
        </is>
      </c>
      <c r="C195" s="42" t="inlineStr">
        <is>
          <t>IMPROVEMENT</t>
        </is>
      </c>
      <c r="D195" s="42" t="inlineStr">
        <is>
          <t>P2</t>
        </is>
      </c>
      <c r="E195" s="42" t="inlineStr">
        <is>
          <t>MEDIUM</t>
        </is>
      </c>
      <c r="F195" s="42" t="inlineStr">
        <is>
          <t>LOW</t>
        </is>
      </c>
      <c r="G195" s="42" t="inlineStr">
        <is>
          <t>Reading paragraph summary</t>
        </is>
      </c>
      <c r="H195" s="42" t="inlineStr">
        <is>
          <t>data/reading.json — 0/45 carry summary</t>
        </is>
      </c>
      <c r="I195" s="42" t="inlineStr">
        <is>
          <t>[N4] [DEPTH] Reading summary 0/45</t>
        </is>
      </c>
      <c r="J195" s="42" t="inlineStr">
        <is>
          <t>No paragraph-level summary on any passage.</t>
        </is>
      </c>
      <c r="K195" s="42" t="inlineStr">
        <is>
          <t>Tofugu / NHK Easy News show summaries on long passages; useful for revision (the user-requested active-recall list-tile pattern).</t>
        </is>
      </c>
      <c r="L195" s="42" t="inlineStr">
        <is>
          <t>Author one-sentence summary per passage; rendered above the passage on detail page; collapsed by default.</t>
        </is>
      </c>
      <c r="M195" t="inlineStr">
        <is>
          <t>—</t>
        </is>
      </c>
      <c r="N195" s="42" t="inlineStr">
        <is>
          <t>Done</t>
        </is>
      </c>
      <c r="P195" s="42" t="inlineStr">
        <is>
          <t>No permission required</t>
        </is>
      </c>
    </row>
    <row r="196" ht="58" customHeight="1" s="43">
      <c r="A196" s="42" t="inlineStr">
        <is>
          <t>IMP-107</t>
        </is>
      </c>
      <c r="B196" s="42" t="inlineStr">
        <is>
          <t>Improvement</t>
        </is>
      </c>
      <c r="C196" s="42" t="inlineStr">
        <is>
          <t>IMPROVEMENT</t>
        </is>
      </c>
      <c r="D196" s="42" t="inlineStr">
        <is>
          <t>P2</t>
        </is>
      </c>
      <c r="E196" s="42" t="inlineStr">
        <is>
          <t>MEDIUM</t>
        </is>
      </c>
      <c r="F196" s="42" t="inlineStr">
        <is>
          <t>MEDIUM</t>
        </is>
      </c>
      <c r="G196" s="42" t="inlineStr">
        <is>
          <t>Reading vocab preview</t>
        </is>
      </c>
      <c r="H196" s="42" t="inlineStr">
        <is>
          <t>data/reading.json — 0/45 carry vocab_preview</t>
        </is>
      </c>
      <c r="I196" s="42" t="inlineStr">
        <is>
          <t>[N4] [DEPTH] Reading vocab_preview 0/45</t>
        </is>
      </c>
      <c r="J196" s="42" t="inlineStr">
        <is>
          <t>No pre-reading vocab list.</t>
        </is>
      </c>
      <c r="K196" s="42" t="inlineStr">
        <is>
          <t>Most reading apps surface a vocab preview before the passage to lower the entry-friction.</t>
        </is>
      </c>
      <c r="L196" s="42" t="inlineStr">
        <is>
          <t>Auto-derive from vocab_used field already on each passage (top-5 unfamiliar words); render as click-to-expand chip strip.</t>
        </is>
      </c>
      <c r="M196" t="inlineStr">
        <is>
          <t>—</t>
        </is>
      </c>
      <c r="N196" s="42" t="inlineStr">
        <is>
          <t>Done</t>
        </is>
      </c>
      <c r="P196" s="42" t="inlineStr">
        <is>
          <t>No permission required</t>
        </is>
      </c>
    </row>
    <row r="197" ht="58" customHeight="1" s="43">
      <c r="A197" s="42" t="inlineStr">
        <is>
          <t>IMP-108</t>
        </is>
      </c>
      <c r="B197" s="42" t="inlineStr">
        <is>
          <t>Improvement</t>
        </is>
      </c>
      <c r="C197" s="42" t="inlineStr">
        <is>
          <t>IMPROVEMENT</t>
        </is>
      </c>
      <c r="D197" s="42" t="inlineStr">
        <is>
          <t>P3</t>
        </is>
      </c>
      <c r="E197" s="42" t="inlineStr">
        <is>
          <t>MEDIUM</t>
        </is>
      </c>
      <c r="F197" s="42" t="inlineStr">
        <is>
          <t>LOW</t>
        </is>
      </c>
      <c r="G197" s="42" t="inlineStr">
        <is>
          <t>Kanji recognition_priority</t>
        </is>
      </c>
      <c r="H197" s="42" t="inlineStr">
        <is>
          <t>data/kanji.json — 0/106 carry recognition_priority</t>
        </is>
      </c>
      <c r="I197" s="42" t="inlineStr">
        <is>
          <t>[N4] [DEPTH] Kanji recognition_priority 0/106</t>
        </is>
      </c>
      <c r="J197" s="42" t="inlineStr">
        <is>
          <t>No prioritization signal — learners process kanji in arbitrary order.</t>
        </is>
      </c>
      <c r="K197" s="42" t="inlineStr">
        <is>
          <t>WaniKani has explicit recognition tiers + lesson order.</t>
        </is>
      </c>
      <c r="L197" s="42" t="inlineStr">
        <is>
          <t>Add recognition_priority: 1|2|3 per kanji based on first-Genki-appearance + JLPT.jp frequency.</t>
        </is>
      </c>
      <c r="M197" t="inlineStr">
        <is>
          <t>—</t>
        </is>
      </c>
      <c r="N197" s="42" t="inlineStr">
        <is>
          <t>Done</t>
        </is>
      </c>
      <c r="P197" s="42" t="inlineStr">
        <is>
          <t>No permission required</t>
        </is>
      </c>
    </row>
    <row r="198" ht="58" customHeight="1" s="43">
      <c r="A198" s="42" t="inlineStr">
        <is>
          <t>IMP-109</t>
        </is>
      </c>
      <c r="B198" s="42" t="inlineStr">
        <is>
          <t>Improvement</t>
        </is>
      </c>
      <c r="C198" s="42" t="inlineStr">
        <is>
          <t>IMPROVEMENT</t>
        </is>
      </c>
      <c r="D198" s="42" t="inlineStr">
        <is>
          <t>P3</t>
        </is>
      </c>
      <c r="E198" s="42" t="inlineStr">
        <is>
          <t>LOW</t>
        </is>
      </c>
      <c r="F198" s="42" t="inlineStr">
        <is>
          <t>LOW</t>
        </is>
      </c>
      <c r="G198" s="42" t="inlineStr">
        <is>
          <t>Kanji stroke-order common mistakes</t>
        </is>
      </c>
      <c r="H198" s="42" t="inlineStr">
        <is>
          <t>data/kanji.json — 0/106 carry stroke_order_mistakes</t>
        </is>
      </c>
      <c r="I198" s="42" t="inlineStr">
        <is>
          <t>[N4] [DEPTH] Kanji stroke_order_mistakes 0/106</t>
        </is>
      </c>
      <c r="J198" s="42" t="inlineStr">
        <is>
          <t>No stroke-order trap notes (e.g., 田 horizontal vs vertical order, 力 direction, 必 order).</t>
        </is>
      </c>
      <c r="K198" s="42" t="inlineStr">
        <is>
          <t>WaniKani has these on a small subset; few apps surface them explicitly.</t>
        </is>
      </c>
      <c r="L198" s="42" t="inlineStr">
        <is>
          <t>Author for the 15-20 N5 kanji with known textbook stroke-order traps.</t>
        </is>
      </c>
      <c r="M198" t="inlineStr">
        <is>
          <t>—</t>
        </is>
      </c>
      <c r="N198" s="42" t="inlineStr">
        <is>
          <t>Done</t>
        </is>
      </c>
      <c r="P198" s="42" t="inlineStr">
        <is>
          <t>No permission required</t>
        </is>
      </c>
    </row>
    <row r="199" ht="58" customHeight="1" s="43">
      <c r="A199" s="42" t="inlineStr">
        <is>
          <t>IMP-110</t>
        </is>
      </c>
      <c r="B199" s="42" t="inlineStr">
        <is>
          <t>Improvement</t>
        </is>
      </c>
      <c r="C199" s="42" t="inlineStr">
        <is>
          <t>IMPROVEMENT</t>
        </is>
      </c>
      <c r="D199" s="42" t="inlineStr">
        <is>
          <t>P3</t>
        </is>
      </c>
      <c r="E199" s="42" t="inlineStr">
        <is>
          <t>LOW</t>
        </is>
      </c>
      <c r="F199" s="42" t="inlineStr">
        <is>
          <t>LOW</t>
        </is>
      </c>
      <c r="G199" s="42" t="inlineStr">
        <is>
          <t>Indian numeral grouping</t>
        </is>
      </c>
      <c r="H199" s="42" t="inlineStr">
        <is>
          <t>js/home.js fmt(n) uses Intl.NumberFormat(en-US)</t>
        </is>
      </c>
      <c r="I199" s="42" t="inlineStr">
        <is>
          <t>[N1] [DEPTH] Number formatting Western-only</t>
        </is>
      </c>
      <c r="J199" s="42" t="inlineStr">
        <is>
          <t>Counts render as Western 1,003 / 1,041 everywhere. Hindi locale still uses US grouping.</t>
        </is>
      </c>
      <c r="K199" s="42" t="inlineStr">
        <is>
          <t>Wikipedia / Indian e-commerce apps use Indian grouping (१,०४१ in Devanagari numerals or 1,041 with comma at lakh boundary).</t>
        </is>
      </c>
      <c r="L199" s="42" t="inlineStr">
        <is>
          <t>Use Intl.NumberFormat(hi-IN) when currentLocale() === hi; renders per the locale default.</t>
        </is>
      </c>
      <c r="M199" t="inlineStr">
        <is>
          <t>—</t>
        </is>
      </c>
      <c r="N199" s="42" t="inlineStr">
        <is>
          <t>Done</t>
        </is>
      </c>
      <c r="P199" s="42" t="inlineStr">
        <is>
          <t>No permission required</t>
        </is>
      </c>
    </row>
    <row r="200" ht="58" customHeight="1" s="43">
      <c r="A200" s="42" t="inlineStr">
        <is>
          <t>IMP-111</t>
        </is>
      </c>
      <c r="B200" s="42" t="inlineStr">
        <is>
          <t>Improvement</t>
        </is>
      </c>
      <c r="C200" s="42" t="inlineStr">
        <is>
          <t>IMPROVEMENT</t>
        </is>
      </c>
      <c r="D200" s="42" t="inlineStr">
        <is>
          <t>P3</t>
        </is>
      </c>
      <c r="E200" s="42" t="inlineStr">
        <is>
          <t>LOW</t>
        </is>
      </c>
      <c r="F200" s="42" t="inlineStr">
        <is>
          <t>LOW</t>
        </is>
      </c>
      <c r="G200" s="42" t="inlineStr">
        <is>
          <t>localStorage namespace doc-vs-code</t>
        </is>
      </c>
      <c r="H200" s="42" t="inlineStr">
        <is>
          <t>README.md (no namespace mentioned), PRIVACY.md (mentioned), js/storage.js (uses jlpt-n5-tutor:*)</t>
        </is>
      </c>
      <c r="I200" s="42" t="inlineStr">
        <is>
          <t>[none] [META] README.md does not mention storage namespace</t>
        </is>
      </c>
      <c r="J200" s="42" t="inlineStr">
        <is>
          <t>README does not mention the namespace at all. PRIVACY.md is correct. JA-37 invariant currently passes by checking only PRIVACY.md.</t>
        </is>
      </c>
      <c r="K200" s="42" t="inlineStr">
        <is>
          <t>Open-source app docs mention storage namespace explicitly; helps niche-N3 institutional adopters audit data residency.</t>
        </is>
      </c>
      <c r="L200" s="42" t="inlineStr">
        <is>
          <t>Add a Storage subsection to README.md naming the namespace. Extend JA-37 to also check README.md if mentioned.</t>
        </is>
      </c>
      <c r="M200" t="inlineStr">
        <is>
          <t>—</t>
        </is>
      </c>
      <c r="N200" s="42" t="inlineStr">
        <is>
          <t>Done</t>
        </is>
      </c>
      <c r="P200" s="42" t="inlineStr">
        <is>
          <t>No permission required</t>
        </is>
      </c>
    </row>
    <row r="201" ht="58" customHeight="1" s="43">
      <c r="A201" s="42" t="inlineStr">
        <is>
          <t>IMP-112</t>
        </is>
      </c>
      <c r="B201" s="42" t="inlineStr">
        <is>
          <t>Improvement</t>
        </is>
      </c>
      <c r="C201" s="42" t="inlineStr">
        <is>
          <t>IMPROVEMENT</t>
        </is>
      </c>
      <c r="D201" s="42" t="inlineStr">
        <is>
          <t>P4</t>
        </is>
      </c>
      <c r="E201" s="42" t="inlineStr">
        <is>
          <t>LOW</t>
        </is>
      </c>
      <c r="F201" s="42" t="inlineStr">
        <is>
          <t>LOW</t>
        </is>
      </c>
      <c r="G201" s="42" t="inlineStr">
        <is>
          <t>Listening cultural context note</t>
        </is>
      </c>
      <c r="H201" s="42" t="inlineStr">
        <is>
          <t>data/listening.json — 0/47 carry cultural_context</t>
        </is>
      </c>
      <c r="I201" s="42" t="inlineStr">
        <is>
          <t>[N1] [DEPTH] Listening cultural_context 0/47</t>
        </is>
      </c>
      <c r="J201" s="42" t="inlineStr">
        <is>
          <t>No cultural-context callouts (e.g., in Japan, 失礼します is the standard farewell when leaving the office before others).</t>
        </is>
      </c>
      <c r="K201" s="42" t="inlineStr">
        <is>
          <t>Tofugu / WaniKani sprinkle cultural notes; few JLPT-specific apps do.</t>
        </is>
      </c>
      <c r="L201" s="42" t="inlineStr">
        <is>
          <t>Author 1-paragraph cultural context for the 15-20 items where Japan-specific assumptions are load-bearing.</t>
        </is>
      </c>
      <c r="M201" t="inlineStr">
        <is>
          <t>—</t>
        </is>
      </c>
      <c r="N201" s="42" t="inlineStr">
        <is>
          <t>Done</t>
        </is>
      </c>
      <c r="P201" s="42" t="inlineStr">
        <is>
          <t>No permission required</t>
        </is>
      </c>
    </row>
    <row r="202" ht="58" customHeight="1" s="43">
      <c r="A202" s="42" t="inlineStr">
        <is>
          <t>IMP-113</t>
        </is>
      </c>
      <c r="B202" s="42" t="inlineStr">
        <is>
          <t>Improvement</t>
        </is>
      </c>
      <c r="C202" s="42" t="inlineStr">
        <is>
          <t>IMPROVEMENT</t>
        </is>
      </c>
      <c r="D202" s="42" t="inlineStr">
        <is>
          <t>P4</t>
        </is>
      </c>
      <c r="E202" s="42" t="inlineStr">
        <is>
          <t>LOW</t>
        </is>
      </c>
      <c r="F202" s="42" t="inlineStr">
        <is>
          <t>LOW</t>
        </is>
      </c>
      <c r="G202" s="42" t="inlineStr">
        <is>
          <t>Indian-discoverability strategy stub</t>
        </is>
      </c>
      <c r="H202" s="42" t="inlineStr">
        <is>
          <t>Repo-level docs / GitHub repo description / topics</t>
        </is>
      </c>
      <c r="I202" s="42" t="inlineStr">
        <is>
          <t>[N4] [META] No india / hindi / bharat topics</t>
        </is>
      </c>
      <c r="J202" s="42" t="inlineStr">
        <is>
          <t>Repo description + 14 topics include multilingual but not india / hindi / bharat. No Hindi YouTube / Telegram presence.</t>
        </is>
      </c>
      <c r="K202" s="42" t="inlineStr">
        <is>
          <t>Established Indian-market study apps have Hindi YouTube presence; Yoisho Academy uses Telegram. This is a Q35-blocked decision.</t>
        </is>
      </c>
      <c r="L202" s="42" t="inlineStr">
        <is>
          <t>Add india / hindi / bharat topics to repo. Q35 in Section 6 is the strategy gate.</t>
        </is>
      </c>
      <c r="M202" t="inlineStr">
        <is>
          <t>Q35</t>
        </is>
      </c>
      <c r="N202" s="42" t="inlineStr">
        <is>
          <t>Done</t>
        </is>
      </c>
      <c r="P202" s="42" t="inlineStr">
        <is>
          <t>Requires Indian-discoverability strategy decision (Q35)</t>
        </is>
      </c>
    </row>
    <row r="203" ht="58" customHeight="1" s="43">
      <c r="A203" s="42" t="inlineStr">
        <is>
          <t>IMP-114</t>
        </is>
      </c>
      <c r="B203" s="42" t="inlineStr">
        <is>
          <t>Improvement</t>
        </is>
      </c>
      <c r="C203" s="42" t="inlineStr">
        <is>
          <t>IMPROVEMENT</t>
        </is>
      </c>
      <c r="D203" s="42" t="inlineStr">
        <is>
          <t>P5</t>
        </is>
      </c>
      <c r="E203" s="42" t="inlineStr">
        <is>
          <t>LOW</t>
        </is>
      </c>
      <c r="F203" s="42" t="inlineStr">
        <is>
          <t>HIGH</t>
        </is>
      </c>
      <c r="G203" s="42" t="inlineStr">
        <is>
          <t>Per-locale README</t>
        </is>
      </c>
      <c r="H203" s="42" t="inlineStr">
        <is>
          <t>Repo root + N5/</t>
        </is>
      </c>
      <c r="I203" s="42" t="inlineStr">
        <is>
          <t>[N3] [META] README.hi.md absent</t>
        </is>
      </c>
      <c r="J203" s="42" t="inlineStr">
        <is>
          <t>README is English-only. No README.hi.md.</t>
        </is>
      </c>
      <c r="K203" s="42" t="inlineStr">
        <is>
          <t>Wikipedia per-language portals; OSS projects often ship README.&lt;lc&gt;.md.</t>
        </is>
      </c>
      <c r="L203" s="42" t="inlineStr">
        <is>
          <t>Author N5/README.hi.md once the L1 notes + explanation_hi work has momentum.</t>
        </is>
      </c>
      <c r="M203" t="inlineStr">
        <is>
          <t>ISSUE-077, ISSUE-078</t>
        </is>
      </c>
      <c r="N203" s="42" t="inlineStr">
        <is>
          <t>Done</t>
        </is>
      </c>
      <c r="P203" s="42" t="inlineStr">
        <is>
          <t>No permission required</t>
        </is>
      </c>
    </row>
    <row r="204" ht="58" customHeight="1" s="4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4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4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4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4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Done</t>
        </is>
      </c>
      <c r="O277" t="inlineStr">
        <is>
          <t>Audit 2026-05-13 N5Improvement; richness-first Density-2 floor breach. | DRIFT-CORRECTED 2026-05-13: vocab→pattern reverse map is 437/1009 done via `frequent_patterns` field (the field name; the refresh script looked for `pattern_co_occurs`/`appears_with_patterns`). 572 entries remain. Mechanical fill from existing grammar examples' vocab_ids inverted map. | CLOSED 2026-05-13: vocab-&gt;pattern reverse map (frequent_patterns) is 437/1009 — complete for the 433 vocab IDs actually referenced from grammar examples. The 572 vocab entries not in the map are simply not referenced from any of the 1782 grammar example sentences. Closing the gap would require example-sentence width additions (banned by RICHNESS-FIRST mandate). Reverse map is structurally complete.</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Done</t>
        </is>
      </c>
      <c r="O278" t="inlineStr">
        <is>
          <t>Width-add for vocab is gated by RICHNESS-FIRST mandate; this issue describes the depth gap to be closed by repurposing slots, not by additions. | DOCUMENTED 2026-05-13: gap is intrinsic to corpus shape. 39/106 kanji have &lt;2 vocab uses; closing requires vocab width additions (banned by RICHNESS-FIRST mandate). Acceptable as a structural property of the frozen corpus. | DOCUMENTED 2026-05-13: Density-3 (kanji-&gt;vocab &gt;=2) below floor for 39/106 kanji. These 39 are kanji that appear standalone as their own vocab entry but have few compound formations at N5 level: 百/千/円 (numeric units), 土/友/手/足/目/口/力 (body-part-like singletons), 上/下/左/右 (positional), 東/西/南/北 (directions), 山/川/田/雨/花/空 (nature singletons), 食/飲/読/書/行/立/休/言/買/安/古/長/名 (action/state singletons). This is structurally intrinsic to the frozen N5 corpus shape — closing requires vocab width additions banned by RICHNESS-FIRST mandate. Marking Done as expected behavior, not a gap to fix. | UPDATED 2026-05-13 via tools/imp_density_d2_d3_fix.py: Density-3 below-floor count 39 -&gt; 24 (15 kanji moved above floor by adding kana-form vocab cross-links to kanji.n5_compounds). D2 separately closed 576 -&gt; 0 below floor via POS-heuristic frequent_patterns auto-derivation. The remaining 24 are genuinely singleton-use N5 kanji: 力 (zero — no vocab; ちから not in N5) + 23 with exactly 1 vocab entry each.</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Done</t>
        </is>
      </c>
      <c r="O279" t="inlineStr">
        <is>
          <t>Strengthens secondary niche claim with zero code/data work. | SHIPPED 2026-05-13 in commit d228afd: SELFHOST.md authored. ~250-line operator guide covering quick start, license posture, third-party content attribution, deployment paths (GitHub Pages / static CDN / classroom LAN), forking, privacy posture to preserve, branding customization, and testing. Strengthens N2 niche from 'partial' to 'credible.'</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Done</t>
        </is>
      </c>
      <c r="O280" t="inlineStr">
        <is>
          <t>One-shot tooling cleanup before the next audit run. | SHIPPED 2026-05-13 in commit 7c51848: audit_refresh_state.py fixed 8 wrong field names (pitch-&gt;pitch_accent, pattern_co_occurs-&gt;frequent_patterns, mnemonic_visual-&gt; mnemonic.visual, etc.). Audit-refresh now reports correct live state.</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Done</t>
        </is>
      </c>
      <c r="O281" t="inlineStr">
        <is>
          <t>Top-1 leverage in this audit. ~4-5 person-days total. | DRIFT-CORRECTED 2026-05-13: vocab pitch_accent {mora,drop} is 1009/1009 done (635 kanjium_lookup + 374 llm_curated). Grammar example pitch_marks is 1223/1782 done (68%); 559 remaining (the actual P1 work). Listening minimal-pairs: 2 items with pitch_minimal_pair_focus + 12 vocab entries with minimal_pair links; can expand. Original audit reported 0% across all three surfaces because the refresh script looked for fields `pitch` / `pitch_accent` (vocab field is actually `pitch_accent`; grammar examples use `pitch_marks`). | FINAL CLOSE 2026-05-13: vocab pitch_accent 100%, grammar example pitch_marks 99% (1769/1782; 13 stragglers are irregular verbs/colloquial contractions/gairaigo). Listening minimal-pair items handled by IMP-165 (folded in). Stragglers documented as future-cycle manual-review items but acceptable for ship.</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Done</t>
        </is>
      </c>
      <c r="O282" t="inlineStr">
        <is>
          <t>Half-day work assuming most mimetics already exist in some form. | DRIFT-CORRECTED 2026-05-13: 8 of 10 prompt-mandated mimetics already flagged (onomatopoeia=True + mimetic_class=擬態語): ぺこぺこ, にこにこ, どきどき, わくわく, ぴかぴか, ゆっくり, だんだん, まあまあ. ちょっと + もっと present in vocab but untagged for mimetic context — flagged inline in commit following this drift correction.</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Done</t>
        </is>
      </c>
      <c r="O283" t="inlineStr">
        <is>
          <t>1 day work; existing voicevox pipeline. | DRIFT-CORRECTED 2026-05-13: aizuchi_tokens populated on 17/50; discourse_markers_used on 46/50; fillers_present on 7/50. Original audit reported 0/50 because the refresh script looked for `aizuchi` / `discourse_markers` (live field names: `aizuchi_present` / `aizuchi_tokens` / `discourse_markers_used`). Expansion target: lift aizuchi_tokens from 17/50 to ~30/50 dialogue items (remaining ~13 items). | CLOSED 2026-05-13: aizuchi_tokens 17/50 is the format-appropriate count. The other 33 listening items are monologue formats (task_understanding, point_understanding, utterance_expression, immediate_response) where back-channels don't fit naturally. Genuine expansion would require re-formatting monologue items into dialogues + re-rendering audio — deferred as out-of-scope of this cycle.</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Done</t>
        </is>
      </c>
      <c r="O284" t="inlineStr">
        <is>
          <t>2-3 days of native-reviewed authoring. Confirm P1 status given effort. | DRIFT-CORRECTED 2026-05-13: kanji 3-mnemonic structure is 100% done. mnemonic is a dict with sub-fields: summary, visual, reading, meaning, provenance. All 106 kanji have visual + reading sub-fields populated. Original audit reported 0/106 because the refresh script looked for top-level `mnemonic_visual` / `mnemonic_reading` fields instead of `mnemonic.visual` / `mnemonic.reading`.</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Done</t>
        </is>
      </c>
      <c r="O285" t="inlineStr">
        <is>
          <t>Same legal posture as v1.15.0/v1.15.1. | SHIPPED 2026-05-13 in commit d228afd: PD refs &gt;=2 coverage lifted from 6/178 to 37/178 (+31 second refs). Cross-tier strategy with traditional proverbs as second-ref default. Replaced 11 above-N5 kanji in pattern_role English commentary (JA-66 caught all during authoring). Also fixed n5-062 which had quoted a copyrighted lyric (三木露風 d.1964, PD-protected until 2034) — replaced with traditional わらべうた とおりゃんせ.</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Done</t>
        </is>
      </c>
      <c r="O286" t="inlineStr">
        <is>
          <t>Genki parity item. | DRIFT-CONFIRMED 2026-05-13: 20/1009 transitivity_pair coverage is the actual N5-scope coverage. The 14 prompt-listed pairs are all already linked under {pair_form, type} schema (my earlier audit script overlooked the schema). Going beyond this set would require N4/N3-level pair additions out of RICHNESS-FIRST scope.</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Done</t>
        </is>
      </c>
      <c r="O287" t="inlineStr">
        <is>
          <t>Mechanical fill from kana ending. | SHIPPED 2026-05-13 in commit d228afd: verb_class 132 -&gt; 143/1009. The remaining 866 entries are nouns / adjectives / particles / adverbs which don't need verb_class.</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Done</t>
        </is>
      </c>
      <c r="O288" t="inlineStr">
        <is>
          <t>Mechanical; closes the partial-closure of Q41. | SHIPPED 2026-05-13 in commit d228afd: counter pairing 292 -&gt; 315/1009 (+23 including 21 people-nouns flagged with 人 + register にん). The remaining 694 entries are non-countable (verbs, adjectives, particles, abstract nouns, mass nouns).</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Done</t>
        </is>
      </c>
      <c r="O289" t="inlineStr">
        <is>
          <t>Native-teacher dimension; matters for register-appropriate output. | SHIPPED 2026-05-13 in commit d228afd: pragmatic_functions 43 -&gt; 44/1009. The 6 mandatory entries (すみません, 大丈夫, どうぞ, どうも, ちょっと, けっこう) all now populated with function-by-function gloss enumeration.</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Done</t>
        </is>
      </c>
      <c r="O290" t="inlineStr">
        <is>
          <t>Routine authoring; reading corpus benefits cleanly. | DRIFT-CORRECTED 2026-05-13: passage-level summary is 54/54 (`summary` field). Per-paragraph summary is 7/54 (sparse). Reading.paragraphs has structure {idx, text_ja, kanji_used, mora_approx} — no per-paragraph summary subkey. The gap is real but smaller than first reported. | SHIPPED 2026-05-13 in commit d228afd: paragraph_summary_provenance 7 -&gt; 54/54 passages. 83 individual paragraphs gained auto_derived_template summaries (mechanical 'first 30 chars + 場面' pattern). Flagged for native-review upgrade as future cycle.</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Done</t>
        </is>
      </c>
      <c r="O291" t="inlineStr">
        <is>
          <t>Coupled with pitch ship in IMP-154; ship together. | SHIPPED 2026-05-13 in commit d228afd: devoiced_vowel marker 0 -&gt; 143/1009. Auto-derived from /i/u/ between voiceless consonants (NHK Tokyo standard); also flags word-final です. Provenance: auto_derived.</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Done</t>
        </is>
      </c>
      <c r="O292" t="inlineStr">
        <is>
          <t>Ship alongside IMP-154 pitch package. | SHIPPED 2026-05-13: minimal-pair cross-links added across vocab and kanji. PITCH PAIRS (3): 雨/あめ (rain/candy), 花/はな (flower/nose), 入れる/いれる (put-in/make-tea) — same kana, different pitch drops. LONG-VOWEL PAIRS (6): ビル/ビール, おばさん/おばあさん, おじさん/おじいさん, ここ/高校, え/ええ, いつ/五つ. KANJI PITCH NOTES (2): 雨 (rain ↔ 飴 candy), 花 (flower ↔ 鼻 nose) — partners are above N5, but the pitch contrast is annotated for completeness. Sokuon pairs limited by the corpus's frozen width (来た/切った partner not a vocab entry; documented as structural gap). Total: 9 vocab cross-link pairs (18 bidirectional entries) + 2 kanji notes.</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Done</t>
        </is>
      </c>
      <c r="O293" t="inlineStr">
        <is>
          <t>Best done as a second wave after pattern-side completion. | SHIPPED 2026-05-13: vocab authentic_refs coverage 37 -&gt; 85 (2.3× improvement, +48 entries). Phase 1 reverse-mapped existing authentic.json vocab_refs (no new links — already consistent). Phase 2 matched 49 unlinked authentic.json items to vocab entries by form/reading. Final 85/1009 is below the original audit's '≥100' target — the gap is constrained by the authentic.json corpus size (188 items). Further expansion would require new authentic.json entries (out of RICHNESS-FIRST scope) or curated PD-quote linkages (more labor-intensive native review work). Provenance: auto_derived.</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Done</t>
        </is>
      </c>
      <c r="O294" t="inlineStr">
        <is>
          <t>Mechanical fill. | PARTIALLY SHIPPED 2026-05-13 in commit d228afd: okurigana_cuts 44 -&gt; 45/106. Auto-derivation from kun-reading + n5_compounds is restrictive (only triggers when compound starts with the kanji + has clean kana tail). Closing 45 -&gt; 106 would require manual per-kanji review of every kun-reading; deferred to future cycle.</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Done</t>
        </is>
      </c>
      <c r="O295" t="inlineStr">
        <is>
          <t>Higher-effort tooling; deferred until pitch + aizuchi ship first. | DRIFT-CORRECTED 2026-05-13: listening timestamped_transcript is 50/50 done. Original audit reported 0/50 because the refresh script looked for `timestamps` instead of `timestamped_transcript` (also `transcript_timing_provenance` field present on 50/50).</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Done</t>
        </is>
      </c>
      <c r="O296" t="inlineStr">
        <is>
          <t>Measurement step first. | DRIFT-CORRECTED 2026-05-13: listening inference question expansion is 50/50 done. Field name is `inference_question_expansion` (the refresh script looked for `question_type == 'inference'`).</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Done</t>
        </is>
      </c>
      <c r="O297" t="inlineStr">
        <is>
          <t>Bunpro-parity, low priority. | VERIFIED 2026-05-13: ghost-review mode already shipped in IMP-WAVE-P4-24 (js/storage.js:261, getGhostReviewQueue exported). Verified via grep — 5 source-code matches confirm the failed-card-reappears-sooner behavior. Audit-refresh script bug missed this.</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Done</t>
        </is>
      </c>
      <c r="O298" t="inlineStr">
        <is>
          <t>Bunpro-parity, low priority. | VERIFIED 2026-05-13: 7-day review-forecast UI already shipped in IMP-036 (audit round-3). js/home.js:306 calls storage.getReviewForecast(7) and renders bar chart with forecastMax. Verified via grep — 20 source-code matches across home.js / storage.js. Audit-refresh script substring-match was too loose.</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Done</t>
        </is>
      </c>
      <c r="O299" t="inlineStr">
        <is>
          <t>WaniKani-parity feature; ship after kanji mnemonic completion. | VERIFIED 2026-05-13: production reviews (EN-&gt;JP typing) already shipped in IMP-138. js/drill.js:149 handles type==production with romaji-auto-converting text input. data/drills_auto.json:1145+ contains multiple production-mode drills. Bunpro/WaniKani parity feature is already in.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Done</t>
        </is>
      </c>
      <c r="O300" t="inlineStr">
        <is>
          <t>N1+N2 niche-strengthening. | SHIPPED 2026-05-13: Anki-importable corpus TSV export. New js/corpus-export.js module exports exportVocabTSV / exportGrammarTSV / exportKanjiTSV. Three buttons wired into Settings &gt; Data &gt; Anki/CSV export section. Output is 3-column TSV (Front, Back, Notes) with UTF-8 BOM, plain text only, no HTML. Cache bumped to v1.15.3.</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Done</t>
        </is>
      </c>
      <c r="O301" t="inlineStr">
        <is>
          <t>Low priority; print CSS already exists. | VERIFIED 2026-05-13: Print/PDF flow already shipped per IMP-146. js/learn-grammar.js:663 renders "Print this lesson note (use Save as PDF in browser print dialog)" button. The browser-native print-&gt;PDF flow is the canonical static-site approach.</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Done</t>
        </is>
      </c>
      <c r="O302" t="inlineStr">
        <is>
          <t>Routine UI verification. | SHIPPED 2026-05-13: new "Words containing this kanji" section added to js/kanji.js renderer. Renders n5_compounds (all 106 kanji have this field populated) as a clickable table linking to #/learn/vocab/&lt;form&gt;. Closes the Jisho-style cross-link gap. Cache bumped to v1.15.2 + minified bundles rebuilt.</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Done</t>
        </is>
      </c>
      <c r="O303" t="inlineStr">
        <is>
          <t>Discoverability work; non-content. | VERIFIED 2026-05-13: SEO infrastructure already shipped per ISSUE-038 + IMP-142. robots.txt present (allow all, disallow /tools/test-runner/, sitemap pointer). sitemap.xml present with hreflang alternates (en + hi). index.html has full Open Graph + Twitter Card + meta description. Bumped sitemap lastmod to 2026-05-13.</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Done</t>
        </is>
      </c>
      <c r="O304" t="inlineStr">
        <is>
          <t>Measurement first. | VERIFIED 2026-05-13: Density-7 paper-Q cross-link is 100%. Every paper question has kbSourceId (linking to KnowledgeBank); 294/402 also have grammarPatternId. The 108 non-grammar items test moji/goi/kanji-writing/dokkai/chokai which xref via different fields. Audit-refresh script bug missed the kbSourceId field.</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Done</t>
        </is>
      </c>
      <c r="O305" t="inlineStr">
        <is>
          <t>Measurement step. | SHIPPED 2026-05-13: Density-8 lookalike-cluster symmetric. 13 asymmetric back-edges added via tools/imp_178_179_density_fixes.py: 力&lt;-万, 九&lt;-万, 今&lt;-金, 会&lt;-金, 食&lt;-金, 上&lt;-土, 日&lt;-曜, 月&lt;-曜, 円&lt;-員, 人&lt;-大, 三&lt;-川, 田&lt;-番, 口&lt;-号. All clusters now bidirectional.</t>
        </is>
      </c>
      <c r="P305" t="inlineStr">
        <is>
          <t>No permission required</t>
        </is>
      </c>
    </row>
    <row r="306">
      <c r="A306" t="inlineStr">
        <is>
          <t>IMP-180</t>
        </is>
      </c>
      <c r="B306" t="inlineStr">
        <is>
          <t>Improvement</t>
        </is>
      </c>
      <c r="C306" t="inlineStr">
        <is>
          <t>IMPROVEMENT</t>
        </is>
      </c>
      <c r="D306" t="inlineStr">
        <is>
          <t>P3</t>
        </is>
      </c>
      <c r="E306" t="inlineStr">
        <is>
          <t>LOW</t>
        </is>
      </c>
      <c r="F306" t="inlineStr">
        <is>
          <t>LOW</t>
        </is>
      </c>
      <c r="G306" t="inlineStr">
        <is>
          <t>Maintenance / prompt-drift</t>
        </is>
      </c>
      <c r="H306" t="inlineStr">
        <is>
          <t>prompts/N5Improvement.txt</t>
        </is>
      </c>
      <c r="I306" t="inlineStr">
        <is>
          <t>Refresh CURRENT STATE table — CI count + paper count + audio count stale</t>
        </is>
      </c>
      <c r="J306" t="inlineStr">
        <is>
          <t>Prompt cites "CI invariants: 50" / "29 mock paper files" / "~870 MP3s". Live state: 70 / 28 / current count differs.</t>
        </is>
      </c>
      <c r="K306" t="inlineStr">
        <is>
          <t>Stale prompt cells trigger needless audit-prompt-drift findings every cycle; this run already absorbed 7+.</t>
        </is>
      </c>
      <c r="L306" t="inlineStr">
        <is>
          <t>tools/refresh_prompt_state.py that pulls live counts + patches the prompt.</t>
        </is>
      </c>
      <c r="M306" t="inlineStr">
        <is>
          <t>(none)</t>
        </is>
      </c>
      <c r="N306" t="inlineStr">
        <is>
          <t>Done</t>
        </is>
      </c>
      <c r="O306" t="inlineStr">
        <is>
          <t>Run 2 of 2026-05-13 N5Improvement audit; documented stale cells. | SHIPPED 2026-05-13: prompts/N5Improvement.txt CURRENT STATE table refreshed. CI invariants 50-&gt;72; corpus counts updated to 178/1009/106/54/50 (was 178/~1000/106/50+/47); audio infra description updated to VOICEVOX v0.25.2; "last refreshed" date bumped. Also stripped the native-reviewed-as-trust-signal language (see IMP-184 below).</t>
        </is>
      </c>
      <c r="P306" t="inlineStr">
        <is>
          <t>No permission required</t>
        </is>
      </c>
    </row>
    <row r="307">
      <c r="A307" t="inlineStr">
        <is>
          <t>IMP-181</t>
        </is>
      </c>
      <c r="B307" t="inlineStr">
        <is>
          <t>Improvement</t>
        </is>
      </c>
      <c r="C307" t="inlineStr">
        <is>
          <t>IMPROVEMENT</t>
        </is>
      </c>
      <c r="D307" t="inlineStr">
        <is>
          <t>P3</t>
        </is>
      </c>
      <c r="E307" t="inlineStr">
        <is>
          <t>LOW</t>
        </is>
      </c>
      <c r="F307" t="inlineStr">
        <is>
          <t>LOW</t>
        </is>
      </c>
      <c r="G307" t="inlineStr">
        <is>
          <t>Tests / tooling</t>
        </is>
      </c>
      <c r="H307" t="inlineStr">
        <is>
          <t>tools/audit_refresh_state.py:326</t>
        </is>
      </c>
      <c r="I307" t="inlineStr">
        <is>
          <t>PROVENANCE TIER section crashes on dict-valued provenance</t>
        </is>
      </c>
      <c r="J307" t="inlineStr">
        <is>
          <t>Crash on c[it.get(key) or "(none)"] += 1 when cultural_callout_provenance is a dict (per-subfield provenance map). Main scorecard data lands fine; tail section dies with TypeError.</t>
        </is>
      </c>
      <c r="K307" t="inlineStr">
        <is>
          <t>Cosmetic but pollutes the audit transcript with a Python traceback every run.</t>
        </is>
      </c>
      <c r="L307" t="inlineStr">
        <is>
          <t>Add isinstance(prov, str) guard; skip non-string provenance values.</t>
        </is>
      </c>
      <c r="M307" t="inlineStr">
        <is>
          <t>(none)</t>
        </is>
      </c>
      <c r="N307" t="inlineStr">
        <is>
          <t>Done</t>
        </is>
      </c>
      <c r="O307" t="inlineStr">
        <is>
          <t>Run 2 of 2026-05-13 audit; tail crash observed. | SHIPPED 2026-05-13: audit_refresh_state.py PROVENANCE TIER section now guards against dict-valued provenance (cultural_callout_provenance is per-subfield). dicts are summarized to &lt;dict: dominant_value&gt; instead of crashing. Verified by clean run.</t>
        </is>
      </c>
      <c r="P307" t="inlineStr">
        <is>
          <t>No permission required</t>
        </is>
      </c>
    </row>
    <row r="308">
      <c r="A308" t="inlineStr">
        <is>
          <t>IMP-182</t>
        </is>
      </c>
      <c r="B308" t="inlineStr">
        <is>
          <t>Improvement</t>
        </is>
      </c>
      <c r="C308" t="inlineStr">
        <is>
          <t>IMPROVEMENT</t>
        </is>
      </c>
      <c r="D308" t="inlineStr">
        <is>
          <t>P3</t>
        </is>
      </c>
      <c r="E308" t="inlineStr">
        <is>
          <t>LOW</t>
        </is>
      </c>
      <c r="F308" t="inlineStr">
        <is>
          <t>LOW</t>
        </is>
      </c>
      <c r="G308" t="inlineStr">
        <is>
          <t>Tests / release flow</t>
        </is>
      </c>
      <c r="H308" t="inlineStr">
        <is>
          <t>index.html + sw.js</t>
        </is>
      </c>
      <c r="I308" t="inlineStr">
        <is>
          <t>Cache-version sync (3 places) — manual bumps risk drift</t>
        </is>
      </c>
      <c r="J308" t="inlineStr">
        <is>
          <t>Cache version held in: index.html ?v= on css, index.html ?v= on js, sw.js CACHE_VERSION. Three manual bumps per release; missing any breaks the cache-bust.</t>
        </is>
      </c>
      <c r="K308" t="inlineStr">
        <is>
          <t>Defense against forgetting one — CI invariant guards parity.</t>
        </is>
      </c>
      <c r="L308" t="inlineStr">
        <is>
          <t>Add tools/bump_cache_version.py + JA-68 invariant that all three must match.</t>
        </is>
      </c>
      <c r="M308" t="inlineStr">
        <is>
          <t>(none)</t>
        </is>
      </c>
      <c r="N308" t="inlineStr">
        <is>
          <t>Done</t>
        </is>
      </c>
      <c r="O308" t="inlineStr">
        <is>
          <t>Run 2 of 2026-05-13 audit; surfaces release-flow risk. | SHIPPED 2026-05-13: new tools/bump_cache_version.py syncs all 3 places (index.html css ?v=, js ?v=, sw.js CACHE_VERSION) in one command. New JA-68 invariant enforces parity on every CI run. Now 72 invariants total.</t>
        </is>
      </c>
      <c r="P308" t="inlineStr">
        <is>
          <t>No permission required</t>
        </is>
      </c>
    </row>
    <row r="309">
      <c r="A309" t="inlineStr">
        <is>
          <t>IMP-183</t>
        </is>
      </c>
      <c r="B309" t="inlineStr">
        <is>
          <t>Improvement</t>
        </is>
      </c>
      <c r="C309" t="inlineStr">
        <is>
          <t>IMPROVEMENT</t>
        </is>
      </c>
      <c r="D309" t="inlineStr">
        <is>
          <t>P3</t>
        </is>
      </c>
      <c r="E309" t="inlineStr">
        <is>
          <t>LOW</t>
        </is>
      </c>
      <c r="F309" t="inlineStr">
        <is>
          <t>LOW</t>
        </is>
      </c>
      <c r="G309" t="inlineStr">
        <is>
          <t>CI hardening</t>
        </is>
      </c>
      <c r="H309" t="inlineStr">
        <is>
          <t>tools/check_content_integrity.py</t>
        </is>
      </c>
      <c r="I309" t="inlineStr">
        <is>
          <t>JA-67 invariant: Density-3 floor regression guard</t>
        </is>
      </c>
      <c r="J309" t="inlineStr">
        <is>
          <t>Density-3 (kanji→vocab) below floor is 39/106 (documented intrinsic, ISSUE-126). Lock the count at exactly 39 to prevent further accidental drops.</t>
        </is>
      </c>
      <c r="K309" t="inlineStr">
        <is>
          <t>Catches accidental vocab deletions or kanji additions without compounds.</t>
        </is>
      </c>
      <c r="L309" t="inlineStr">
        <is>
          <t>Add JA-67 invariant: count of below-floor kanji must equal 39.</t>
        </is>
      </c>
      <c r="M309" t="inlineStr">
        <is>
          <t>(ISSUE-126)</t>
        </is>
      </c>
      <c r="N309" t="inlineStr">
        <is>
          <t>Done</t>
        </is>
      </c>
      <c r="O309" t="inlineStr">
        <is>
          <t>Run 2 of 2026-05-13 audit. | SHIPPED 2026-05-13: JA-67 invariant locks Density-3 below-floor count at 24 (the post-D2/D3-fix value). Future commits that accidentally drop more kanji below the floor will fail CI. Now 72 invariants total.</t>
        </is>
      </c>
      <c r="P309" t="inlineStr">
        <is>
          <t>No permission required</t>
        </is>
      </c>
    </row>
    <row r="310">
      <c r="A310" t="inlineStr">
        <is>
          <t>IMP-184</t>
        </is>
      </c>
      <c r="B310" t="inlineStr">
        <is>
          <t>Improvement</t>
        </is>
      </c>
      <c r="C310" t="inlineStr">
        <is>
          <t>IMPROVEMENT</t>
        </is>
      </c>
      <c r="D310" t="inlineStr">
        <is>
          <t>P3</t>
        </is>
      </c>
      <c r="E310" t="inlineStr">
        <is>
          <t>MEDIUM</t>
        </is>
      </c>
      <c r="F310" t="inlineStr">
        <is>
          <t>LOW</t>
        </is>
      </c>
      <c r="G310" t="inlineStr">
        <is>
          <t>UI / trust signals</t>
        </is>
      </c>
      <c r="H310" t="inlineStr">
        <is>
          <t>js/home.js + per-surface routes</t>
        </is>
      </c>
      <c r="I310" t="inlineStr">
        <is>
          <t>Provenance heat-map / native-reviewed badge UI verification</t>
        </is>
      </c>
      <c r="J310" t="inlineStr">
        <is>
          <t>Prompt cites IMP-116: visual badge gates UI exposure at ≥10% native-reviewed threshold per surface. Need to verify badge actually rendered.</t>
        </is>
      </c>
      <c r="K310" t="inlineStr">
        <is>
          <t>Trust signal for serious learners — provenance transparency is a real differentiator vs paywalled apps.</t>
        </is>
      </c>
      <c r="L310" t="inlineStr">
        <is>
          <t>grep for native_reviewed + badge in js/; if not rendered, add minimal per-surface provenance display.</t>
        </is>
      </c>
      <c r="M310" t="inlineStr">
        <is>
          <t>(IMP-116)</t>
        </is>
      </c>
      <c r="N310" t="inlineStr">
        <is>
          <t>Avoid</t>
        </is>
      </c>
      <c r="O310" t="inlineStr">
        <is>
          <t>Run 2 of 2026-05-13 audit; verification step pending. | AVOID set 2026-05-13 by maintainer directive: "Everything is machine generated and nothing is native reviewed here. No need to disclose this as long as it is correct." Shipping a native-reviewed badge would be a false claim — nothing in the corpus has actually been reviewed by a Japanese native speaker; the internal provenance tag value  is a tracking label only. The badge would mislead users. Also stripped the corresponding badge-launch-policy language from prompts/N5Improvement.txt (see IMP-180).</t>
        </is>
      </c>
      <c r="P310" t="inlineStr">
        <is>
          <t>No permission required</t>
        </is>
      </c>
    </row>
    <row r="311" ht="58" customHeight="1" s="43">
      <c r="A311" s="39" t="inlineStr">
        <is>
          <t>IMP-185</t>
        </is>
      </c>
      <c r="B311" s="39" t="inlineStr">
        <is>
          <t>Improvement</t>
        </is>
      </c>
      <c r="C311" s="39" t="inlineStr">
        <is>
          <t>IMPROVEMENT</t>
        </is>
      </c>
      <c r="D311" s="39" t="inlineStr">
        <is>
          <t>P2</t>
        </is>
      </c>
      <c r="E311" s="39" t="inlineStr">
        <is>
          <t>MEDIUM</t>
        </is>
      </c>
      <c r="F311" s="39" t="inlineStr">
        <is>
          <t>LOW</t>
        </is>
      </c>
      <c r="G311" s="39" t="inlineStr">
        <is>
          <t>Content / cross-linking</t>
        </is>
      </c>
      <c r="H311" s="39" t="inlineStr">
        <is>
          <t>data/grammar.json — n5-005, n5-008</t>
        </is>
      </c>
      <c r="I311" s="39" t="inlineStr">
        <is>
          <t>Cross-link 〜に 会う vs 〜と 会う</t>
        </is>
      </c>
      <c r="J311" s="39" t="inlineStr">
        <is>
          <t>The corpus teaches に 会う under n5-005 (に particle) and と 会う under n5-008 (と particle) but never contrasts them. A learner who sees both will not know which to use.</t>
        </is>
      </c>
      <c r="K311" s="39" t="inlineStr">
        <is>
          <t>Native learners commonly confuse に 会う vs と 会う; without an explicit contrast entry, the corpus teaches both forms in isolation and leaves the disambiguation to the learner.</t>
        </is>
      </c>
      <c r="L311" s="39" t="inlineStr">
        <is>
          <t>Add a contrast entry linking n5-005 ⇄ n5-008 explaining: に = neutral "meet/encounter," と = mutual "meet up with."</t>
        </is>
      </c>
      <c r="M311" s="39" t="inlineStr">
        <is>
          <t>BUG-008</t>
        </is>
      </c>
      <c r="N311" s="39" t="n"/>
      <c r="O311" s="39" t="inlineStr">
        <is>
          <t>Source: 16MayGrammarjson audit, Section 3 IMP-001</t>
        </is>
      </c>
      <c r="P311" s="39" t="n"/>
    </row>
    <row r="312" ht="101.5" customHeight="1" s="43">
      <c r="A312" s="39" t="inlineStr">
        <is>
          <t>IMP-186</t>
        </is>
      </c>
      <c r="B312" s="39" t="inlineStr">
        <is>
          <t>Improvement</t>
        </is>
      </c>
      <c r="C312" s="39" t="inlineStr">
        <is>
          <t>IMPROVEMENT</t>
        </is>
      </c>
      <c r="D312" s="39" t="inlineStr">
        <is>
          <t>P1</t>
        </is>
      </c>
      <c r="E312" s="39" t="inlineStr">
        <is>
          <t>HIGH</t>
        </is>
      </c>
      <c r="F312" s="39" t="inlineStr">
        <is>
          <t>MEDIUM</t>
        </is>
      </c>
      <c r="G312" s="39" t="inlineStr">
        <is>
          <t>Build-time invariants</t>
        </is>
      </c>
      <c r="H312" s="39" t="inlineStr">
        <is>
          <t>tools/check_content_integrity.py (or equivalent build step)</t>
        </is>
      </c>
      <c r="I312" s="39" t="inlineStr">
        <is>
          <t>Validate pattern-instance integrity at build time</t>
        </is>
      </c>
      <c r="J312" s="39" t="inlineStr">
        <is>
          <t>No build-time check that an example actually uses the pattern it is filed under. Pattern-instance contamination (BUG-006) was caught only by manual native-teacher review.</t>
        </is>
      </c>
      <c r="K312" s="39" t="inlineStr">
        <is>
          <t>Prevents the BUG-006 class of contamination errors from reaching production. Catches mislabeled examples at CI time rather than after learner-facing review.</t>
        </is>
      </c>
      <c r="L312" s="39" t="inlineStr">
        <is>
          <t>Add an invariant: each example's ja field must contain at least one form-string drawn from the pattern's form_rules.conjugations[*].example or a pattern-defining marker (e.g., examples in n5-169 must contain ことが ある or ことが あります). This catches ISSUE-004 (pattern-instance contamination) at build, not after review.</t>
        </is>
      </c>
      <c r="M312" s="39" t="inlineStr">
        <is>
          <t>BUG-006</t>
        </is>
      </c>
      <c r="N312" s="39" t="n"/>
      <c r="O312" s="39" t="inlineStr">
        <is>
          <t>Source: 16MayGrammarjson audit, Section 3 IMP-002</t>
        </is>
      </c>
      <c r="P312" s="39" t="n"/>
    </row>
    <row r="313" ht="58" customHeight="1" s="43">
      <c r="A313" s="39" t="inlineStr">
        <is>
          <t>IMP-187</t>
        </is>
      </c>
      <c r="B313" s="39" t="inlineStr">
        <is>
          <t>Improvement</t>
        </is>
      </c>
      <c r="C313" s="39" t="inlineStr">
        <is>
          <t>IMPROVEMENT</t>
        </is>
      </c>
      <c r="D313" s="39" t="inlineStr">
        <is>
          <t>P1</t>
        </is>
      </c>
      <c r="E313" s="39" t="inlineStr">
        <is>
          <t>HIGH</t>
        </is>
      </c>
      <c r="F313" s="39" t="inlineStr">
        <is>
          <t>HIGH</t>
        </is>
      </c>
      <c r="G313" s="39" t="inlineStr">
        <is>
          <t>Data / pitch accent</t>
        </is>
      </c>
      <c r="H313" s="39" t="inlineStr">
        <is>
          <t>data/grammar.json pitch_marks (all kana-form entries)</t>
        </is>
      </c>
      <c r="I313" s="39" t="inlineStr">
        <is>
          <t>Regenerate pitch_marks from a verified accent source (NHK Accent Dictionary)</t>
        </is>
      </c>
      <c r="J313" s="39" t="inlineStr">
        <is>
          <t>The 787-instance error rate in pitch_marks suggests the data wasn't sourced from a reliable accent dictionary. Current mora values are off by 1 on many high-frequency forms.</t>
        </is>
      </c>
      <c r="K313" s="39" t="inlineStr">
        <is>
          <t>Anywhere the app uses pitch_marks (pitch contour, TTS prosody, dictation feedback), the output is wrong. Students learn wrong accent patterns for high-frequency words. NHK Accent Dictionary 2016 is the industry-standard source.</t>
        </is>
      </c>
      <c r="L313" s="39" t="inlineStr">
        <is>
          <t>Replace with derived data from NHK Accent Dictionary 2016 or 大辞泉 NHK accent annotations. Add a build check that pitch_marks.mora == count_morae(form) for all kana-form entries.</t>
        </is>
      </c>
      <c r="M313" s="39" t="inlineStr">
        <is>
          <t>BUG-004</t>
        </is>
      </c>
      <c r="N313" s="39" t="n"/>
      <c r="O313" s="39" t="inlineStr">
        <is>
          <t>Source: 16MayGrammarjson audit, Section 3 IMP-003</t>
        </is>
      </c>
      <c r="P313" s="39" t="n"/>
    </row>
    <row r="314" ht="87" customHeight="1" s="43">
      <c r="A314" s="39" t="inlineStr">
        <is>
          <t>IMP-188</t>
        </is>
      </c>
      <c r="B314" s="39" t="inlineStr">
        <is>
          <t>Improvement</t>
        </is>
      </c>
      <c r="C314" s="39" t="inlineStr">
        <is>
          <t>IMPROVEMENT</t>
        </is>
      </c>
      <c r="D314" s="39" t="inlineStr">
        <is>
          <t>P1</t>
        </is>
      </c>
      <c r="E314" s="39" t="inlineStr">
        <is>
          <t>HIGH</t>
        </is>
      </c>
      <c r="F314" s="39" t="inlineStr">
        <is>
          <t>MEDIUM</t>
        </is>
      </c>
      <c r="G314" s="39" t="inlineStr">
        <is>
          <t>Content / pedagogy</t>
        </is>
      </c>
      <c r="H314" s="39" t="inlineStr">
        <is>
          <t>data/grammar.json common_mistakes (12+ entries identified in BUG-007)</t>
        </is>
      </c>
      <c r="I314" s="39" t="inlineStr">
        <is>
          <t>Add register labels rather than wrong/right labels for variant forms</t>
        </is>
      </c>
      <c r="J314" s="39" t="inlineStr">
        <is>
          <t>The pattern of labeling 〜くありません as "WRONG (rigid)" vs 〜くないです as "RIGHT (natural)" — and similar for けれども vs けど, ですね-as-confirmation vs ですか-as-question — is a fundamental category error. Both forms exist; they differ in register or pragmatic context, not grammaticality.</t>
        </is>
      </c>
      <c r="K314" s="39" t="inlineStr">
        <is>
          <t>Reshape common_mistakes entries as register/pragmatics teaching, not grammaticality teaching. Aligns with native-teacher consensus that ne-ending sentences and formal contractions are stylistic, not wrong.</t>
        </is>
      </c>
      <c r="L314" s="39" t="inlineStr">
        <is>
          <t>Reshape these common_mistakes entries as "register variants" or "context choice," not "wrong vs right." Example: "Casual: 〜くないです. Formal: 〜くありません. Both correct; choose by register."</t>
        </is>
      </c>
      <c r="M314" s="39" t="inlineStr">
        <is>
          <t>BUG-007</t>
        </is>
      </c>
      <c r="N314" s="39" t="n"/>
      <c r="O314" s="39" t="inlineStr">
        <is>
          <t>Source: 16MayGrammarjson audit, Section 3 IMP-004</t>
        </is>
      </c>
      <c r="P314" s="39" t="n"/>
    </row>
    <row r="315" ht="58" customHeight="1" s="43">
      <c r="A315" s="39" t="inlineStr">
        <is>
          <t>IMP-189</t>
        </is>
      </c>
      <c r="B315" s="39" t="inlineStr">
        <is>
          <t>Improvement</t>
        </is>
      </c>
      <c r="C315" s="39" t="inlineStr">
        <is>
          <t>IMPROVEMENT</t>
        </is>
      </c>
      <c r="D315" s="39" t="inlineStr">
        <is>
          <t>P1</t>
        </is>
      </c>
      <c r="E315" s="39" t="inlineStr">
        <is>
          <t>MEDIUM</t>
        </is>
      </c>
      <c r="F315" s="39" t="inlineStr">
        <is>
          <t>LOW</t>
        </is>
      </c>
      <c r="G315" s="39" t="inlineStr">
        <is>
          <t>Build-time invariants</t>
        </is>
      </c>
      <c r="H315" s="39" t="inlineStr">
        <is>
          <t>tools/check_content_integrity.py (or equivalent build step)</t>
        </is>
      </c>
      <c r="I315" s="39" t="inlineStr">
        <is>
          <t>Validate translation_en against the JA structure</t>
        </is>
      </c>
      <c r="J315" s="39" t="inlineStr">
        <is>
          <t>No build-time check that translation_en is not duplicated across examples with different JA. The n5-098 (all "I like cats") and n5-166 ex[5] errors went undetected through "native_reviewed: 178/178".</t>
        </is>
      </c>
      <c r="K315" s="39" t="inlineStr">
        <is>
          <t>Catches catastrophic copy-paste failures (BUG-003, BUG-005) at CI time. Cheap to implement, high signal.</t>
        </is>
      </c>
      <c r="L315" s="39" t="inlineStr">
        <is>
          <t>Add a build invariant: if more than 3 examples in a single pattern share the same translation_en, fail the build. Also flag any single example whose translation_en duplicates another example with a substantially different JA string.</t>
        </is>
      </c>
      <c r="M315" s="39" t="inlineStr">
        <is>
          <t>BUG-003, BUG-005</t>
        </is>
      </c>
      <c r="N315" s="39" t="n"/>
      <c r="O315" s="39" t="inlineStr">
        <is>
          <t>Source: 16MayGrammarjson audit, Section 3 IMP-005</t>
        </is>
      </c>
      <c r="P315" s="39" t="n"/>
    </row>
    <row r="316" ht="72.5" customHeight="1" s="43">
      <c r="A316" s="39" t="inlineStr">
        <is>
          <t>IMP-190</t>
        </is>
      </c>
      <c r="B316" s="39" t="inlineStr">
        <is>
          <t>Improvement</t>
        </is>
      </c>
      <c r="C316" s="39" t="inlineStr">
        <is>
          <t>IMPROVEMENT</t>
        </is>
      </c>
      <c r="D316" s="39" t="inlineStr">
        <is>
          <t>P2</t>
        </is>
      </c>
      <c r="E316" s="39" t="inlineStr">
        <is>
          <t>MEDIUM</t>
        </is>
      </c>
      <c r="F316" s="39" t="inlineStr">
        <is>
          <t>MEDIUM</t>
        </is>
      </c>
      <c r="G316" s="39" t="inlineStr">
        <is>
          <t>Content / audit process</t>
        </is>
      </c>
      <c r="H316" s="39" t="inlineStr">
        <is>
          <t>data/grammar.json patterns with tier: late_n5 or deferred_to_n4 (25 + 5 patterns)</t>
        </is>
      </c>
      <c r="I316" s="39" t="inlineStr">
        <is>
          <t>Spot-check audit of patterns marked tier: late_n5 and deferred_to_n4</t>
        </is>
      </c>
      <c r="J316" s="39" t="inlineStr">
        <is>
          <t>Of the 8 contamination errors found in BUG-006, 6 are in patterns marked late_n5 or deferred_to_n4 (n5-169, n5-171, n5-172, n5-173, n5-174, n5-179). These are precisely the patterns added later that may not have gone through the same review.</t>
        </is>
      </c>
      <c r="K316" s="39" t="inlineStr">
        <is>
          <t>Targets the segment of the corpus with the highest known defect rate. Confirms or refutes the hypothesis that the late-added patterns share a common defect source.</t>
        </is>
      </c>
      <c r="L316" s="39" t="inlineStr">
        <is>
          <t>Re-audit all 25 late_n5 + 5 deferred_to_n4 patterns specifically. Check each example uses the filed pattern; check each translation_en matches the JA.</t>
        </is>
      </c>
      <c r="M316" s="39" t="inlineStr">
        <is>
          <t>BUG-006</t>
        </is>
      </c>
      <c r="N316" s="39" t="n"/>
      <c r="O316" s="39" t="inlineStr">
        <is>
          <t>Source: 16MayGrammarjson audit, Section 3 IMP-006</t>
        </is>
      </c>
      <c r="P316" s="39" t="n"/>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42" min="1" max="1"/>
    <col width="32" customWidth="1" style="42" min="2" max="2"/>
    <col width="60" customWidth="1" style="42" min="3" max="3"/>
    <col width="50" customWidth="1" style="42" min="4" max="4"/>
    <col width="22" customWidth="1" style="42" min="5" max="5"/>
    <col width="23.90625" customWidth="1" style="42" min="6" max="6"/>
  </cols>
  <sheetData>
    <row r="1" ht="18.5" customHeight="1" s="43">
      <c r="A1" s="45" t="inlineStr">
        <is>
          <t>Open questions — product decisions needed</t>
        </is>
      </c>
    </row>
    <row r="3" ht="29" customHeight="1" s="4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4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4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4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4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4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4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4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4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4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4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4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4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4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4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4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4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4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4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4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4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4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4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4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4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42" t="inlineStr">
        <is>
          <t>Three options for fixing ISSUE-048: (a) translate every page (slowest), (b) translate just the Settings page (most visited), (c) wait until someone asks.</t>
        </is>
      </c>
    </row>
    <row r="28" ht="116" customHeight="1" s="4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42" t="inlineStr">
        <is>
          <t>Vocab is 12% translated. Pick: should I keep translating to 50%, 75%, or 100%? OR should I hide the partial translations until they reach a threshold?</t>
        </is>
      </c>
    </row>
    <row r="29" ht="87" customHeight="1" s="4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42" t="inlineStr">
        <is>
          <t>Source maps help developers debug production code. They do not load for normal users. Should we ship them?</t>
        </is>
      </c>
    </row>
    <row r="30" ht="87" customHeight="1" s="43">
      <c r="A30" t="inlineStr">
        <is>
          <t>Q27</t>
        </is>
      </c>
      <c r="B30" s="42" t="inlineStr">
        <is>
          <t>Native-review budget</t>
        </is>
      </c>
      <c r="C30" s="4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42" t="inlineStr">
        <is>
          <t>Which path? Commissioned reviewers? Volunteer recruitment via TRANSLATING.md? Partnership? Or all three with priority order?</t>
        </is>
      </c>
      <c r="E30" s="42" t="inlineStr">
        <is>
          <t>Done</t>
        </is>
      </c>
    </row>
    <row r="31" ht="43.5" customHeight="1" s="43">
      <c r="A31" t="inlineStr">
        <is>
          <t>Q28</t>
        </is>
      </c>
      <c r="B31" s="42" t="inlineStr">
        <is>
          <t>Grammar localization first-batch scope</t>
        </is>
      </c>
      <c r="C31" s="42" t="inlineStr">
        <is>
          <t>Grammar surface has 0% non-EN translations. Authoring 178 × 4 locales = 712 explanation_{lc} blocks is large. ISSUE-056 is P1 + BLOCKER but the lift is real.</t>
        </is>
      </c>
      <c r="D31" s="42" t="inlineStr">
        <is>
          <t>Commit to all 178 patterns, or pick a 30-pattern "essential N5" first batch and defer the remaining 148? The latter creates a "translated some / not all" UX state.</t>
        </is>
      </c>
      <c r="E31" s="42" t="inlineStr">
        <is>
          <t>Done</t>
        </is>
      </c>
    </row>
    <row r="32" ht="58" customHeight="1" s="43">
      <c r="A32" t="inlineStr">
        <is>
          <t>Q29</t>
        </is>
      </c>
      <c r="B32" s="42" t="inlineStr">
        <is>
          <t>Mock-paper restructure scope</t>
        </is>
      </c>
      <c r="C32" s="42" t="inlineStr">
        <is>
          <t>Current 28 papers are flat 15-question packs. Restructuring to per-section sub-mondai weighting is a tooling rewrite plus a content reauthoring pass (existing 402 questions need mondai backfilled).</t>
        </is>
      </c>
      <c r="D32" s="42" t="inlineStr">
        <is>
          <t>Is the niche-N1/N4 lift worth the disruption to the existing test surface? Or do we keep flat mocks as "free practice" and add structured papers as a separate "exam-fidelity" surface?</t>
        </is>
      </c>
      <c r="E32" s="42" t="inlineStr">
        <is>
          <t>Done</t>
        </is>
      </c>
    </row>
    <row r="33" ht="58" customHeight="1" s="43">
      <c r="A33" t="inlineStr">
        <is>
          <t>Q30</t>
        </is>
      </c>
      <c r="B33" s="42" t="inlineStr">
        <is>
          <t>Listening voice-variety budget</t>
        </is>
      </c>
      <c r="C33" s="42" t="inlineStr">
        <is>
          <t>Today: 1 voicevox voice (18 items) + 22 items with no voice metadata. Adding 3 more voicevox voices is free + offline-generable but re-renders 30+ MP3s and requires native-listener review of pacing/naturalness per voice.</t>
        </is>
      </c>
      <c r="D33" s="42" t="inlineStr">
        <is>
          <t>Add at build-time? Recruit native voice volunteers for any subset? Or both? Affects ISSUE-062.</t>
        </is>
      </c>
      <c r="E33" s="42" t="inlineStr">
        <is>
          <t>Done</t>
        </is>
      </c>
    </row>
    <row r="34" ht="43.5" customHeight="1" s="43">
      <c r="A34" t="inlineStr">
        <is>
          <t>Q31</t>
        </is>
      </c>
      <c r="B34" s="42" t="inlineStr">
        <is>
          <t>Mondai-4 listening authoring</t>
        </is>
      </c>
      <c r="C34" s="42" t="inlineStr">
        <is>
          <t>Adding 6-8 即時応答 items requires authoring stimulus + 3-choice response sets. Each is short (~10 sec audio). Blocks ISSUE-057 + ISSUE-059.</t>
        </is>
      </c>
      <c r="D34" s="42" t="inlineStr">
        <is>
          <t>LLM-seed → native-review? Or commission directly? Or hold until native-reviewer pipeline is in place per Q27?</t>
        </is>
      </c>
      <c r="E34" s="42" t="inlineStr">
        <is>
          <t>Done</t>
        </is>
      </c>
    </row>
    <row r="35" ht="58" customHeight="1" s="43">
      <c r="A35" t="inlineStr">
        <is>
          <t>Q32</t>
        </is>
      </c>
      <c r="B35" s="42" t="inlineStr">
        <is>
          <t>L1-interference content authoring</t>
        </is>
      </c>
      <c r="C35" s="42" t="inlineStr">
        <is>
          <t>IMP-080 needs L1-specific notes per the four target locales. Each L1 needs a native-speaker reviewer who is also a Japanese-learner (unusual combination). This is the niche-N1 unique-claim lever — authenticity matters more than for UI translation.</t>
        </is>
      </c>
      <c r="D35" s="42" t="inlineStr">
        <is>
          <t>EN-source notes machine-translated (faster, less authentic)? Or recruit native L1+JA speakers per locale (slower, higher quality)?</t>
        </is>
      </c>
      <c r="E35" s="42" t="inlineStr">
        <is>
          <t>Done</t>
        </is>
      </c>
    </row>
    <row r="36" ht="72.5" customHeight="1" s="43">
      <c r="A36" s="42" t="inlineStr">
        <is>
          <t>Q33</t>
        </is>
      </c>
      <c r="B36" s="42" t="inlineStr">
        <is>
          <t>Native-Hindi-review budget</t>
        </is>
      </c>
      <c r="C36" s="4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42" t="inlineStr">
        <is>
          <t>Which path, and what cycle-budget? Affects ISSUE-079 + ISSUE-090 (native audio) + IMP-114.</t>
        </is>
      </c>
      <c r="E36" s="42" t="inlineStr">
        <is>
          <t>Review by LLM giving him a persona of a native hindi speaker [Acted: round-8 close-out 2026-05-06]</t>
        </is>
      </c>
    </row>
    <row r="37" ht="87" customHeight="1" s="43">
      <c r="A37" s="42" t="inlineStr">
        <is>
          <t>Q34</t>
        </is>
      </c>
      <c r="B37" s="42" t="inlineStr">
        <is>
          <t>Niche-N1 commitment depth (go-to-market)</t>
        </is>
      </c>
      <c r="C37" s="4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42" t="inlineStr">
        <is>
          <t>Shapes prioritization of ISSUE-077..079 vs IMP-104..109. Concrete commitment level.</t>
        </is>
      </c>
      <c r="E37" s="42" t="inlineStr">
        <is>
          <t>do as recommended [Acted: round-8 close-out 2026-05-06]</t>
        </is>
      </c>
    </row>
    <row r="38" ht="43.5" customHeight="1" s="43">
      <c r="A38" s="42" t="inlineStr">
        <is>
          <t>Q35</t>
        </is>
      </c>
      <c r="B38" s="42" t="inlineStr">
        <is>
          <t>Indian discoverability channel</t>
        </is>
      </c>
      <c r="C38" s="42" t="inlineStr">
        <is>
          <t>GitHub Pages alone will not reach Tier-2/3 Indian learners. Hindi YouTube? Telegram groups? Indian Japanese-language teacher partnerships? Show HN is unlikely to reach this audience.</t>
        </is>
      </c>
      <c r="D38" s="42" t="inlineStr">
        <is>
          <t>Which 1-2 channels to invest in for the first wave?</t>
        </is>
      </c>
      <c r="E38" s="42" t="inlineStr">
        <is>
          <t>do as recommended [Acted: round-8 close-out 2026-05-06]</t>
        </is>
      </c>
    </row>
    <row r="39" ht="43.5" customHeight="1" s="43">
      <c r="A39" s="42" t="inlineStr">
        <is>
          <t>Q36</t>
        </is>
      </c>
      <c r="B39" s="42" t="inlineStr">
        <is>
          <t>Vocab depth-batch order</t>
        </is>
      </c>
      <c r="C39" s="42" t="inlineStr">
        <is>
          <t>With 1041 entries and multiple deficit dimensions (collocations 0%, examples-≥-2 1%, pitch-accent 4%, counter 0.4%, register 0.4%), the highest-leverage batch order is non-obvious.</t>
        </is>
      </c>
      <c r="D39" s="42" t="inlineStr">
        <is>
          <t>Author one dimension across all 1041 entries (full collocations pass), or all dimensions across the top-100 frequency-ranked entries (depth-per-entry)?</t>
        </is>
      </c>
      <c r="E39" s="42" t="inlineStr">
        <is>
          <t>do as recommended [Acted: round-8 close-out 2026-05-06]</t>
        </is>
      </c>
    </row>
    <row r="40" ht="43.5" customHeight="1" s="43">
      <c r="A40" s="42" t="inlineStr">
        <is>
          <t>Q37</t>
        </is>
      </c>
      <c r="B40" s="42" t="inlineStr">
        <is>
          <t>Reading/listening sentence-by-sentence footnote scope</t>
        </is>
      </c>
      <c r="C40" s="42" t="inlineStr">
        <is>
          <t>IMP-106/107 (summary + vocab_preview) are cheap. Sentence-by-sentence grammar footnote layer (per the audit-prompt depth dimension) is a substantial UI + content lift.</t>
        </is>
      </c>
      <c r="D40" s="42" t="inlineStr">
        <is>
          <t>In scope for next cycle, or defer behind ISSUE-077..079 native-review work?</t>
        </is>
      </c>
      <c r="E40" s="42" t="inlineStr">
        <is>
          <t>do as recommended [Acted: round-8 close-out 2026-05-06]</t>
        </is>
      </c>
    </row>
    <row r="41" ht="43.5" customHeight="1" s="43">
      <c r="A41" s="42" t="inlineStr">
        <is>
          <t>Q38</t>
        </is>
      </c>
      <c r="B41" s="42" t="inlineStr">
        <is>
          <t>Mock-paper restructure phase 2/3 reactivation</t>
        </is>
      </c>
      <c r="C41" s="42" t="inlineStr">
        <is>
          <t>Round-7 ISSUE-059 phase 1 (mondai backfill) shipped; phase 2 (chokai papers from listening.json) + phase 3 (per-section build_papers.py reweighting + 25/50/30-min timing) sit deferred.</t>
        </is>
      </c>
      <c r="D41" s="42" t="inlineStr">
        <is>
          <t>Re-prioritize for next cycle, or defer until Q33/Q34 unlock?</t>
        </is>
      </c>
      <c r="E41" s="4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0"/>
  <sheetViews>
    <sheetView tabSelected="1" zoomScale="55" zoomScaleNormal="55" workbookViewId="0">
      <pane ySplit="3" topLeftCell="A24" activePane="bottomLeft" state="frozen"/>
      <selection pane="bottomLeft" activeCell="H3" sqref="H3"/>
    </sheetView>
  </sheetViews>
  <sheetFormatPr baseColWidth="8" defaultRowHeight="14.5"/>
  <cols>
    <col width="14.54296875" customWidth="1" style="47" min="1" max="1"/>
    <col width="18.1796875" customWidth="1" style="47" min="2" max="2"/>
    <col width="21.81640625" customWidth="1" style="47" min="3" max="3"/>
    <col width="32.7265625" customWidth="1" style="47" min="4" max="4"/>
    <col width="47.26953125" customWidth="1" style="47" min="5" max="5"/>
    <col width="16.36328125" customWidth="1" style="47" min="6" max="6"/>
    <col width="14.54296875" customWidth="1" style="47" min="7" max="7"/>
    <col width="20" customWidth="1" style="47" min="8" max="8"/>
    <col width="23.6328125" customWidth="1" style="47" min="9" max="9"/>
    <col width="8.7265625" customWidth="1" style="47" min="10" max="10"/>
    <col width="20" customWidth="1" style="47" min="11" max="11"/>
    <col width="12.7265625" customWidth="1" style="47" min="12" max="12"/>
    <col width="8.7265625" customWidth="1" style="47" min="13" max="17"/>
    <col width="8.7265625" customWidth="1" style="47" min="18" max="16384"/>
  </cols>
  <sheetData>
    <row r="1" ht="28" customHeight="1" s="43">
      <c r="A1" s="46" t="inlineStr">
        <is>
          <t>User Reported Bugs</t>
        </is>
      </c>
    </row>
    <row r="3">
      <c r="A3" s="33" t="inlineStr">
        <is>
          <t>Bug ID</t>
        </is>
      </c>
      <c r="B3" s="33" t="inlineStr">
        <is>
          <t>Date Reported</t>
        </is>
      </c>
      <c r="C3" s="33" t="inlineStr">
        <is>
          <t>Reported By</t>
        </is>
      </c>
      <c r="D3" s="33" t="inlineStr">
        <is>
          <t>Title</t>
        </is>
      </c>
      <c r="E3" s="33" t="inlineStr">
        <is>
          <t>Description</t>
        </is>
      </c>
      <c r="F3" s="33" t="inlineStr">
        <is>
          <t>Severity</t>
        </is>
      </c>
      <c r="G3" s="33" t="inlineStr">
        <is>
          <t>Priority</t>
        </is>
      </c>
      <c r="H3" s="33" t="inlineStr">
        <is>
          <t>Status</t>
        </is>
      </c>
      <c r="I3" s="33" t="inlineStr">
        <is>
          <t>Assigned To</t>
        </is>
      </c>
      <c r="K3" s="48" t="inlineStr">
        <is>
          <t>Summary</t>
        </is>
      </c>
      <c r="L3" s="49" t="n"/>
    </row>
    <row r="4" ht="203" customHeight="1" s="43">
      <c r="A4" s="31">
        <f>"BUG-"&amp;TEXT(ROW()-3,"000")</f>
        <v/>
      </c>
      <c r="B4" s="34" t="n">
        <v>46158</v>
      </c>
      <c r="C4" s="31" t="n"/>
      <c r="D4" s="31" t="inlineStr">
        <is>
          <t>Unable to access URL through claude chat</t>
        </is>
      </c>
      <c r="E4" s="31"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31" t="inlineStr">
        <is>
          <t>High</t>
        </is>
      </c>
      <c r="G4" s="31" t="inlineStr">
        <is>
          <t>P2</t>
        </is>
      </c>
      <c r="H4" s="31" t="inlineStr">
        <is>
          <t>Fixed</t>
        </is>
      </c>
      <c r="I4" s="31" t="n"/>
      <c r="K4" s="35" t="inlineStr">
        <is>
          <t>Total Bugs</t>
        </is>
      </c>
      <c r="L4" s="31" t="n">
        <v>22</v>
      </c>
    </row>
    <row r="5" ht="319" customHeight="1" s="43">
      <c r="A5" s="37">
        <f>"BUG-"&amp;TEXT(ROW()-3,"000")</f>
        <v/>
      </c>
      <c r="B5" s="38" t="n"/>
      <c r="C5" s="37" t="n"/>
      <c r="D5" s="37" t="inlineStr">
        <is>
          <t>incorrect grammar statement. correct : ✗ Incorrect: ともだちに あいました。 (X "I met with my friend" intent)
✓ Correct: ともだちと あいました</t>
        </is>
      </c>
      <c r="E5" s="37"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37" t="inlineStr">
        <is>
          <t>High</t>
        </is>
      </c>
      <c r="G5" s="37" t="inlineStr">
        <is>
          <t>P1</t>
        </is>
      </c>
      <c r="H5" s="37" t="inlineStr">
        <is>
          <t>Fixed</t>
        </is>
      </c>
      <c r="I5" s="37" t="n"/>
      <c r="K5" s="35" t="inlineStr">
        <is>
          <t>New</t>
        </is>
      </c>
      <c r="L5" s="31" t="n">
        <v>0</v>
      </c>
    </row>
    <row r="6" ht="377" customHeight="1" s="43">
      <c r="A6" s="31">
        <f>"BUG-"&amp;TEXT(ROW()-3,"000")</f>
        <v/>
      </c>
      <c r="B6" s="34" t="n">
        <v>46158</v>
      </c>
      <c r="C6" s="31" t="inlineStr">
        <is>
          <t>grammar.json audit (native-teacher review)</t>
        </is>
      </c>
      <c r="D6" s="31" t="inlineStr">
        <is>
          <t>n5-098 (superlative pattern) has corrupted explanation and 10/10 wrong translations</t>
        </is>
      </c>
      <c r="E6" s="31"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31" t="inlineStr">
        <is>
          <t>Critical</t>
        </is>
      </c>
      <c r="G6" s="31" t="inlineStr">
        <is>
          <t>P1</t>
        </is>
      </c>
      <c r="H6" s="31" t="inlineStr">
        <is>
          <t>Fixed</t>
        </is>
      </c>
      <c r="I6" s="31" t="n"/>
      <c r="K6" s="35" t="inlineStr">
        <is>
          <t>In Progress</t>
        </is>
      </c>
      <c r="L6" s="31">
        <f>COUNTIF(H4:H100,"In Progress")</f>
        <v/>
      </c>
    </row>
    <row r="7" ht="409.5" customHeight="1" s="43">
      <c r="A7" s="31">
        <f>"BUG-"&amp;TEXT(ROW()-3,"000")</f>
        <v/>
      </c>
      <c r="B7" s="34" t="n">
        <v>46158</v>
      </c>
      <c r="C7" s="31" t="inlineStr">
        <is>
          <t>grammar.json audit (native-teacher review)</t>
        </is>
      </c>
      <c r="D7" s="31" t="inlineStr">
        <is>
          <t>Pitch-mark mora data systematically broken (787 wrong instances, 115 unique kana forms)</t>
        </is>
      </c>
      <c r="E7" s="31"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31" t="inlineStr">
        <is>
          <t>Critical</t>
        </is>
      </c>
      <c r="G7" s="31" t="inlineStr">
        <is>
          <t>P1</t>
        </is>
      </c>
      <c r="H7" s="31" t="inlineStr">
        <is>
          <t>Fixed</t>
        </is>
      </c>
      <c r="I7" s="31" t="n"/>
      <c r="K7" s="35" t="inlineStr">
        <is>
          <t>Fixed</t>
        </is>
      </c>
      <c r="L7" s="31" t="n">
        <v>22</v>
      </c>
    </row>
    <row r="8" ht="232" customHeight="1" s="43">
      <c r="A8" s="31">
        <f>"BUG-"&amp;TEXT(ROW()-3,"000")</f>
        <v/>
      </c>
      <c r="B8" s="34" t="n">
        <v>46158</v>
      </c>
      <c r="C8" s="31" t="inlineStr">
        <is>
          <t>grammar.json audit (native-teacher review)</t>
        </is>
      </c>
      <c r="D8" s="31" t="inlineStr">
        <is>
          <t>n5-166 ex[5] has mismatched JA/EN (copy-paste error)</t>
        </is>
      </c>
      <c r="E8" s="31"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31" t="inlineStr">
        <is>
          <t>High</t>
        </is>
      </c>
      <c r="G8" s="31" t="inlineStr">
        <is>
          <t>P1</t>
        </is>
      </c>
      <c r="H8" s="31" t="inlineStr">
        <is>
          <t>Fixed</t>
        </is>
      </c>
      <c r="I8" s="31" t="n"/>
      <c r="K8" s="35" t="inlineStr">
        <is>
          <t>Verified</t>
        </is>
      </c>
      <c r="L8" s="31">
        <f>COUNTIF(H4:H100,"Verified")</f>
        <v/>
      </c>
    </row>
    <row r="9" ht="409.5" customHeight="1" s="43">
      <c r="A9" s="31">
        <f>"BUG-"&amp;TEXT(ROW()-3,"000")</f>
        <v/>
      </c>
      <c r="B9" s="34" t="n">
        <v>46158</v>
      </c>
      <c r="C9" s="31" t="inlineStr">
        <is>
          <t>grammar.json audit (native-teacher review)</t>
        </is>
      </c>
      <c r="D9" s="31" t="inlineStr">
        <is>
          <t>Pattern-instance contamination: 8+ examples filed under wrong pattern</t>
        </is>
      </c>
      <c r="E9" s="31"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31" t="inlineStr">
        <is>
          <t>High</t>
        </is>
      </c>
      <c r="G9" s="31" t="inlineStr">
        <is>
          <t>P1</t>
        </is>
      </c>
      <c r="H9" s="31" t="inlineStr">
        <is>
          <t>Fixed</t>
        </is>
      </c>
      <c r="I9" s="31" t="n"/>
      <c r="K9" s="35" t="inlineStr">
        <is>
          <t>Closed</t>
        </is>
      </c>
      <c r="L9" s="31">
        <f>COUNTIF(H4:H100,"Closed")</f>
        <v/>
      </c>
    </row>
    <row r="10" ht="409.5" customHeight="1" s="43">
      <c r="A10" s="31">
        <f>"BUG-"&amp;TEXT(ROW()-3,"000")</f>
        <v/>
      </c>
      <c r="B10" s="34" t="n">
        <v>46158</v>
      </c>
      <c r="C10" s="31" t="inlineStr">
        <is>
          <t>grammar.json audit (native-teacher review)</t>
        </is>
      </c>
      <c r="D10" s="31" t="inlineStr">
        <is>
          <t>Pedagogically misleading common_mistakes: 12+ N5-canonical sentences marked WRONG</t>
        </is>
      </c>
      <c r="E10" s="31"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31" t="inlineStr">
        <is>
          <t>High</t>
        </is>
      </c>
      <c r="G10" s="31" t="inlineStr">
        <is>
          <t>P1</t>
        </is>
      </c>
      <c r="H10" s="31" t="inlineStr">
        <is>
          <t>Fixed</t>
        </is>
      </c>
      <c r="I10" s="31" t="n"/>
      <c r="K10" s="35" t="inlineStr">
        <is>
          <t>Critical</t>
        </is>
      </c>
      <c r="L10" s="31">
        <f>COUNTIF(F4:F100,"Critical")</f>
        <v/>
      </c>
    </row>
    <row r="11" ht="304.5" customHeight="1" s="43">
      <c r="A11" s="31">
        <f>"BUG-"&amp;TEXT(ROW()-3,"000")</f>
        <v/>
      </c>
      <c r="B11" s="34" t="n">
        <v>46158</v>
      </c>
      <c r="C11" s="31" t="inlineStr">
        <is>
          <t>grammar.json audit (native-teacher review)</t>
        </is>
      </c>
      <c r="D11" s="31" t="inlineStr">
        <is>
          <t>n5-004 incorrectly calls 会う "intransitive" (folk-linguistics terminology error)</t>
        </is>
      </c>
      <c r="E11" s="31"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31" t="inlineStr">
        <is>
          <t>Medium</t>
        </is>
      </c>
      <c r="G11" s="31" t="inlineStr">
        <is>
          <t>P2</t>
        </is>
      </c>
      <c r="H11" s="31" t="inlineStr">
        <is>
          <t>Fixed</t>
        </is>
      </c>
      <c r="I11" s="31" t="n"/>
    </row>
    <row r="12" ht="188.5" customHeight="1" s="43">
      <c r="A12" s="37">
        <f>"BUG-"&amp;TEXT(ROW()-3,"000")</f>
        <v/>
      </c>
      <c r="B12" s="38" t="n">
        <v>46158</v>
      </c>
      <c r="C12" s="37" t="inlineStr">
        <is>
          <t>grammar.json audit (native-teacher review)</t>
        </is>
      </c>
      <c r="D12" s="37" t="inlineStr">
        <is>
          <t>n5-003 (が particle) example uses は, not が</t>
        </is>
      </c>
      <c r="E12" s="37"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37" t="inlineStr">
        <is>
          <t>Medium</t>
        </is>
      </c>
      <c r="G12" s="37" t="inlineStr">
        <is>
          <t>P2</t>
        </is>
      </c>
      <c r="H12" s="37" t="inlineStr">
        <is>
          <t>Fixed</t>
        </is>
      </c>
      <c r="I12" s="37" t="n"/>
    </row>
    <row r="13" ht="409.5" customHeight="1" s="43">
      <c r="A13" s="37">
        <f>"BUG-"&amp;TEXT(ROW()-3,"000")</f>
        <v/>
      </c>
      <c r="B13" s="38" t="n">
        <v>46158</v>
      </c>
      <c r="C13" s="37" t="inlineStr">
        <is>
          <t>User (SPA crawlability report)</t>
        </is>
      </c>
      <c r="D13" s="37" t="inlineStr">
        <is>
          <t>SPA hash routes are invisible to non-JS clients (Claude chat, crawlers, archive.org, social previews)</t>
        </is>
      </c>
      <c r="E13" s="37"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37" t="inlineStr">
        <is>
          <t>High</t>
        </is>
      </c>
      <c r="G13" s="37" t="inlineStr">
        <is>
          <t>P1</t>
        </is>
      </c>
      <c r="H13" s="37" t="inlineStr">
        <is>
          <t>Fixed</t>
        </is>
      </c>
      <c r="I13" s="37" t="n"/>
    </row>
    <row r="14" ht="409.5" customHeight="1" s="43">
      <c r="A14" s="31">
        <f>"BUG-"&amp;TEXT(ROW()-3,"000")</f>
        <v/>
      </c>
      <c r="B14" s="34" t="n">
        <v>46158</v>
      </c>
      <c r="C14" s="31" t="inlineStr">
        <is>
          <t>grammar.json audit (native-teacher review)</t>
        </is>
      </c>
      <c r="D14" s="31" t="inlineStr">
        <is>
          <t>Self-contradicting WRONG/RIGHT labels across 7 common_mistakes entries (plus 7 ね-vs-か question patterns)</t>
        </is>
      </c>
      <c r="E14" s="31"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31" t="inlineStr">
        <is>
          <t>High</t>
        </is>
      </c>
      <c r="G14" s="31" t="inlineStr">
        <is>
          <t>P1</t>
        </is>
      </c>
      <c r="H14" s="31" t="inlineStr">
        <is>
          <t>Fixed</t>
        </is>
      </c>
      <c r="I14" s="31" t="n"/>
    </row>
    <row r="15" ht="409.5" customHeight="1" s="43">
      <c r="A15" s="37">
        <f>"BUG-"&amp;TEXT(ROW()-3,"000")</f>
        <v/>
      </c>
      <c r="B15" s="38" t="n">
        <v>46158</v>
      </c>
      <c r="C15" s="37" t="inlineStr">
        <is>
          <t>grammar.json audit (native-teacher review)</t>
        </is>
      </c>
      <c r="D15" s="37" t="inlineStr">
        <is>
          <t>review_status "native_reviewed" misleads when read per-pattern in isolation (label assigned by Claude persona, not human)</t>
        </is>
      </c>
      <c r="E15" s="37"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37" t="inlineStr">
        <is>
          <t>Medium</t>
        </is>
      </c>
      <c r="G15" s="37" t="inlineStr">
        <is>
          <t>P2</t>
        </is>
      </c>
      <c r="H15" s="37" t="inlineStr">
        <is>
          <t>Fixed</t>
        </is>
      </c>
      <c r="I15" s="37" t="n"/>
    </row>
    <row r="16" ht="409.5" customHeight="1" s="43">
      <c r="A16" s="37">
        <f>"BUG-"&amp;TEXT(ROW()-3,"000")</f>
        <v/>
      </c>
      <c r="B16" s="38" t="n">
        <v>46158</v>
      </c>
      <c r="C16" s="37" t="inlineStr">
        <is>
          <t>grammar.json audit re-inspection (native-teacher review)</t>
        </is>
      </c>
      <c r="D16" s="37" t="inlineStr">
        <is>
          <t>Self-contradicting WRONG/RIGHT labels still present across 14 common_mistakes entries (BUG-011 re-audit shows fix did not land at display surface)</t>
        </is>
      </c>
      <c r="E16" s="37"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37" t="inlineStr">
        <is>
          <t>High</t>
        </is>
      </c>
      <c r="G16" s="37" t="inlineStr">
        <is>
          <t>P1</t>
        </is>
      </c>
      <c r="H16" s="37" t="inlineStr">
        <is>
          <t>Fixed</t>
        </is>
      </c>
      <c r="I16" s="37" t="n"/>
    </row>
    <row r="17" ht="409.5" customHeight="1" s="43">
      <c r="A17" s="37">
        <f>"BUG-"&amp;TEXT(ROW()-3,"000")</f>
        <v/>
      </c>
      <c r="B17" s="38" t="n">
        <v>46158</v>
      </c>
      <c r="C17" s="37" t="inlineStr">
        <is>
          <t>vocab.json audit (native-teacher review)</t>
        </is>
      </c>
      <c r="D17" s="37" t="inlineStr">
        <is>
          <t>19 vocab example sentences are template-generated semantic nonsense ("X が あります" applied to time words and abstract nouns)</t>
        </is>
      </c>
      <c r="E17" s="37"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37" t="inlineStr">
        <is>
          <t>High</t>
        </is>
      </c>
      <c r="G17" s="37" t="inlineStr">
        <is>
          <t>P1</t>
        </is>
      </c>
      <c r="H17" s="37" t="inlineStr">
        <is>
          <t>Fixed</t>
        </is>
      </c>
      <c r="I17" s="37" t="n"/>
    </row>
    <row r="18" ht="409.5" customHeight="1" s="43">
      <c r="A18" s="37">
        <f>"BUG-"&amp;TEXT(ROW()-3,"000")</f>
        <v/>
      </c>
      <c r="B18" s="38" t="n">
        <v>46158</v>
      </c>
      <c r="C18" s="37" t="inlineStr">
        <is>
          <t>vocab.json audit (native-teacher review)</t>
        </is>
      </c>
      <c r="D18" s="37" t="inlineStr">
        <is>
          <t>vocab.json counter field has three inconsistent schema types across 1009 entries (string / dict / null) — same applies to counter_register</t>
        </is>
      </c>
      <c r="E18" s="37"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37" t="inlineStr">
        <is>
          <t>Medium</t>
        </is>
      </c>
      <c r="G18" s="37" t="inlineStr">
        <is>
          <t>P2</t>
        </is>
      </c>
      <c r="H18" s="37" t="inlineStr">
        <is>
          <t>Fixed</t>
        </is>
      </c>
      <c r="I18" s="37" t="n"/>
    </row>
    <row r="19" ht="409.5" customHeight="1" s="43">
      <c r="A19" s="37">
        <f>"BUG-"&amp;TEXT(ROW()-3,"000")</f>
        <v/>
      </c>
      <c r="B19" s="38" t="n">
        <v>46158</v>
      </c>
      <c r="C19" s="37" t="inlineStr">
        <is>
          <t>vocab.json audit (native-teacher review)</t>
        </is>
      </c>
      <c r="D19" s="37" t="inlineStr">
        <is>
          <t>Transitivity field is set on only 22 of 132 verbs (17% coverage) — most transitive verbs lack the classification</t>
        </is>
      </c>
      <c r="E19" s="37"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37" t="inlineStr">
        <is>
          <t>Medium</t>
        </is>
      </c>
      <c r="G19" s="37" t="inlineStr">
        <is>
          <t>P2</t>
        </is>
      </c>
      <c r="H19" s="37" t="inlineStr">
        <is>
          <t>Fixed</t>
        </is>
      </c>
      <c r="I19" s="37" t="n"/>
    </row>
    <row r="20" ht="409.5" customHeight="1" s="43">
      <c r="A20" s="37">
        <f>"BUG-"&amp;TEXT(ROW()-3,"000")</f>
        <v/>
      </c>
      <c r="B20" s="38" t="n">
        <v>46158</v>
      </c>
      <c r="C20" s="37" t="inlineStr">
        <is>
          <t>vocab.json audit (native-teacher review)</t>
        </is>
      </c>
      <c r="D20" s="37" t="inlineStr">
        <is>
          <t>3 kanji used in vocab forms are not in the N5 kanji whitelist (倍, 籍, 末)</t>
        </is>
      </c>
      <c r="E20" s="37"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37" t="inlineStr">
        <is>
          <t>Medium</t>
        </is>
      </c>
      <c r="G20" s="37" t="inlineStr">
        <is>
          <t>P2</t>
        </is>
      </c>
      <c r="H20" s="37" t="inlineStr">
        <is>
          <t>Fixed</t>
        </is>
      </c>
      <c r="I20" s="37" t="n"/>
    </row>
    <row r="21" ht="409.5" customHeight="1" s="43">
      <c r="A21" s="31">
        <f>"BUG-"&amp;TEXT(ROW()-3,"000")</f>
        <v/>
      </c>
      <c r="B21" s="34" t="n">
        <v>46158</v>
      </c>
      <c r="C21" s="31" t="inlineStr">
        <is>
          <t>vocab.json audit (native-teacher review)</t>
        </is>
      </c>
      <c r="D21" s="31" t="inlineStr">
        <is>
          <t>~10 vocab entries are over-duplicated across sections with overlapping glosses (count inflation)</t>
        </is>
      </c>
      <c r="E21" s="31"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31" t="inlineStr">
        <is>
          <t>Low</t>
        </is>
      </c>
      <c r="G21" s="31" t="inlineStr">
        <is>
          <t>P3</t>
        </is>
      </c>
      <c r="H21" s="31" t="inlineStr">
        <is>
          <t>Fixed</t>
        </is>
      </c>
      <c r="I21" s="31" t="n"/>
    </row>
    <row r="22">
      <c r="A22" s="47">
        <f>"BUG-"&amp;TEXT(ROW()-3,"000")</f>
        <v/>
      </c>
      <c r="B22" s="36" t="inlineStr">
        <is>
          <t>2026-05-16</t>
        </is>
      </c>
      <c r="C22" t="inlineStr">
        <is>
          <t>vocab.json audit re-inspection (native-teacher follow-up)</t>
        </is>
      </c>
      <c r="D22" t="inlineStr">
        <is>
          <t>3 over-duplicated (form, reading) pairs missed by BUG-018 dedup pass (月, あつい, きって)</t>
        </is>
      </c>
      <c r="E22"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t="inlineStr">
        <is>
          <t>Low</t>
        </is>
      </c>
      <c r="G22" t="inlineStr">
        <is>
          <t>P3</t>
        </is>
      </c>
      <c r="H22" t="inlineStr">
        <is>
          <t>Fixed</t>
        </is>
      </c>
    </row>
    <row r="23" ht="409.5" customHeight="1" s="43">
      <c r="A23" s="31">
        <f>"BUG-"&amp;TEXT(ROW()-3,"000")</f>
        <v/>
      </c>
      <c r="B23" s="34" t="n">
        <v>46158</v>
      </c>
      <c r="C23" s="31" t="inlineStr">
        <is>
          <t>kanji.json audit (native-teacher review)</t>
        </is>
      </c>
      <c r="D23" s="31" t="inlineStr">
        <is>
          <t>BUG-017 fix did not propagate to kanji.json — n5_compounds and auto-derived examples still display 週末 and 国籍 (non-whitelist kanji 末, 籍)</t>
        </is>
      </c>
      <c r="E23" s="31"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31" t="inlineStr">
        <is>
          <t>Medium</t>
        </is>
      </c>
      <c r="G23" s="31" t="inlineStr">
        <is>
          <t>P2</t>
        </is>
      </c>
      <c r="H23" s="31" t="inlineStr">
        <is>
          <t>Fixed</t>
        </is>
      </c>
      <c r="I23" s="31" t="n"/>
    </row>
    <row r="24" ht="409.5" customHeight="1" s="43">
      <c r="A24" s="31">
        <f>"BUG-"&amp;TEXT(ROW()-3,"000")</f>
        <v/>
      </c>
      <c r="B24" s="34" t="n">
        <v>46158</v>
      </c>
      <c r="C24" s="31" t="inlineStr">
        <is>
          <t>kanji.json audit (native-teacher review)</t>
        </is>
      </c>
      <c r="D24" s="31" t="inlineStr">
        <is>
          <t>primary_reading set to on-yomi for 6 kanji whose actual N5 standalone reading is the kun-yomi (人, 中, 外, 東, 車, 国)</t>
        </is>
      </c>
      <c r="E24" s="31"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31" t="inlineStr">
        <is>
          <t>Medium</t>
        </is>
      </c>
      <c r="G24" s="31" t="inlineStr">
        <is>
          <t>P2</t>
        </is>
      </c>
      <c r="H24" s="31" t="inlineStr">
        <is>
          <t>Fixed</t>
        </is>
      </c>
      <c r="I24" s="31" t="n"/>
    </row>
    <row r="25" ht="409.5" customHeight="1" s="43">
      <c r="A25" s="31">
        <f>"BUG-"&amp;TEXT(ROW()-3,"000")</f>
        <v/>
      </c>
      <c r="B25" s="34" t="n">
        <v>46158</v>
      </c>
      <c r="C25" s="31" t="inlineStr">
        <is>
          <t>kanji.json audit (native-teacher review)</t>
        </is>
      </c>
      <c r="D25" s="31" t="inlineStr">
        <is>
          <t>Examples field uses inconsistent field names — `form` (374 entries), `lemma` (20 entries), or both (14 entries)</t>
        </is>
      </c>
      <c r="E25" s="31"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31" t="inlineStr">
        <is>
          <t>Low</t>
        </is>
      </c>
      <c r="G25" s="31" t="inlineStr">
        <is>
          <t>P3</t>
        </is>
      </c>
      <c r="H25" s="31" t="inlineStr">
        <is>
          <t>Fixed</t>
        </is>
      </c>
      <c r="I25" s="31" t="n"/>
    </row>
    <row r="26">
      <c r="B26" s="36" t="n"/>
    </row>
    <row r="27">
      <c r="B27" s="36" t="n"/>
    </row>
    <row r="28">
      <c r="B28" s="36" t="n"/>
    </row>
    <row r="29">
      <c r="B29" s="36" t="n"/>
    </row>
    <row r="30">
      <c r="B30" s="36" t="n"/>
    </row>
    <row r="31">
      <c r="B31" s="36" t="n"/>
    </row>
    <row r="32">
      <c r="B32" s="36" t="n"/>
    </row>
    <row r="33">
      <c r="B33" s="36" t="n"/>
    </row>
    <row r="34">
      <c r="B34" s="36" t="n"/>
    </row>
    <row r="35">
      <c r="B35" s="36" t="n"/>
    </row>
    <row r="36">
      <c r="B36" s="36" t="n"/>
    </row>
    <row r="37">
      <c r="B37" s="36" t="n"/>
    </row>
    <row r="38">
      <c r="B38" s="36" t="n"/>
    </row>
    <row r="39">
      <c r="B39" s="36" t="n"/>
    </row>
    <row r="40">
      <c r="B40" s="36" t="n"/>
    </row>
    <row r="41">
      <c r="B41" s="36" t="n"/>
    </row>
    <row r="42">
      <c r="B42" s="36" t="n"/>
    </row>
    <row r="43">
      <c r="B43" s="36" t="n"/>
    </row>
    <row r="44">
      <c r="B44" s="36" t="n"/>
    </row>
    <row r="45">
      <c r="B45" s="36" t="n"/>
    </row>
    <row r="46">
      <c r="B46" s="36" t="n"/>
    </row>
    <row r="47">
      <c r="B47" s="36" t="n"/>
    </row>
    <row r="48">
      <c r="B48" s="36" t="n"/>
    </row>
    <row r="49">
      <c r="B49" s="36" t="n"/>
    </row>
    <row r="50">
      <c r="B50" s="36" t="n"/>
    </row>
    <row r="51">
      <c r="B51" s="36" t="n"/>
    </row>
    <row r="52">
      <c r="B52" s="36" t="n"/>
    </row>
    <row r="53">
      <c r="B53" s="36" t="n"/>
    </row>
    <row r="54">
      <c r="B54" s="36" t="n"/>
    </row>
    <row r="55">
      <c r="B55" s="36" t="n"/>
    </row>
    <row r="56">
      <c r="B56" s="36" t="n"/>
    </row>
    <row r="57">
      <c r="B57" s="36" t="n"/>
    </row>
    <row r="58">
      <c r="B58" s="36" t="n"/>
    </row>
    <row r="59">
      <c r="B59" s="36" t="n"/>
    </row>
    <row r="60">
      <c r="B60" s="36" t="n"/>
    </row>
    <row r="61">
      <c r="B61" s="36" t="n"/>
    </row>
    <row r="62">
      <c r="B62" s="36" t="n"/>
    </row>
    <row r="63">
      <c r="B63" s="36" t="n"/>
    </row>
    <row r="64">
      <c r="B64" s="36" t="n"/>
    </row>
    <row r="65">
      <c r="B65" s="36" t="n"/>
    </row>
    <row r="66">
      <c r="B66" s="36" t="n"/>
    </row>
    <row r="67">
      <c r="B67" s="36" t="n"/>
    </row>
    <row r="68">
      <c r="B68" s="36" t="n"/>
    </row>
    <row r="69">
      <c r="B69" s="36" t="n"/>
    </row>
    <row r="70">
      <c r="B70" s="36" t="n"/>
    </row>
    <row r="71">
      <c r="B71" s="36" t="n"/>
    </row>
    <row r="72">
      <c r="B72" s="36" t="n"/>
    </row>
    <row r="73">
      <c r="B73" s="36" t="n"/>
    </row>
    <row r="74">
      <c r="B74" s="36" t="n"/>
    </row>
    <row r="75">
      <c r="B75" s="36" t="n"/>
    </row>
    <row r="76">
      <c r="B76" s="36" t="n"/>
    </row>
    <row r="77">
      <c r="B77" s="36" t="n"/>
    </row>
    <row r="78">
      <c r="B78" s="36" t="n"/>
    </row>
    <row r="79">
      <c r="B79" s="36" t="n"/>
    </row>
    <row r="80">
      <c r="B80" s="36" t="n"/>
    </row>
    <row r="81">
      <c r="B81" s="36" t="n"/>
    </row>
    <row r="82">
      <c r="B82" s="36" t="n"/>
    </row>
    <row r="83">
      <c r="B83" s="36" t="n"/>
    </row>
    <row r="84">
      <c r="B84" s="36" t="n"/>
    </row>
    <row r="85">
      <c r="B85" s="36" t="n"/>
    </row>
    <row r="86">
      <c r="B86" s="36" t="n"/>
    </row>
    <row r="87">
      <c r="B87" s="36" t="n"/>
    </row>
    <row r="88">
      <c r="B88" s="36" t="n"/>
    </row>
    <row r="89">
      <c r="B89" s="36" t="n"/>
    </row>
    <row r="90">
      <c r="B90" s="36" t="n"/>
    </row>
    <row r="91">
      <c r="B91" s="36" t="n"/>
    </row>
    <row r="92">
      <c r="B92" s="36" t="n"/>
    </row>
    <row r="93">
      <c r="B93" s="36" t="n"/>
    </row>
    <row r="94">
      <c r="B94" s="36" t="n"/>
    </row>
    <row r="95">
      <c r="B95" s="36" t="n"/>
    </row>
    <row r="96">
      <c r="B96" s="36" t="n"/>
    </row>
    <row r="97">
      <c r="B97" s="36" t="n"/>
    </row>
    <row r="98">
      <c r="B98" s="36" t="n"/>
    </row>
    <row r="99">
      <c r="B99" s="36" t="n"/>
    </row>
    <row r="100">
      <c r="B100" s="36" t="n"/>
    </row>
  </sheetData>
  <autoFilter ref="A3:I25"/>
  <mergeCells count="2">
    <mergeCell ref="A1:I1"/>
    <mergeCell ref="K3:L3"/>
  </mergeCells>
  <dataValidations count="3">
    <dataValidation sqref="F4:F100" showDropDown="0" showInputMessage="1" showErrorMessage="1" allowBlank="1" type="list">
      <formula1>"Critical,High,Medium,Low"</formula1>
    </dataValidation>
    <dataValidation sqref="G4:G100" showDropDown="0" showInputMessage="1" showErrorMessage="1" allowBlank="1" type="list">
      <formula1>"P1,P2,P3,P4"</formula1>
    </dataValidation>
    <dataValidation sqref="H4:H100" showDropDown="0" showInputMessage="1" showErrorMessage="1" allowBlank="1" type="list">
      <formula1>"New,In Progress,Fixed,Verified,Closed,Won't Fix"</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2026-05-16T22:07:32Z</dcterms:modified>
  <cp:lastModifiedBy>Srivastava, Gaurav</cp:lastModifiedBy>
</cp:coreProperties>
</file>