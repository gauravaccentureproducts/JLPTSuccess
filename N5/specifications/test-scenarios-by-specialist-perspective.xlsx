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6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row r="160">
      <c r="A160" t="inlineStr">
        <is>
          <t>A-155</t>
        </is>
      </c>
      <c r="B160" t="inlineStr">
        <is>
          <t>False-positive class</t>
        </is>
      </c>
      <c r="C160" t="inlineStr">
        <is>
          <t>1</t>
        </is>
      </c>
      <c r="D160" t="inlineStr">
        <is>
          <t>FP-23 template-generated content artifacts — malformed conjugation (&lt;dict-form&gt;ます/ました) + semantic-frame nonsense (今日は とても &lt;adj&gt; / えいがは &lt;adj&gt;でした / この &lt;noun&gt;は &lt;adj&gt;)</t>
        </is>
      </c>
      <c r="E160" t="inlineStr">
        <is>
          <t>1. Reference: prompts/Japanese language Accuracy check.txt FP-23. 2. For any template-seeded field (particle_examples, examples), assert no verb entry has form+ます or form+ました (JA-178), and grep example frames for non-fitting headwords. 3. Fix conjugations deterministically; allowlist-remove semantic-frame nonsense; defer naturalness to BUG-263.</t>
        </is>
      </c>
      <c r="F160" t="inlineStr">
        <is>
          <t>0 form+ます/form+ました in any verb particle_examples (JA-178 green); 0 えいがは &lt;i-adj&gt;でした; non-weather 今日は とても &lt;adj&gt; removed — against current corpus snapshot.</t>
        </is>
      </c>
      <c r="G160" t="inlineStr">
        <is>
          <t>P1</t>
        </is>
      </c>
      <c r="H160" t="inlineStr">
        <is>
          <t>High</t>
        </is>
      </c>
      <c r="I160" t="inlineStr">
        <is>
          <t>Documentation + audit + CI invariant</t>
        </is>
      </c>
      <c r="J160" t="inlineStr">
        <is>
          <t>BUG-266 batch J; reproduction confirmed 12 cited + 110-verb systematic scope. JA-178 locks the conjugation class. AUDIT-COVERAGE-2026-06-04 Part 64.</t>
        </is>
      </c>
      <c r="K160" t="inlineStr">
        <is>
          <t>1.5h</t>
        </is>
      </c>
      <c r="L160" t="inlineStr">
        <is>
          <t>Engineer + Auditor</t>
        </is>
      </c>
      <c r="M160" t="inlineStr">
        <is>
          <t>tools/apply_native_review_batch_j_2026_06_04.py, tools/check_content_integrity.py JA-178</t>
        </is>
      </c>
    </row>
    <row r="161">
      <c r="A161" t="inlineStr">
        <is>
          <t>Phase-0-template-artifact</t>
        </is>
      </c>
      <c r="B161" t="inlineStr">
        <is>
          <t>Phase-0 block</t>
        </is>
      </c>
      <c r="C161" t="inlineStr">
        <is>
          <t>1</t>
        </is>
      </c>
      <c r="D161" t="inlineStr">
        <is>
          <t>Phase-0 template-generated content-artifact block — audit the whole template-seeded field, not just cited instances; fix malformed conjugations deterministically + CI-lock (JA-178); allowlist-remove semantic-frame nonsense</t>
        </is>
      </c>
      <c r="E161" t="inlineStr">
        <is>
          <t>1. Reference: prompts/N5Improvement.txt Phase-0 template-generated content-artifact block. 2. Run the JA-178 form+ます/ました check + the example-frame greps. 3. Confirm 0 against current corpus.</t>
        </is>
      </c>
      <c r="F161" t="inlineStr">
        <is>
          <t>JA-178 green (0 malformed verb conjugations); 0 えいがは &lt;i-adj&gt;でした; non-weather 今日は frame removed; カタカナ purchase-template removed.</t>
        </is>
      </c>
      <c r="G161" t="inlineStr">
        <is>
          <t>P1</t>
        </is>
      </c>
      <c r="H161" t="inlineStr">
        <is>
          <t>High</t>
        </is>
      </c>
      <c r="I161" t="inlineStr">
        <is>
          <t>Process + audit</t>
        </is>
      </c>
      <c r="J161" t="inlineStr">
        <is>
          <t>Codifies BUG-266 batch J; companion to F.52 in procedure manual.</t>
        </is>
      </c>
      <c r="K161" t="inlineStr">
        <is>
          <t>1h</t>
        </is>
      </c>
      <c r="L161" t="inlineStr">
        <is>
          <t>Engineer + Auditor</t>
        </is>
      </c>
      <c r="M161" t="inlineStr">
        <is>
          <t>tools/check_content_integrity.py, tools/apply_native_review_batch_j_2026_06_04.py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74"/>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2"/>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Date</t>
        </is>
      </c>
      <c r="J3" s="52" t="inlineStr">
        <is>
          <t>Fix Commit</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Closed (out of scope - per user 2026-06-04)</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Fixed</t>
        </is>
      </c>
      <c r="I232" t="inlineStr">
        <is>
          <t>2026-06-04</t>
        </is>
      </c>
      <c r="J232" t="inlineStr">
        <is>
          <t>c88a4d46</t>
        </is>
      </c>
      <c r="K232" t="inlineStr">
        <is>
          <t>—</t>
        </is>
      </c>
      <c r="L232" t="inlineStr">
        <is>
          <t>—</t>
        </is>
      </c>
      <c r="M232" t="inlineStr">
        <is>
          <t>IMP-5 (production feedback loop pair)</t>
        </is>
      </c>
      <c r="N232" t="inlineStr">
        <is>
          <t>Floating bottom-right 'Report a problem' button (js/report-problem.js) opening a prefilled GitHub issue (labels content-error,user-report) with page URL + route/item id + recent runtime errors. Runtime-verified on local preview (fixed bottom-right, 44px min target, prefilled href). Same-origin external script (CSP forbids inline). Deploys on next load (network-first index.html, no cache bump); CHANGELOG line to ride the next version roll.</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Fixed</t>
        </is>
      </c>
      <c r="I233" t="inlineStr">
        <is>
          <t>2026-06-04</t>
        </is>
      </c>
      <c r="J233" t="inlineStr">
        <is>
          <t>127124e</t>
        </is>
      </c>
      <c r="K233" t="inlineStr">
        <is>
          <t>JA-NN (TBD)</t>
        </is>
      </c>
      <c r="L233" t="inlineStr">
        <is>
          <t>—</t>
        </is>
      </c>
      <c r="M233" t="inlineStr">
        <is>
          <t>—</t>
        </is>
      </c>
      <c r="N233" t="inlineStr">
        <is>
          <t>Verified ALREADY LIVE (tracker was stale-Open): the content-integrity workflow runs + passes on every push to master (e.g. run 26983395394, 2026-06-04, 39s, success); GitHub Actions enabled. Established by the workflow-relocation commit 127124e + the 2026-05-27 openpyxl pip-install fix. Note: the advisory tools/audit_all.py job from the original spec is not wired (optional; content-integrity is the hard gate).</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Closed (out of scope - per user 2026-06-04)</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Fixed</t>
        </is>
      </c>
      <c r="I235" t="inlineStr">
        <is>
          <t>2026-06-04</t>
        </is>
      </c>
      <c r="J235" t="inlineStr">
        <is>
          <t>c88a4d46</t>
        </is>
      </c>
      <c r="K235" t="inlineStr">
        <is>
          <t>—</t>
        </is>
      </c>
      <c r="L235" t="inlineStr">
        <is>
          <t>—</t>
        </is>
      </c>
      <c r="M235" t="inlineStr">
        <is>
          <t>IMP-2 (production feedback loop pair)</t>
        </is>
      </c>
      <c r="N235" t="inlineStr">
        <is>
          <t>Client-side error capture (js/error-monitor.js): global error + unhandledrejection -&gt; capped localStorage ring buffer + window.__errorLog + console; runtime-verified (synthetic error captured with URL). DEVIATION from spec: the strict CSP (script-src/connect-src 'self') makes the Sentry CDN SDK + external send infeasible as-is, so implemented a CSP-compatible capture + sendBeacon-on-DSN instead. EXTERNAL forwarding remains a user step: paste a DSN in error-monitor.js AND add its origin to CSP connect-src (documented in the file header). Errors are also surfaced through IMP-2 reports (the feedback loop).</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064147ad (+ submodule 386293b)</t>
        </is>
      </c>
      <c r="K246" t="inlineStr">
        <is>
          <t>JA-173</t>
        </is>
      </c>
      <c r="L246" t="inlineStr">
        <is>
          <t>Part 59</t>
        </is>
      </c>
      <c r="M246" t="inlineStr">
        <is>
          <t>BUG-010 (static-mirror-policy)</t>
        </is>
      </c>
      <c r="N246" t="inlineStr">
        <is>
          <t>Playwright probe + JA-173 CI invariant</t>
        </is>
      </c>
    </row>
    <row r="247">
      <c r="B247" t="inlineStr">
        <is>
          <t>2026-05-31</t>
        </is>
      </c>
      <c r="C247" t="inlineStr">
        <is>
          <t>User (n5-017 see-also screenshot)</t>
        </is>
      </c>
      <c r="D247" t="inlineStr">
        <is>
          <t>BUG-244 — Grammar cross-reference badges (Also see / Same-kana) showed the internal pattern id, not the human-readable name</t>
        </is>
      </c>
      <c r="E247" t="inlineStr">
        <is>
          <t>Alias "Also see" + homonym "Same kana, different meaning" badges on grammar pattern pages rendered the internal id (e.g. "Also see n5-039"), so a learner could not tell what concept the link led to. User asked for readable labels.</t>
        </is>
      </c>
      <c r="F247" t="inlineStr">
        <is>
          <t>Low</t>
        </is>
      </c>
      <c r="G247" t="inlineStr">
        <is>
          <t>P3</t>
        </is>
      </c>
      <c r="H247" t="inlineStr">
        <is>
          <t>Fixed</t>
        </is>
      </c>
      <c r="I247" t="inlineStr">
        <is>
          <t>2026-05-31</t>
        </is>
      </c>
      <c r="J247" t="inlineStr">
        <is>
          <t>0aa12342</t>
        </is>
      </c>
      <c r="K247" t="inlineStr">
        <is>
          <t>None - client-side UI label render (renderGrammarPatternDetail xrefLabel lookup); not a content-integrity invariant class.</t>
        </is>
      </c>
      <c r="M247" t="inlineStr">
        <is>
          <t>BUG-243 (same n5-017 grammar-page area)</t>
        </is>
      </c>
      <c r="N247" t="inlineStr">
        <is>
          <t>node --check (source + min) + data-driven render test vs grammar.json (6 alias/homonym samples + bad-id fallback, all correct)</t>
        </is>
      </c>
    </row>
    <row r="248">
      <c r="B248" t="inlineStr">
        <is>
          <t>2026-05-31</t>
        </is>
      </c>
      <c r="C248" t="inlineStr">
        <is>
          <t>User (n5-121 grammar-review doc)</t>
        </is>
      </c>
      <c r="D248" t="inlineStr">
        <is>
          <t>BUG-245 — C4 false wrong/correct contrast (n5-121)</t>
        </is>
      </c>
      <c r="E248" t="inlineStr">
        <is>
          <t>common_mistakes[0] struck a grammatical sentence and put a note in the correct field; reclassified to register_variant. Corpus scan: 1 of 522 (isolated).</t>
        </is>
      </c>
      <c r="F248" t="inlineStr">
        <is>
          <t>Low</t>
        </is>
      </c>
      <c r="G248" t="inlineStr">
        <is>
          <t>P3</t>
        </is>
      </c>
      <c r="H248" t="inlineStr">
        <is>
          <t>Fixed</t>
        </is>
      </c>
      <c r="I248" t="inlineStr">
        <is>
          <t>2026-05-31</t>
        </is>
      </c>
      <c r="J248" t="inlineStr">
        <is>
          <t>c5b11c5d</t>
        </is>
      </c>
      <c r="K248" t="inlineStr">
        <is>
          <t>JA-127 family</t>
        </is>
      </c>
      <c r="M248" t="inlineStr">
        <is>
          <t>BUG-244</t>
        </is>
      </c>
      <c r="N248" t="inlineStr">
        <is>
          <t>data-scan 1/522 + sample render</t>
        </is>
      </c>
    </row>
    <row r="249">
      <c r="B249" t="inlineStr">
        <is>
          <t>2026-05-31</t>
        </is>
      </c>
      <c r="C249" t="inlineStr">
        <is>
          <t>User (n5-121 grammar-review doc)</t>
        </is>
      </c>
      <c r="D249" t="inlineStr">
        <is>
          <t>BUG-246 — C8 raw internal pattern IDs (n5-NNN) in learner prose</t>
        </is>
      </c>
      <c r="E249" t="inlineStr">
        <is>
          <t>119 patterns exposed n5-NNN in essay/explanation/mistake prose; stripped parentheticals, replaced bare ids with pattern names across 234 fields. Audio paths left (internal).</t>
        </is>
      </c>
      <c r="F249" t="inlineStr">
        <is>
          <t>Low</t>
        </is>
      </c>
      <c r="G249" t="inlineStr">
        <is>
          <t>P3</t>
        </is>
      </c>
      <c r="H249" t="inlineStr">
        <is>
          <t>Fixed</t>
        </is>
      </c>
      <c r="I249" t="inlineStr">
        <is>
          <t>2026-05-31</t>
        </is>
      </c>
      <c r="J249" t="inlineStr">
        <is>
          <t>1b7584eb</t>
        </is>
      </c>
      <c r="K249" t="inlineStr">
        <is>
          <t>JA-174</t>
        </is>
      </c>
      <c r="M249" t="inlineStr">
        <is>
          <t>BUG-244</t>
        </is>
      </c>
      <c r="N249" t="inlineStr">
        <is>
          <t>residual=0 + full-doc render check</t>
        </is>
      </c>
    </row>
    <row r="250">
      <c r="B250" t="inlineStr">
        <is>
          <t>2026-05-31</t>
        </is>
      </c>
      <c r="C250" t="inlineStr">
        <is>
          <t>User (n5-121 grammar-review doc)</t>
        </is>
      </c>
      <c r="D250" t="inlineStr">
        <is>
          <t>BUG-247 — C1 fragmented English + broken vs-placeholder contrasts</t>
        </is>
      </c>
      <c r="E250" t="inlineStr">
        <is>
          <t>30 patterns had a broken vs-placeholder contrast (target never filled); 35 intros used ALL-CAPS POS jargon. Stripped placeholder + de-jargoned POS tokens.</t>
        </is>
      </c>
      <c r="F250" t="inlineStr">
        <is>
          <t>Low</t>
        </is>
      </c>
      <c r="G250" t="inlineStr">
        <is>
          <t>P3</t>
        </is>
      </c>
      <c r="H250" t="inlineStr">
        <is>
          <t>Fixed</t>
        </is>
      </c>
      <c r="I250" t="inlineStr">
        <is>
          <t>2026-05-31</t>
        </is>
      </c>
      <c r="J250" t="inlineStr">
        <is>
          <t>eabc8b7e</t>
        </is>
      </c>
      <c r="K250" t="inlineStr">
        <is>
          <t>JA-175</t>
        </is>
      </c>
      <c r="N250" t="inlineStr">
        <is>
          <t>residual placeholders=0 + render check</t>
        </is>
      </c>
    </row>
    <row r="251">
      <c r="B251" t="inlineStr">
        <is>
          <t>2026-05-31</t>
        </is>
      </c>
      <c r="C251" t="inlineStr">
        <is>
          <t>User (n5-121 grammar-review doc)</t>
        </is>
      </c>
      <c r="D251" t="inlineStr">
        <is>
          <t>BUG-248 — C3 overstated register superlatives in grammar prose</t>
        </is>
      </c>
      <c r="E251" t="inlineStr">
        <is>
          <t>17 fields used superlative overstatements (most-used / over-use warnings); softened to bounded phrasing. Correct hard grammar rules left intact (verified per-instance, not blanket).</t>
        </is>
      </c>
      <c r="F251" t="inlineStr">
        <is>
          <t>Low</t>
        </is>
      </c>
      <c r="G251" t="inlineStr">
        <is>
          <t>P3</t>
        </is>
      </c>
      <c r="H251" t="inlineStr">
        <is>
          <t>Fixed</t>
        </is>
      </c>
      <c r="I251" t="inlineStr">
        <is>
          <t>2026-05-31</t>
        </is>
      </c>
      <c r="J251" t="inlineStr">
        <is>
          <t>eabc8b7e</t>
        </is>
      </c>
      <c r="N251" t="inlineStr">
        <is>
          <t>residual superlatives=0</t>
        </is>
      </c>
    </row>
    <row r="252">
      <c r="B252" t="inlineStr">
        <is>
          <t>2026-05-31</t>
        </is>
      </c>
      <c r="C252" t="inlineStr">
        <is>
          <t>User (n5-121 grammar-review doc)</t>
        </is>
      </c>
      <c r="D252" t="inlineStr">
        <is>
          <t>BUG-249 — C5 near-identical duplicate example sentences</t>
        </is>
      </c>
      <c r="E252" t="inlineStr">
        <is>
          <t>7 genuine near-duplicate examples (n5-049/089/097/123/125) replaced with varied natural N5 sentences; inherent comparison-pattern repetition left (correct).</t>
        </is>
      </c>
      <c r="F252" t="inlineStr">
        <is>
          <t>Low</t>
        </is>
      </c>
      <c r="G252" t="inlineStr">
        <is>
          <t>P3</t>
        </is>
      </c>
      <c r="H252" t="inlineStr">
        <is>
          <t>Fixed</t>
        </is>
      </c>
      <c r="I252" t="inlineStr">
        <is>
          <t>2026-05-31</t>
        </is>
      </c>
      <c r="J252" t="inlineStr">
        <is>
          <t>eabc8b7e</t>
        </is>
      </c>
      <c r="K252" t="inlineStr">
        <is>
          <t>JA-176</t>
        </is>
      </c>
      <c r="N252" t="inlineStr">
        <is>
          <t>no identical-ja dups in touched patterns</t>
        </is>
      </c>
    </row>
    <row r="253">
      <c r="B253" t="inlineStr">
        <is>
          <t>2026-05-31</t>
        </is>
      </c>
      <c r="C253" t="inlineStr">
        <is>
          <t>User (n5-121 grammar-review doc)</t>
        </is>
      </c>
      <c r="D253" t="inlineStr">
        <is>
          <t>BUG-250 — C6 inconsistent bilingual section labels</t>
        </is>
      </c>
      <c r="E253" t="inlineStr">
        <is>
          <t>Four sections (categorized errors / politeness ladder / public-domain refs / cultural note) lacked JA chips; added chips in the doc generator and the live renderer.</t>
        </is>
      </c>
      <c r="F253" t="inlineStr">
        <is>
          <t>Low</t>
        </is>
      </c>
      <c r="G253" t="inlineStr">
        <is>
          <t>P4</t>
        </is>
      </c>
      <c r="H253" t="inlineStr">
        <is>
          <t>Fixed</t>
        </is>
      </c>
      <c r="I253" t="inlineStr">
        <is>
          <t>2026-05-31</t>
        </is>
      </c>
      <c r="J253" t="inlineStr">
        <is>
          <t>3896c474</t>
        </is>
      </c>
      <c r="N253" t="inlineStr">
        <is>
          <t>8/8 sections chipped in sample</t>
        </is>
      </c>
    </row>
    <row r="254">
      <c r="B254" t="inlineStr">
        <is>
          <t>2026-05-31</t>
        </is>
      </c>
      <c r="C254" t="inlineStr">
        <is>
          <t>User (n5-121 grammar-review doc)</t>
        </is>
      </c>
      <c r="D254" t="inlineStr">
        <is>
          <t>BUG-251 — C9 cultural note duplicated in two fields (rendered twice)</t>
        </is>
      </c>
      <c r="E254" t="inlineStr">
        <is>
          <t>174 patterns stored the cultural note verbatim in essay.cultural_context AND cultural_callout.note; render-level de-dup (drop the deep-dive copy) in generator + live renderer.</t>
        </is>
      </c>
      <c r="F254" t="inlineStr">
        <is>
          <t>Low</t>
        </is>
      </c>
      <c r="G254" t="inlineStr">
        <is>
          <t>P3</t>
        </is>
      </c>
      <c r="H254" t="inlineStr">
        <is>
          <t>Fixed</t>
        </is>
      </c>
      <c r="I254" t="inlineStr">
        <is>
          <t>2026-05-31</t>
        </is>
      </c>
      <c r="J254" t="inlineStr">
        <is>
          <t>3896c474</t>
        </is>
      </c>
      <c r="N254" t="inlineStr">
        <is>
          <t>cultural note renders once in sample</t>
        </is>
      </c>
    </row>
    <row r="255">
      <c r="B255" t="inlineStr">
        <is>
          <t>2026-05-31</t>
        </is>
      </c>
      <c r="C255" t="inlineStr">
        <is>
          <t>User (n5-121 grammar-review doc)</t>
        </is>
      </c>
      <c r="D255" t="inlineStr">
        <is>
          <t>BUG-252 — C2 inconsistent English translation of the pattern across examples</t>
        </is>
      </c>
      <c r="E255" t="inlineStr">
        <is>
          <t>n5-121 rendered the connector four different ways in EN; normalized to a consistent rendering (calibration entry; corpus-wide pass deferred to native review).</t>
        </is>
      </c>
      <c r="F255" t="inlineStr">
        <is>
          <t>Low</t>
        </is>
      </c>
      <c r="G255" t="inlineStr">
        <is>
          <t>P4</t>
        </is>
      </c>
      <c r="H255" t="inlineStr">
        <is>
          <t>Fixed</t>
        </is>
      </c>
      <c r="I255" t="inlineStr">
        <is>
          <t>2026-05-31</t>
        </is>
      </c>
      <c r="J255" t="inlineStr">
        <is>
          <t>c5b11c5d</t>
        </is>
      </c>
      <c r="M255" t="inlineStr">
        <is>
          <t>BUG-247</t>
        </is>
      </c>
      <c r="N255" t="inlineStr">
        <is>
          <t>n5-121 sample render</t>
        </is>
      </c>
    </row>
    <row r="256">
      <c r="B256" t="inlineStr">
        <is>
          <t>2026-05-31</t>
        </is>
      </c>
      <c r="C256" t="inlineStr">
        <is>
          <t>User (n5-121 grammar-review doc)</t>
        </is>
      </c>
      <c r="D256" t="inlineStr">
        <is>
          <t>BUG-253 — C7 force-fit politeness ladder (humble equals respectful on a connector)</t>
        </is>
      </c>
      <c r="E256" t="inlineStr">
        <is>
          <t>n5-121 ladder had humble==respectful (a different word force-fit); dropped the force-fit tiers. Corpus scan: 1 instance (isolated).</t>
        </is>
      </c>
      <c r="F256" t="inlineStr">
        <is>
          <t>Low</t>
        </is>
      </c>
      <c r="G256" t="inlineStr">
        <is>
          <t>P4</t>
        </is>
      </c>
      <c r="H256" t="inlineStr">
        <is>
          <t>Fixed</t>
        </is>
      </c>
      <c r="I256" t="inlineStr">
        <is>
          <t>2026-05-31</t>
        </is>
      </c>
      <c r="J256" t="inlineStr">
        <is>
          <t>c5b11c5d</t>
        </is>
      </c>
      <c r="N256" t="inlineStr">
        <is>
          <t>data-scan 1 instance + sample render</t>
        </is>
      </c>
    </row>
    <row r="257">
      <c r="B257" t="inlineStr">
        <is>
          <t>2026-05-31</t>
        </is>
      </c>
      <c r="C257" t="inlineStr">
        <is>
          <t>native-speaker review (full 178-pattern doc)</t>
        </is>
      </c>
      <c r="D257" t="inlineStr">
        <is>
          <t>BUG-247 - false-negative wrong/correct pairs: correct Japanese marked as wrong (29 entries / 18 patterns)</t>
        </is>
      </c>
      <c r="E257" t="inlineStr">
        <is>
          <t>Native review of the 1,027 wrong/correct pairs found pairs where the struck (wrong) sentence is itself correct, natural Japanese - teaching learners to avoid correct forms. 4 CRITICAL (n5-158 でしょう, n5-025 ね, n5-026 よ, n5-159 false 'よ, not both' rule), 5 HIGH (intent/register particle swaps + n5-079 unrelated-pair + n5-100 じょうず cultural), 13 MALFORMED (the 'correct' field admitted the 'wrong' was correct), and the が/は focus-reading systemic class.</t>
        </is>
      </c>
      <c r="F257" t="inlineStr">
        <is>
          <t>High</t>
        </is>
      </c>
      <c r="G257" t="inlineStr">
        <is>
          <t>P2</t>
        </is>
      </c>
      <c r="H257" t="inlineStr">
        <is>
          <t>Fixed</t>
        </is>
      </c>
      <c r="I257" t="inlineStr">
        <is>
          <t>2026-05-31</t>
        </is>
      </c>
      <c r="J257" t="inlineStr">
        <is>
          <t>30a0d31d</t>
        </is>
      </c>
      <c r="K257" t="inlineStr">
        <is>
          <t>JA-177 (no 'already correct' admission in wrong/correct fields - malformed sub-class) + JA-175 (vs ?: placeholder). The broad false-negative class (struck sentence actually valid) is native-judgment, not fully auto-guardable.</t>
        </is>
      </c>
      <c r="M257" t="inlineStr">
        <is>
          <t>BUG-246 (misleading それから contrast - same false-negative family)</t>
        </is>
      </c>
      <c r="N257" t="inlineStr">
        <is>
          <t>Native-speaker review report + 29 reframes (valid forms -&gt; register/intent variants; malformed -&gt; genuine errors; が/は focus note) + JA-177 CI guard. All authored reframes tagged needs_native_review.</t>
        </is>
      </c>
    </row>
    <row r="258">
      <c r="B258" t="inlineStr">
        <is>
          <t>2026-06-04</t>
        </is>
      </c>
      <c r="C258" t="inlineStr">
        <is>
          <t>Build-readiness assessment (procedure-manual 7/10 rating, 2026-06-04)</t>
        </is>
      </c>
      <c r="D258" t="inlineStr">
        <is>
          <t>BUG-254 - [Nx-build-readiness] No authoritative Nx content inventories; 'FETCH not INVENT' has no per-level source manifest</t>
        </is>
      </c>
      <c r="E258" t="inlineStr">
        <is>
          <t>Manual mandates content be FETCHED not INVENTED (Appendix B.12) and defaults to feedback/n&lt;L&gt;-*-inventory*.md as the authoritative content list (sec 0.A.2), but those inventory files do not exist for unbuilt levels - only a source-authorities URL table is provided. Without a verified per-level inventory (grammar/vocab/kanji lists + target counts) authoring is improvised, risking coverage gaps and accuracy errors. FIX: generate + commit authoritative N&lt;L&gt; inventory files (or a fetch+verify script that builds them from JLPT-official / curated sources) as a gating prerequisite before content authoring.</t>
        </is>
      </c>
      <c r="F258" t="inlineStr">
        <is>
          <t>High</t>
        </is>
      </c>
      <c r="G258" t="inlineStr">
        <is>
          <t>P1</t>
        </is>
      </c>
      <c r="H258" t="inlineStr">
        <is>
          <t>Fixed</t>
        </is>
      </c>
      <c r="I258" t="inlineStr">
        <is>
          <t>2026-06-04</t>
        </is>
      </c>
      <c r="J258" t="inlineStr">
        <is>
          <t>7319693a (+ submodule e77af4c9)</t>
        </is>
      </c>
      <c r="M258" t="inlineStr">
        <is>
          <t>BUG-254..260 (Nx-build-readiness cohort)</t>
        </is>
      </c>
      <c r="N258" t="inlineStr">
        <is>
          <t>Procedure documented in JLPT-Common manual F.51.1 (commit e77af4c); manual-readiness gap closed. Execution (inventory build / native review / authoring passes) runs at Nx build - not a content claim.</t>
        </is>
      </c>
    </row>
    <row r="259">
      <c r="B259" t="inlineStr">
        <is>
          <t>2026-06-04</t>
        </is>
      </c>
      <c r="C259" t="inlineStr">
        <is>
          <t>Build-readiness assessment (procedure-manual 7/10 rating, 2026-06-04)</t>
        </is>
      </c>
      <c r="D259" t="inlineStr">
        <is>
          <t>BUG-255 - [Nx-build-readiness] No scalable native-accuracy validation path for authored Nx content</t>
        </is>
      </c>
      <c r="E259" t="inlineStr">
        <is>
          <t>F.49/F.50 correctly state the 'is this valid Japanese?' judgment is not auto-guardable, but the manual gives no concrete protocol to native-verify the thousands of authored N&lt;L&gt; entries, so 'ship-quality' carries an unscheduled human gate. FIX: define a native-review sampling/batch protocol (sample size, acceptance threshold, reviewer brief) plus an explicit 'LLM-only v1 -&gt; native pass v2' gate with coverage targets and a budget.</t>
        </is>
      </c>
      <c r="F259" t="inlineStr">
        <is>
          <t>High</t>
        </is>
      </c>
      <c r="G259" t="inlineStr">
        <is>
          <t>P1</t>
        </is>
      </c>
      <c r="H259" t="inlineStr">
        <is>
          <t>Fixed</t>
        </is>
      </c>
      <c r="I259" t="inlineStr">
        <is>
          <t>2026-06-04</t>
        </is>
      </c>
      <c r="J259" t="inlineStr">
        <is>
          <t>7319693a (+ submodule e77af4c9)</t>
        </is>
      </c>
      <c r="M259" t="inlineStr">
        <is>
          <t>BUG-254..260 (Nx-build-readiness cohort)</t>
        </is>
      </c>
      <c r="N259" t="inlineStr">
        <is>
          <t>Procedure documented in JLPT-Common manual F.51.2 (commit e77af4c); manual-readiness gap closed. Execution (inventory build / native review / authoring passes) runs at Nx build - not a content claim.</t>
        </is>
      </c>
    </row>
    <row r="260">
      <c r="B260" t="inlineStr">
        <is>
          <t>2026-06-04</t>
        </is>
      </c>
      <c r="C260" t="inlineStr">
        <is>
          <t>Build-readiness assessment (procedure-manual 7/10 rating, 2026-06-04)</t>
        </is>
      </c>
      <c r="D260" t="inlineStr">
        <is>
          <t>BUG-256 - [Nx-build-readiness] No multi-pass content-authoring schedule with per-corpus volume quotas</t>
        </is>
      </c>
      <c r="E260" t="inlineStr">
        <is>
          <t>Manual admits ~20% content in one autonomous run (Mode B) but does not break the remaining ~80% into passes with per-corpus entry quotas + stop conditions for N&lt;L&gt;; cadence beyond pass 1 is unplanned. FIX: add an N-pass authoring schedule with target counts per corpus per pass (grammar/vocab/kanji/reading/listening/papers) and a per-pass definition-of-done.</t>
        </is>
      </c>
      <c r="F260" t="inlineStr">
        <is>
          <t>High</t>
        </is>
      </c>
      <c r="G260" t="inlineStr">
        <is>
          <t>P2</t>
        </is>
      </c>
      <c r="H260" t="inlineStr">
        <is>
          <t>Fixed</t>
        </is>
      </c>
      <c r="I260" t="inlineStr">
        <is>
          <t>2026-06-04</t>
        </is>
      </c>
      <c r="J260" t="inlineStr">
        <is>
          <t>7319693a (+ submodule e77af4c9)</t>
        </is>
      </c>
      <c r="M260" t="inlineStr">
        <is>
          <t>BUG-254..260 (Nx-build-readiness cohort)</t>
        </is>
      </c>
      <c r="N260" t="inlineStr">
        <is>
          <t>Procedure documented in JLPT-Common manual F.51.3 (commit e77af4c); manual-readiness gap closed. Execution (inventory build / native review / authoring passes) runs at Nx build - not a content claim.</t>
        </is>
      </c>
    </row>
    <row r="261">
      <c r="B261" t="inlineStr">
        <is>
          <t>2026-06-04</t>
        </is>
      </c>
      <c r="C261" t="inlineStr">
        <is>
          <t>Build-readiness assessment (procedure-manual 7/10 rating, 2026-06-04)</t>
        </is>
      </c>
      <c r="D261" t="inlineStr">
        <is>
          <t>BUG-257 - [Nx-build-readiness] Scale-transfer to N3/N2/N1 unquantified (corpus + grammar-complexity explosion)</t>
        </is>
      </c>
      <c r="E261" t="inlineStr">
        <is>
          <t>Methodology is N5-derived; higher levels have far larger corpora (N1 vocab/kanji are roughly an order of magnitude bigger) and more complex grammar, but the manual does not quantify the per-level size delta or adjust tooling/effort/sampling (the sec 0 scope table is partial). FIX: populate a per-level size + complexity table and tooling/effort multipliers for all of N4..N1, especially N2/N1 volume.</t>
        </is>
      </c>
      <c r="F261" t="inlineStr">
        <is>
          <t>Medium</t>
        </is>
      </c>
      <c r="G261" t="inlineStr">
        <is>
          <t>P2</t>
        </is>
      </c>
      <c r="H261" t="inlineStr">
        <is>
          <t>Fixed</t>
        </is>
      </c>
      <c r="I261" t="inlineStr">
        <is>
          <t>2026-06-04</t>
        </is>
      </c>
      <c r="J261" t="inlineStr">
        <is>
          <t>7319693a (+ submodule e77af4c9)</t>
        </is>
      </c>
      <c r="M261" t="inlineStr">
        <is>
          <t>BUG-254..260 (Nx-build-readiness cohort)</t>
        </is>
      </c>
      <c r="N261" t="inlineStr">
        <is>
          <t>Procedure documented in JLPT-Common manual F.51.4 (commit e77af4c); manual-readiness gap closed. Execution (inventory build / native review / authoring passes) runs at Nx build - not a content claim.</t>
        </is>
      </c>
    </row>
    <row r="262">
      <c r="B262" t="inlineStr">
        <is>
          <t>2026-06-04</t>
        </is>
      </c>
      <c r="C262" t="inlineStr">
        <is>
          <t>Build-readiness assessment (procedure-manual 7/10 rating, 2026-06-04)</t>
        </is>
      </c>
      <c r="D262" t="inlineStr">
        <is>
          <t>BUG-258 - [Nx-build-readiness] Native-audio production path deferred; only synthetic TTS documented for ship</t>
        </is>
      </c>
      <c r="E262" t="inlineStr">
        <is>
          <t>sec 0.A.2 defaults audio to synthetic TTS (voice:synthetic); no concrete native-voice production + QA pipeline is documented for ship-quality audio. FIX: document a native-audio production + QA path, OR formally scope synthetic-only as acceptable-for-ship with a stated quality bar.</t>
        </is>
      </c>
      <c r="F262" t="inlineStr">
        <is>
          <t>Medium</t>
        </is>
      </c>
      <c r="G262" t="inlineStr">
        <is>
          <t>P2</t>
        </is>
      </c>
      <c r="H262" t="inlineStr">
        <is>
          <t>Fixed</t>
        </is>
      </c>
      <c r="I262" t="inlineStr">
        <is>
          <t>2026-06-04</t>
        </is>
      </c>
      <c r="J262" t="inlineStr">
        <is>
          <t>7319693a (+ submodule e77af4c9)</t>
        </is>
      </c>
      <c r="M262" t="inlineStr">
        <is>
          <t>BUG-254..260 (Nx-build-readiness cohort)</t>
        </is>
      </c>
      <c r="N262" t="inlineStr">
        <is>
          <t>Procedure documented in JLPT-Common manual F.51.5 (commit e77af4c); manual-readiness gap closed. Execution (inventory build / native review / authoring passes) runs at Nx build - not a content claim.</t>
        </is>
      </c>
    </row>
    <row r="263">
      <c r="B263" t="inlineStr">
        <is>
          <t>2026-06-04</t>
        </is>
      </c>
      <c r="C263" t="inlineStr">
        <is>
          <t>Build-readiness assessment (procedure-manual 7/10 rating, 2026-06-04)</t>
        </is>
      </c>
      <c r="D263" t="inlineStr">
        <is>
          <t>BUG-259 - [Nx-build-readiness] Pass-20 residual (4/40) + Pass-22 code-side items (F-22.4 JA-25, F-22.5 llm_audit SYSTEM_PROMPT) open</t>
        </is>
      </c>
      <c r="E263" t="inlineStr">
        <is>
          <t>Manual review closed 36/40 Pass-20 issues + 9/10 Pass-22; the JA-25 invariant in tools/check_content_integrity.py (F-22.4) and the SYSTEM_PROMPT extraction in tools/llm_audit.py (F-22.5) were deferred (concurrent session on those files), plus 4 Pass-20 residuals. FIX: close the 2 code-side items + the 4 residual issues.</t>
        </is>
      </c>
      <c r="F263" t="inlineStr">
        <is>
          <t>Medium</t>
        </is>
      </c>
      <c r="G263" t="inlineStr">
        <is>
          <t>P3</t>
        </is>
      </c>
      <c r="H263" t="inlineStr">
        <is>
          <t>Fixed</t>
        </is>
      </c>
      <c r="I263" t="inlineStr">
        <is>
          <t>2026-06-04</t>
        </is>
      </c>
      <c r="J263" t="inlineStr">
        <is>
          <t>7319693a (+ submodule e77af4c9)</t>
        </is>
      </c>
      <c r="M263" t="inlineStr">
        <is>
          <t>BUG-254..260 (Nx-build-readiness cohort)</t>
        </is>
      </c>
      <c r="N263" t="inlineStr">
        <is>
          <t>F.51.6 corrects the stale 'remaining open' note: F-22.4 (JA-25) verified wired in check_content_integrity.py and F-22.5 (SYSTEM_PROMPT) verified externalized in llm_audit.py; 4 Pass-20 residuals re-confirm-on-next-build per Appendix E. JLPT-Common e77af4c.</t>
        </is>
      </c>
    </row>
    <row r="264">
      <c r="B264" t="inlineStr">
        <is>
          <t>2026-06-04</t>
        </is>
      </c>
      <c r="C264" t="inlineStr">
        <is>
          <t>Build-readiness assessment (procedure-manual 7/10 rating, 2026-06-04)</t>
        </is>
      </c>
      <c r="D264" t="inlineStr">
        <is>
          <t>BUG-260 - [Nx-build-readiness] Manual not self-contained: reference-repo coupling without a pinned source snapshot</t>
        </is>
      </c>
      <c r="E264" t="inlineStr">
        <is>
          <t>Both operating modes require the live N5 repo co-resident ('without the N5 repo this manual is approximately a table of contents'); 'copy from N5 / port verbatim' breaks if the source repo moves or drifts, and there is no pinned source-repo commit/tag the manual was validated against. FIX: pin the source-repo commit/tag in the manual header, or snapshot the critical N5 reference files into Appendix B (partially done).</t>
        </is>
      </c>
      <c r="F264" t="inlineStr">
        <is>
          <t>Low</t>
        </is>
      </c>
      <c r="G264" t="inlineStr">
        <is>
          <t>P3</t>
        </is>
      </c>
      <c r="H264" t="inlineStr">
        <is>
          <t>Fixed</t>
        </is>
      </c>
      <c r="I264" t="inlineStr">
        <is>
          <t>2026-06-04</t>
        </is>
      </c>
      <c r="J264" t="inlineStr">
        <is>
          <t>7319693a (+ submodule e77af4c9)</t>
        </is>
      </c>
      <c r="M264" t="inlineStr">
        <is>
          <t>BUG-254..260 (Nx-build-readiness cohort)</t>
        </is>
      </c>
      <c r="N264" t="inlineStr">
        <is>
          <t>Procedure documented in JLPT-Common manual F.51.7 (commit e77af4c); manual-readiness gap closed. Execution (inventory build / native review / authoring passes) runs at Nx build - not a content claim.</t>
        </is>
      </c>
    </row>
    <row r="265">
      <c r="A265">
        <f>"BUG-"&amp;TEXT(ROW()-3,"000")</f>
        <v/>
      </c>
      <c r="B265" t="inlineStr">
        <is>
          <t>2026-06-04</t>
        </is>
      </c>
      <c r="C265" t="inlineStr">
        <is>
          <t>Native Japanese / JLPT expert reviewer</t>
        </is>
      </c>
      <c r="D265" t="inlineStr">
        <is>
          <t>Native-review batches A-D applied (sense de-contamination + homonym sweep + counter cleanup + family pragmatic notes)</t>
        </is>
      </c>
      <c r="E265" t="inlineStr">
        <is>
          <t>Consolidated native-reviewer report dated 2026-06-04 flagged seven P0 issue classes across the 995-entry N5 vocab corpus. Batches A-D were resolved in this commit: (A) sense de-contamination of the polite-person かた entry whose particle_examples were echoing the way-of-doing 〜かた sense (1 entry); (B) homonym cross-reference sweep — 27 entries received either false_friends links (cross-form pairs: 花/はな, 雨/あめ, 火/日, 今/いま) or pragmatic_functions multi-sense summaries (same-form pairs: は×3, はし×2, きる×2, とる×2, ひく×2, いる×2, しめる×2, あつい×3, かぜ×2, かた×2); (C) counter cleanup — removed the {人,にん} counter from 家族 (かぞく) and 両親 (りょうしん) which are collective nouns; (D) family pragmatic notes — added uchi/soto + address-form guidance to 15 family entries (母, 父, あに, あね, お母さん, お父さん, おにいさん, おねえさん, そふ, そぼ, おじいさん, おばあさん, おじさん, おばさん, おくさん). 5 reviewer-named entries not in corpus (お兄さん kanji form, お姉さん kanji form, 祖父, 祖母, ご主人) — deferred as corpus-expansion items. Total: 45 entries touched. Driver: tools/apply_native_review_batches_2026_06_04.py. CI: 179/179 invariants PASS.</t>
        </is>
      </c>
      <c r="F265" t="inlineStr">
        <is>
          <t>High</t>
        </is>
      </c>
      <c r="G265" t="inlineStr">
        <is>
          <t>P1</t>
        </is>
      </c>
      <c r="H265" t="inlineStr">
        <is>
          <t>Fixed</t>
        </is>
      </c>
      <c r="I265" t="inlineStr">
        <is>
          <t>2026-06-04</t>
        </is>
      </c>
      <c r="J265" t="inlineStr">
        <is>
          <t>&lt;pending-commit-hash&gt;</t>
        </is>
      </c>
      <c r="K265" t="inlineStr">
        <is>
          <t>JA-108</t>
        </is>
      </c>
      <c r="L265" t="inlineStr">
        <is>
          <t>(no AUDIT-COVERAGE part for this batch)</t>
        </is>
      </c>
      <c r="M265" t="inlineStr">
        <is>
          <t>BUG-010 (native-review-queue), BUG-203 (UI parity)</t>
        </is>
      </c>
      <c r="N265" t="inlineStr">
        <is>
          <t>tools/apply_native_review_batches_2026_06_04.py + python tools/check_content_integrity.py</t>
        </is>
      </c>
    </row>
    <row r="266">
      <c r="A266">
        <f>"BUG-"&amp;TEXT(ROW()-3,"000")</f>
        <v/>
      </c>
      <c r="B266" t="inlineStr">
        <is>
          <t>2026-06-04</t>
        </is>
      </c>
      <c r="C266" t="inlineStr">
        <is>
          <t>Native Japanese / JLPT expert reviewer</t>
        </is>
      </c>
      <c r="D266" t="inlineStr">
        <is>
          <t>Native-review batch E DEFERRED — particle-example corpus-wide re-audit (highest-judgment, ~50-300 entries)</t>
        </is>
      </c>
      <c r="E266" t="inlineStr">
        <is>
          <t>The same 2026-06-04 native-reviewer report flagged the particle_examples field across the vocab corpus as the highest-risk learner-facing area. Specific examples called out: だれをしますか, どなたをしますか, だれにいきますか, あなたをしる, わたしたちをしる, じぶんとあう — these are unnatural / template-generated patterns that an N5 learner might memorize wholesale. A corpus-wide exact-string scan for those 6 specific phrases returned 0 hits (they may have been removed in a prior pass, or our scan was too strict). Batch E requires a sample-and-flag native pass on every entry's particle_examples to identify template-looking patterns and replace with native-approved N5 collocations. Estimated scope: 50-300 entries. Deferred to a follow-up cycle per user direction (2026-06-04 chat). Replacement entries themselves will need a second native pass to verify naturalness — meaning this is a two-cycle work item.</t>
        </is>
      </c>
      <c r="F266" t="inlineStr">
        <is>
          <t>Medium</t>
        </is>
      </c>
      <c r="G266" t="inlineStr">
        <is>
          <t>P2</t>
        </is>
      </c>
      <c r="H266" t="inlineStr">
        <is>
          <t>Closed (out of scope - per user 2026-06-04)</t>
        </is>
      </c>
      <c r="J266" t="inlineStr">
        <is>
          <t>&lt;pending-cycle&gt;</t>
        </is>
      </c>
      <c r="M266" t="inlineStr">
        <is>
          <t>BUG-010 (native-review-queue)</t>
        </is>
      </c>
      <c r="N266" t="inlineStr">
        <is>
          <t>Awaiting native-reviewer follow-up pass + replacement audit</t>
        </is>
      </c>
    </row>
    <row r="267">
      <c r="A267">
        <f>"BUG-"&amp;TEXT(ROW()-3,"000")</f>
        <v/>
      </c>
      <c r="B267" t="inlineStr">
        <is>
          <t>2026-06-04</t>
        </is>
      </c>
      <c r="C267" t="inlineStr">
        <is>
          <t>Native Japanese / JLPT expert reviewer</t>
        </is>
      </c>
      <c r="D267" t="inlineStr">
        <is>
          <t>Native-review batch F (27 entries): legacy markers + sense disambiguation + pronoun cautions + greeting context + key contrasts + adj-predicate grammar</t>
        </is>
      </c>
      <c r="E267" t="inlineStr">
        <is>
          <t>Follow-up to BUG-262 (batches A-D). Batch F targeted the section-level recommendations in sections 11-30 of the 2026-06-04 native-reviewer report that did NOT require a second native pass on replacements (i.e., we add explanatory pragmatic_functions notes, not new content to be re-verified). 27 entries received pragmatic_functions additions across 8 sub-batches: (F1) legacy markers — きしゃ/じびき/せびろ flagged as use-modern-alternative; (F2) なく — disambiguate 鳴く (animal sound) vs 泣く (human crying) since they share kana but different kanji; (F3) pronoun usage cautions — かのじょ/かれ (primary modern sense is girlfriend/boyfriend, not generic she/he), じぶん (most natural in 自分で / 自分の), あなた (rarely used; prefer name+さん); (F4) 先生 — honorific scope (teachers, doctors, masters, certain professionals — not only teacher); (F5) greeting context — しつれいします (BEFORE), しつれいしました (AFTER), さようなら (more formal than English goodbye), おかえりなさい (response to ただいま, home context), おかげさまで (humility frame), ごちそうさまでした (close-of-meal pair to いただきます); (F6) key contrasts — うみ vs みずうみ (sea vs lake), ごはん vs こめ (cooked rice/meal vs uncooked grain), おさけ (alcohol generally, not only Japanese sake), カップ vs コップ (handled hot-drink cup vs handle-less tumbler); (F7) な-adj predicate grammar — すき/だいすき/きらい/だいきらい explained as な-adjectives with が-marked subject, not English-style verbs; (F8) きれい dual meaning — pretty/beautiful AND clean/tidy in the same word.</t>
        </is>
      </c>
      <c r="F267" t="inlineStr">
        <is>
          <t>Medium</t>
        </is>
      </c>
      <c r="G267" t="inlineStr">
        <is>
          <t>P2</t>
        </is>
      </c>
      <c r="H267" t="inlineStr">
        <is>
          <t>Fixed</t>
        </is>
      </c>
      <c r="I267" t="inlineStr">
        <is>
          <t>2026-06-04</t>
        </is>
      </c>
      <c r="J267" t="inlineStr">
        <is>
          <t>&lt;pending-commit-hash&gt;</t>
        </is>
      </c>
      <c r="M267" t="inlineStr">
        <is>
          <t>BUG-262 (batches A-D), BUG-263 (batch E open)</t>
        </is>
      </c>
      <c r="N267" t="inlineStr">
        <is>
          <t>tools/apply_native_review_batch_f_2026_06_04.py + python tools/check_content_integrity.py (179/179 PASS)</t>
        </is>
      </c>
    </row>
    <row r="268">
      <c r="A268">
        <f>"BUG-"&amp;TEXT(ROW()-3,"000")</f>
        <v/>
      </c>
      <c r="B268" t="inlineStr">
        <is>
          <t>2026-06-04</t>
        </is>
      </c>
      <c r="C268" t="inlineStr">
        <is>
          <t>Native Japanese / JLPT expert reviewer</t>
        </is>
      </c>
      <c r="D268" t="inlineStr">
        <is>
          <t>Native-review batch G (45 entries): final P1/P2 section-level fixes from sections 11-30</t>
        </is>
      </c>
      <c r="E268" t="inlineStr">
        <is>
          <t>Follow-up to BUG-262 (batches A-D) and BUG-264 (batch F). Batch G applies the remaining concrete pragmatic notes from sections 11-30 of the 2026-06-04 native-reviewer report. 45 entries touched across 26 sub-batches: G1 student scope (学生 vs せいと), G2 police register (けいかん vs おまわりさん), G3 外国人 pragmatic caution, G4 一日 reading split (ついたち vs いちにち), G5 こんや vs こんばん, G6 アルバイト→バイト abbreviation, G7 いっぱい dual sense, G8 ただ multi-sense (just/free/however), G9 しか + negative requirement, G10 ぐらい vs くらい free variation, G11 やはり formality vs やっぱり (casual), G12 ことば vs たんご scope, G13 何で why-vs-by-means refresh, G14 ほしい adjective-of-desire grammar, G15 ござる as ございます root, G16 はやい 早い (early) / 速い (fast) split, G17 やさしい 易しい (easy) / 優しい (kind) split, G18 おてあらい vs トイレ register, G19 おふろ vs シャワー bathing culture, G20 せ (back/height) + 足 (leg/foot) duals, G21 じ/もじ/かんじ/かな/ひらがな/カタカナ six-way distinction, G22 からい (spicy primary; salty regional), G24 color noun-vs-adjective pairs (白/白い, くろ/くろい, あか/あかい, あお/あおい), G26 はブラシ orthographic note (modern: 歯ブラシ). Six reviewer-named entries absent from corpus and deferred to corpus-expansion track: がくせい (use 学生), 警官 (use けいかん kana form), がいこくじん (use 外国人), ついたち / いちにち as standalone entries, 今夜/今晩 in kanji, やっぱり, なんで, ふるい, あし (use 足).</t>
        </is>
      </c>
      <c r="F268" t="inlineStr">
        <is>
          <t>Medium</t>
        </is>
      </c>
      <c r="G268" t="inlineStr">
        <is>
          <t>P2</t>
        </is>
      </c>
      <c r="H268" t="inlineStr">
        <is>
          <t>Fixed</t>
        </is>
      </c>
      <c r="I268" t="inlineStr">
        <is>
          <t>2026-06-04</t>
        </is>
      </c>
      <c r="J268" t="inlineStr">
        <is>
          <t>&lt;pending-commit-hash&gt;</t>
        </is>
      </c>
      <c r="M268" t="inlineStr">
        <is>
          <t>BUG-262 (A-D), BUG-264 (F)</t>
        </is>
      </c>
      <c r="N268" t="inlineStr">
        <is>
          <t>tools/apply_native_review_batch_g_2026_06_04.py + python tools/check_content_integrity.py (179/179 PASS)</t>
        </is>
      </c>
    </row>
    <row r="269">
      <c r="A269">
        <f>"BUG-"&amp;TEXT(ROW()-3,"000")</f>
        <v/>
      </c>
      <c r="B269" t="inlineStr">
        <is>
          <t>2026-06-04</t>
        </is>
      </c>
      <c r="C269" t="inlineStr">
        <is>
          <t>Native Japanese / JLPT expert reviewer (follow-up consolidated report)</t>
        </is>
      </c>
      <c r="D269" t="inlineStr">
        <is>
          <t>Native-review batch H (23 entries) — mechanical closure of remaining OPEN items from consolidated follow-up review</t>
        </is>
      </c>
      <c r="E269" t="inlineStr">
        <is>
          <t>23 entries touched + corpus-level review-status disclosure added. H1: removed counter from りょこう (occurrence-counting via verb, not direct noun counter). H2: added "legacy / low-frequency in modern daily Japanese" pragmatic notes to レコード, フィルム, マッチ, はいざら (counters retained — they are correct for the noun shape). H3: verified existing transitivity + pair_id labels for 6 verb pairs (あく/あける, しまる/しめる, おちる/おとす, でる/だす, きえる/けす, はじまる/はじめる) — all already correctly populated, no action needed. H4: pronoun cautions added to 私, 私たち, みんな, みなさん (Japanese subject omission preference + みんな casual vs みなさん polite contrast). H5: 14 family entries received the native reviewer's preferred concise JA wording as supplementary pragmatic notes (complements the longer English explanations from batch D). H6: added _meta.native_human_review_status_2026_06_04 disclosure explicitly stating the corpus is AI-reviewed with native-human review pending (addresses OPEN-002 concern at corpus level).</t>
        </is>
      </c>
      <c r="F269" t="inlineStr">
        <is>
          <t>Medium</t>
        </is>
      </c>
      <c r="G269" t="inlineStr">
        <is>
          <t>P2</t>
        </is>
      </c>
      <c r="H269" t="inlineStr">
        <is>
          <t>Fixed</t>
        </is>
      </c>
      <c r="I269" t="inlineStr">
        <is>
          <t>2026-06-04</t>
        </is>
      </c>
      <c r="J269" t="inlineStr">
        <is>
          <t>&lt;pending-commit-hash&gt;</t>
        </is>
      </c>
      <c r="M269" t="inlineStr">
        <is>
          <t>BUG-262 (A-D), BUG-263 (E open), BUG-264 (F), BUG-265 (G)</t>
        </is>
      </c>
      <c r="N269" t="inlineStr">
        <is>
          <t>tools/apply_native_review_batch_h_2026_06_04.py + CI 179/179</t>
        </is>
      </c>
    </row>
    <row r="270">
      <c r="A270">
        <f>"BUG-"&amp;TEXT(ROW()-3,"000")</f>
        <v/>
      </c>
      <c r="B270" t="inlineStr">
        <is>
          <t>2026-06-04</t>
        </is>
      </c>
      <c r="C270" t="inlineStr">
        <is>
          <t>Native Japanese / JLPT expert reviewer (follow-up consolidated report)</t>
        </is>
      </c>
      <c r="D270" t="inlineStr">
        <is>
          <t>OPEN follow-up: remaining native-reviewer-pending items that cannot be auto-closed</t>
        </is>
      </c>
      <c r="E270" t="inlineStr">
        <is>
          <t>Follow-up consolidated review identified 13 OPEN-NNN classes. Auto-closure addressed OPEN-006 (homonyms partial), OPEN-008 (pronouns partial via H4), OPEN-009 (family terms via D + H5), OPEN-010 (counter cleanup via C + H1), OPEN-011 (legacy markers via F1 + H2), OPEN-012 (verb-pair labels — already populated in corpus). REMAINING OPEN — these require an actual human native speaker, NOT Claude impersonating one: OPEN-001 every-entry 「問題なし」 / 「要修正」 verdict (995 entries; cannot be auto-written without dishonesty); OPEN-002 entry-level "ai_reviewed_only" vs "native_reviewed" status discipline at the data-level (corpus-level disclosure shipped via H6; per-entry flag would need a schema field add); OPEN-003 corpus-wide particle-example rewrites (already tracked as BUG-263 Open); OPEN-004 template-collocation cleanup (same root cause as OPEN-003; tracked under BUG-263); OPEN-005 English-gloss reframing (case-by-case native judgment); OPEN-007 kana-only display ambiguity (requires UI-level renderer work to surface kanji disambiguation on kana-only entries — different cycle, may be a JA-invariant or kanji-tooltip work item); OPEN-013 example-sentence quality pass (case-by-case native judgment). These remain in the queue for a real human native-reviewer closure cycle.</t>
        </is>
      </c>
      <c r="F270" t="inlineStr">
        <is>
          <t>Medium</t>
        </is>
      </c>
      <c r="G270" t="inlineStr">
        <is>
          <t>P2</t>
        </is>
      </c>
      <c r="H270" t="inlineStr">
        <is>
          <t>Closed (out of scope - per user 2026-06-04)</t>
        </is>
      </c>
      <c r="J270" t="inlineStr">
        <is>
          <t>&lt;awaiting-native-pass&gt;</t>
        </is>
      </c>
      <c r="M270" t="inlineStr">
        <is>
          <t>BUG-263 (batch E open), BUG-262/264/265/266 (batches A-H done)</t>
        </is>
      </c>
      <c r="N270" t="inlineStr">
        <is>
          <t>Awaiting human native-reviewer per-entry pass</t>
        </is>
      </c>
    </row>
    <row r="271">
      <c r="A271">
        <f>"BUG-"&amp;TEXT(ROW()-3,"000")</f>
        <v/>
      </c>
      <c r="B271" t="inlineStr">
        <is>
          <t>2026-06-04</t>
        </is>
      </c>
      <c r="C271" t="inlineStr">
        <is>
          <t>Native Japanese / JLPT expert reviewer (specific-bug audit)</t>
        </is>
      </c>
      <c r="D271" t="inlineStr">
        <is>
          <t>Native-review batch J — systematic template-artifact fixes (142 entries): malformed verb conjugations + nonsense template example sentences</t>
        </is>
      </c>
      <c r="E271" t="inlineStr">
        <is>
          <t>A specific-bug audit cited 12 concrete JP-content errors. Reproduction confirmed all 12 AND revealed they are instances of systematic template-generation artifacts. Batch J fixed the deterministic + confirmed-nonsense classes (142 entries): J1 — 110 verbs had malformed 「&lt;dict-form&gt;ます」/「&lt;dict-form&gt;ました」 in particle_examples (you cannot append ます to a dictionary form). Corrected to proper polite/polite-past via a verb-class-aware conjugator (68 godan, 31 ichidan, 11 irregular). E.g. べんきょうするます→べんきょうします, かすました→かしました, あるます→あります, しごとするました→しごとしました, すむます→すみます. 0 malformed remain. J2 — removed 16 「えいがは &lt;i-adj&gt;でした。」 example sentences (both grammatically wrong — i-adj past is かったです not でした — AND semantically nonsense, "the movie was yellow/thin/bitter") + 1 stray cross-contaminated particle_example (しかくいでした in 書く). J3 — removed 14 「今日は とても &lt;X&gt;です。」 example sentences for non-weather adjectives (今日は 白い/くろい/みじかい/まるい/ぬるい/とおい/おおい… = nonsense; kept weather adjectives すずしい/あたたかい/いい). J4 — cited specifics: cleaned カタカナ particle_examples (removed purchase/price/new template collocations カタカナを かう/を ください/あたらしい/たかい/やすい — a writing system is not a buyable object); removed 「この りんごは うるさいです。」 (an apple cannot be noisy). Of the 12 cited bugs, 10 are fully fixed here; the remaining 2 (まいにち すむ / いま すむ adverb-collocations in particle_examples) are part of the broad OPEN-003/004 particle_examples-naturalness class tracked under BUG-263 — they are grammatical but stylistically weak, and fixing them well needs the same per-verb native judgment as the other ~109 verbs adverb collocations. Driver: tools/apply_native_review_batch_j_2026_06_04.py. CI: 179/179 PASS.</t>
        </is>
      </c>
      <c r="F271" t="inlineStr">
        <is>
          <t>High</t>
        </is>
      </c>
      <c r="G271" t="inlineStr">
        <is>
          <t>P1</t>
        </is>
      </c>
      <c r="H271" t="inlineStr">
        <is>
          <t>Fixed</t>
        </is>
      </c>
      <c r="I271" t="inlineStr">
        <is>
          <t>2026-06-04</t>
        </is>
      </c>
      <c r="J271" t="inlineStr">
        <is>
          <t>&lt;pending-commit-hash&gt;</t>
        </is>
      </c>
      <c r="M271" t="inlineStr">
        <is>
          <t>BUG-263 (OPEN-003/004 particle-example naturalness — remaining 2 cited + broad template class)</t>
        </is>
      </c>
      <c r="N271" t="inlineStr">
        <is>
          <t>tools/apply_native_review_batch_j_2026_06_04.py + verify_batch_j (0 malformed / 0 nonsense remaining) + CI 179/179</t>
        </is>
      </c>
    </row>
    <row r="272">
      <c r="A272">
        <f>"BUG-"&amp;TEXT(ROW()-3,"000")</f>
        <v/>
      </c>
      <c r="B272" t="inlineStr">
        <is>
          <t>2026-06-04</t>
        </is>
      </c>
      <c r="C272" t="inlineStr">
        <is>
          <t>Native Japanese / JLPT expert reviewer (BUG-266 re-check)</t>
        </is>
      </c>
      <c r="D272" t="inlineStr">
        <is>
          <t>Native-review batch K — close last 2 BUG-266 re-check items on すむ (frequency-adverb collocations → location-particle)</t>
        </is>
      </c>
      <c r="E272" t="inlineStr">
        <is>
          <t>The BUG-266 re-check confirmed 10/12 batch-J bugs fixed; 2 remained, both on すむ ("to live/reside"): まいにち すむ ("live every day") and いま すむ ("live now") — unnatural frequency/time-adverb collocations for a stative verb. The reviewer supplied the native-approved fix: replace with location-particle (に) collocations. Batch K replaced all three frequency/time-adverb collocations on すむ (よく/まいにち/いま すむ — よく すむ is the same error class as the 2 cited) with 東京に すむ / 日本に すむ / この町に すむ. This also makes the field a proper set of particle examples (location に, the particle すむ actually takes). すむ particle_examples is now [すむ, すみます, すみました, 東京に すむ, 日本に すむ, この町に すむ]. Scope is すむ-ONLY: the broad frequency-adverb+verb template across the other ~109 verbs stays in BUG-263 because it is per-verb — よく ある ("there often is / common") is NATURAL while よく すむ is not; only a native reviewer can judge each verb. Driver: tools/apply_native_review_batch_k_2026_06_04.py. CI 180/180.</t>
        </is>
      </c>
      <c r="F272" t="inlineStr">
        <is>
          <t>Medium</t>
        </is>
      </c>
      <c r="G272" t="inlineStr">
        <is>
          <t>P2</t>
        </is>
      </c>
      <c r="H272" t="inlineStr">
        <is>
          <t>Fixed</t>
        </is>
      </c>
      <c r="I272" t="inlineStr">
        <is>
          <t>2026-06-04</t>
        </is>
      </c>
      <c r="J272" t="inlineStr">
        <is>
          <t>&lt;pending-commit-hash&gt;</t>
        </is>
      </c>
      <c r="M272" t="inlineStr">
        <is>
          <t>BUG-266 (batch J — 10/12), BUG-263 (broad particle-example naturalness, still open for other verbs)</t>
        </is>
      </c>
      <c r="N272" t="inlineStr">
        <is>
          <t>tools/apply_native_review_batch_k_2026_06_04.py + reviewer re-check (10/12 then 12/12 cited) + CI 180/180</t>
        </is>
      </c>
    </row>
    <row r="273">
      <c r="B273" t="inlineStr">
        <is>
          <t>2026-06-06</t>
        </is>
      </c>
      <c r="C273" t="inlineStr">
        <is>
          <t>Native Japanese / JLPT expert review (particle-example re-report)</t>
        </is>
      </c>
      <c r="D273" t="inlineStr">
        <is>
          <t>Native-review: reviewer-cited particle-collocation subset of deferred Batch E fixed (を-しる pronoun/noun + question-word templates + じぶん + notation typos)</t>
        </is>
      </c>
      <c r="E273" t="inlineStr">
        <is>
          <t>Reviewer re-reported specific particle_examples naturalness items from the deferred Batch E / BUG-263 class. Fixed per-headword (native-judgment, no auto-fix): 「Xを しる」 -&gt; natural verb across 24 pronoun/noun entries; 「だれ/どなた を しますか」 / 「に いきますか」 -&gt; 「だれと いきますか」 / 「だれに ききますか」; 「じぶんは がくせい」 -&gt; 「じぶんで つくる」; notation typos 日本ご-&gt;日本語(x4), よ人-&gt;四人, 一いっしょ-&gt;いっしょ, そふぼや-&gt;そふと そぼ; 大人 admission price -&gt; 千円. Vocab review docx regenerated + re-verified (0 「を しる」, 0 「じぶんは がくせい」). Corpus-wide naturalness sweep stays deferred (Batch E / BUG-263). Fix commits: acd35bf5, 4ca5303f, b175bf8f, 36551d27.</t>
        </is>
      </c>
      <c r="F273" t="inlineStr">
        <is>
          <t>Medium</t>
        </is>
      </c>
      <c r="G273" t="inlineStr">
        <is>
          <t>P2</t>
        </is>
      </c>
      <c r="H273" t="inlineStr">
        <is>
          <t>Fixed</t>
        </is>
      </c>
      <c r="I273" t="inlineStr">
        <is>
          <t>2026-06-06</t>
        </is>
      </c>
      <c r="J273" t="inlineStr">
        <is>
          <t>36551d27</t>
        </is>
      </c>
      <c r="L273" t="inlineStr">
        <is>
          <t>Part 65</t>
        </is>
      </c>
      <c r="M273" t="inlineStr">
        <is>
          <t>BUG-263 (Batch E), BUG-266 (Batch J)</t>
        </is>
      </c>
      <c r="N273" t="inlineStr">
        <is>
          <t>docx re-parse (0 を しる / 0 じぶんは がくせい); CI 180 green</t>
        </is>
      </c>
    </row>
    <row r="274">
      <c r="A274" t="inlineStr"/>
      <c r="B274" t="inlineStr">
        <is>
          <t>2026-06-07</t>
        </is>
      </c>
      <c r="C274" t="inlineStr">
        <is>
          <t>Native Japanese / JLPT N5 expert review (kanji packet)</t>
        </is>
      </c>
      <c r="D274" t="inlineStr">
        <is>
          <t>Kanji native-review: reading-rule (on-dominant kanji) + example/sentence corrections (19 findings)</t>
        </is>
      </c>
      <c r="E274" t="inlineStr">
        <is>
          <t>Native review of the kanji review packet (106 entries) reported 19 issues, all in kanji.json. SYSTEMATIC: the reading_rule auto-template said 'standalone -&gt; kun-yomi', which is backwards for on-dominant kanji; corrected 14 (numbers 二三四五六七八九十千 + 分/半/語/天) via the primary_reading-in-on'yomi detection signal (17 candidates; 4 false-positives 年/先/会/新 excluded where the kun standalone is valid). ONE-OFF: 父 on-example (父親-&gt;父母), 手 (手つだって-&gt;てつだって), 本 ('book' not just counter), 中 (surname-only/casual -&gt; 中=inside sentences), 外/私 (cloze -&gt; complete sentences), 下 sentence, 金 (dropped non-N5 word), 田 (rice-field sentence). Kanji review docx regenerated; cache bump v1.17.41 -&gt; v1.17.42; CI PASS 180.</t>
        </is>
      </c>
      <c r="F274" t="inlineStr">
        <is>
          <t>Medium</t>
        </is>
      </c>
      <c r="G274" t="inlineStr">
        <is>
          <t>P2</t>
        </is>
      </c>
      <c r="H274" t="inlineStr">
        <is>
          <t>Fixed</t>
        </is>
      </c>
      <c r="I274" t="inlineStr">
        <is>
          <t>2026-06-07</t>
        </is>
      </c>
      <c r="J274" t="inlineStr">
        <is>
          <t>&lt;v1.17.42-kanji-native-review&gt;</t>
        </is>
      </c>
      <c r="K274" t="inlineStr"/>
      <c r="L274" t="inlineStr">
        <is>
          <t>Part 66</t>
        </is>
      </c>
      <c r="M274" t="inlineStr"/>
      <c r="N274" t="inlineStr">
        <is>
          <t>kanji docx re-parse; CI 180 green; live as v1.17.42</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2026-06-07T00:10:24Z</dcterms:modified>
  <cp:lastModifiedBy>Srivastava, Gaurav</cp:lastModifiedBy>
</cp:coreProperties>
</file>