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name val="Calibri"/>
      <b val="1"/>
      <sz val="14"/>
    </font>
    <font>
      <name val="Calibri"/>
      <i val="1"/>
      <sz val="10"/>
    </font>
    <font>
      <name val="Calibri"/>
      <b val="1"/>
      <color rgb="FFFFFFFF"/>
      <sz val="11"/>
    </font>
    <font>
      <name val="Calibri"/>
      <b val="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9">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49">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13" fillId="8" borderId="0" applyAlignment="1" pivotButton="0" quotePrefix="0" xfId="0">
      <alignment horizontal="center" vertical="center" wrapText="1"/>
    </xf>
    <xf numFmtId="0" fontId="0" fillId="9" borderId="8" applyAlignment="1" pivotButton="0" quotePrefix="0" xfId="0">
      <alignment vertical="top" wrapText="1"/>
    </xf>
    <xf numFmtId="0" fontId="0" fillId="10" borderId="8" applyAlignment="1" pivotButton="0" quotePrefix="0" xfId="0">
      <alignment vertical="top" wrapText="1"/>
    </xf>
    <xf numFmtId="0" fontId="0" fillId="11" borderId="8" applyAlignment="1" pivotButton="0" quotePrefix="0" xfId="0">
      <alignment vertical="top" wrapText="1"/>
    </xf>
    <xf numFmtId="0" fontId="0" fillId="12" borderId="8" applyAlignment="1" pivotButton="0" quotePrefix="0" xfId="0">
      <alignment vertical="top" wrapText="1"/>
    </xf>
    <xf numFmtId="0" fontId="0" fillId="13" borderId="8" applyAlignment="1" pivotButton="0" quotePrefix="0" xfId="0">
      <alignment vertical="top" wrapText="1"/>
    </xf>
    <xf numFmtId="0" fontId="14"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2" min="1" max="1"/>
    <col width="12" customWidth="1" style="42" min="2" max="2"/>
    <col width="10" customWidth="1" style="42" min="3" max="5"/>
    <col width="12" customWidth="1" style="42" min="6" max="6"/>
  </cols>
  <sheetData>
    <row r="1" ht="28" customHeight="1" s="42">
      <c r="A1" s="41" t="inlineStr">
        <is>
          <t>JLPT N5 Tutor — Test Scenarios by Specialist Perspective</t>
        </is>
      </c>
    </row>
    <row r="2" ht="24" customHeight="1" s="42">
      <c r="A2" s="44" t="inlineStr">
        <is>
          <t>Generated from the 84-perspective list (categories A–N). Each tab = one category.</t>
        </is>
      </c>
    </row>
    <row r="3" ht="60" customHeight="1" s="42">
      <c r="A3" s="43"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2">
      <c r="A5" s="23" t="inlineStr">
        <is>
          <t>Tab</t>
        </is>
      </c>
      <c r="B5" s="23" t="inlineStr">
        <is>
          <t>Scenarios</t>
        </is>
      </c>
      <c r="C5" s="23" t="inlineStr">
        <is>
          <t>P1</t>
        </is>
      </c>
      <c r="D5" s="23" t="inlineStr">
        <is>
          <t>P2</t>
        </is>
      </c>
      <c r="E5" s="23" t="inlineStr">
        <is>
          <t>P3</t>
        </is>
      </c>
      <c r="F5" s="23" t="inlineStr">
        <is>
          <t>P4 + P5</t>
        </is>
      </c>
    </row>
    <row r="6" ht="50" customHeight="1" s="42">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2">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2">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2">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2">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2">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2">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2">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2">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2">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2">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2">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2">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2"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2" thickBot="1" thickTop="1">
      <c r="A20" s="24" t="inlineStr">
        <is>
          <t>TOTAL</t>
        </is>
      </c>
      <c r="B20" s="24">
        <f>SUM(B6:B19)</f>
        <v/>
      </c>
      <c r="C20" s="25">
        <f>SUM(C6:C19)</f>
        <v/>
      </c>
      <c r="D20" s="25">
        <f>SUM(D6:D19)</f>
        <v/>
      </c>
      <c r="E20" s="26">
        <f>SUM(E6:E19)</f>
        <v/>
      </c>
      <c r="F20" s="26">
        <f>SUM(F6:F19)</f>
        <v/>
      </c>
    </row>
    <row r="21" ht="15" customHeight="1" s="42"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2" min="1" max="1"/>
    <col width="9" customWidth="1" style="42" min="2" max="2"/>
    <col width="5" customWidth="1" style="42" min="3" max="3"/>
    <col width="22" customWidth="1" style="42" min="4" max="4"/>
    <col width="60" customWidth="1" style="42" min="5" max="5"/>
    <col width="38" customWidth="1" style="42" min="6" max="6"/>
    <col width="12" customWidth="1" style="42" min="7" max="7"/>
    <col width="24" customWidth="1" style="42" min="8" max="8"/>
    <col width="9" customWidth="1" style="42" min="9" max="9"/>
    <col width="11" customWidth="1" style="42" min="10" max="10"/>
    <col width="13" customWidth="1" style="42" min="11" max="11"/>
    <col width="9" customWidth="1" style="42" min="12" max="12"/>
    <col width="11" customWidth="1" style="42" min="13" max="13"/>
    <col width="14" customWidth="1" style="42" min="14" max="15"/>
    <col width="32" customWidth="1" style="42" min="16" max="16"/>
  </cols>
  <sheetData>
    <row r="1" ht="18.5" customHeight="1" s="42">
      <c r="A1" s="45" t="inlineStr">
        <is>
          <t>JLPT N5 Tutor — Unit Tests (Auto-runnable scenarios)</t>
        </is>
      </c>
    </row>
    <row r="2" ht="45" customHeight="1" s="42">
      <c r="A2" s="46"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Not Yet Run</t>
        </is>
      </c>
      <c r="O5" s="35" t="n"/>
      <c r="P5" s="35" t="inlineStr">
        <is>
          <t>A. Japanese language!row 11</t>
        </is>
      </c>
    </row>
    <row r="6" ht="29" customHeight="1" s="42">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Not Yet Run</t>
        </is>
      </c>
      <c r="O6" s="35" t="n"/>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Not Yet Run</t>
        </is>
      </c>
      <c r="O7" s="35" t="n"/>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Not Yet Run</t>
        </is>
      </c>
      <c r="O8" s="35" t="n"/>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Not Yet Run</t>
        </is>
      </c>
      <c r="O9" s="35" t="n"/>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Not Yet Run</t>
        </is>
      </c>
      <c r="O10" s="35" t="n"/>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Not Yet Run</t>
        </is>
      </c>
      <c r="O11" s="35" t="n"/>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Not Yet Run</t>
        </is>
      </c>
      <c r="O12" s="35" t="n"/>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Not Yet Run</t>
        </is>
      </c>
      <c r="O13" s="35" t="n"/>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Not Yet Run</t>
        </is>
      </c>
      <c r="O14" s="35" t="n"/>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Not Yet Run</t>
        </is>
      </c>
      <c r="O15" s="36" t="n"/>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Not Yet Run</t>
        </is>
      </c>
      <c r="O16" s="36" t="n"/>
      <c r="P16" s="36" t="inlineStr">
        <is>
          <t>A. Japanese language!row 32</t>
        </is>
      </c>
    </row>
    <row r="17" ht="29" customHeight="1" s="42">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Not Yet Run</t>
        </is>
      </c>
      <c r="O17" s="36" t="n"/>
      <c r="P17" s="36" t="inlineStr">
        <is>
          <t>A. Japanese language!row 41</t>
        </is>
      </c>
    </row>
    <row r="18" ht="29" customHeight="1" s="42">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Not Yet Run</t>
        </is>
      </c>
      <c r="O18" s="36" t="n"/>
      <c r="P18" s="36" t="inlineStr">
        <is>
          <t>A. Japanese language!row 42</t>
        </is>
      </c>
    </row>
    <row r="19" ht="29" customHeight="1" s="42">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Not Yet Run</t>
        </is>
      </c>
      <c r="O19" s="36" t="n"/>
      <c r="P19" s="36" t="inlineStr">
        <is>
          <t>A. Japanese language!row 43</t>
        </is>
      </c>
    </row>
    <row r="20" ht="29" customHeight="1" s="42">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Not Yet Run</t>
        </is>
      </c>
      <c r="O20" s="36" t="n"/>
      <c r="P20" s="36" t="inlineStr">
        <is>
          <t>A. Japanese language!row 44</t>
        </is>
      </c>
    </row>
    <row r="21" ht="29" customHeight="1" s="42">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Not Yet Run</t>
        </is>
      </c>
      <c r="O21" s="36" t="n"/>
      <c r="P21" s="36" t="inlineStr">
        <is>
          <t>I. Data engineering!row 18</t>
        </is>
      </c>
    </row>
    <row r="22" ht="43.5" customHeight="1" s="42">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Not Yet Run</t>
        </is>
      </c>
      <c r="O22" s="36" t="n"/>
      <c r="P22" s="36" t="inlineStr">
        <is>
          <t>I. Data engineering!row 19</t>
        </is>
      </c>
    </row>
    <row r="23" ht="29" customHeight="1" s="42">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Not Yet Run</t>
        </is>
      </c>
      <c r="O23" s="36" t="n"/>
      <c r="P23" s="36" t="inlineStr">
        <is>
          <t>I. Data engineering!row 21</t>
        </is>
      </c>
    </row>
    <row r="24" ht="29" customHeight="1" s="42">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36" t="inlineStr">
        <is>
          <t>2026-05-17</t>
        </is>
      </c>
      <c r="P24" s="36" t="inlineStr">
        <is>
          <t>K. QA testing!row 20</t>
        </is>
      </c>
    </row>
    <row r="25" ht="29" customHeight="1" s="42">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36" t="inlineStr">
        <is>
          <t>2026-05-17</t>
        </is>
      </c>
      <c r="P25" s="36" t="inlineStr">
        <is>
          <t>K. QA testing!row 21</t>
        </is>
      </c>
    </row>
    <row r="26" ht="29" customHeight="1" s="42">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Not Yet Run</t>
        </is>
      </c>
      <c r="O26" s="36" t="n"/>
      <c r="P26" s="36" t="inlineStr">
        <is>
          <t>K. QA testing!row 23</t>
        </is>
      </c>
    </row>
    <row r="27" ht="29" customHeight="1" s="42">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Not Yet Run</t>
        </is>
      </c>
      <c r="O27" s="36" t="n"/>
      <c r="P27" s="36" t="inlineStr">
        <is>
          <t>K. QA testing!row 24</t>
        </is>
      </c>
    </row>
    <row r="28" ht="29" customHeight="1" s="42">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Not Yet Run</t>
        </is>
      </c>
      <c r="O28" s="36" t="n"/>
      <c r="P28" s="36" t="inlineStr">
        <is>
          <t>K. QA testing!row 25</t>
        </is>
      </c>
    </row>
    <row r="29" ht="29" customHeight="1" s="42">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Not Yet Run</t>
        </is>
      </c>
      <c r="O29" s="36" t="n"/>
      <c r="P29" s="36" t="inlineStr">
        <is>
          <t>K. QA testing!row 26</t>
        </is>
      </c>
    </row>
    <row r="30" ht="29" customHeight="1" s="42">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Not Yet Run</t>
        </is>
      </c>
      <c r="O30" s="36" t="n"/>
      <c r="P30" s="36" t="inlineStr">
        <is>
          <t>K. QA testing!row 27</t>
        </is>
      </c>
    </row>
    <row r="31" ht="29" customHeight="1" s="42">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Not Yet Run</t>
        </is>
      </c>
      <c r="O31" s="36" t="n"/>
      <c r="P31" s="36" t="inlineStr">
        <is>
          <t>K. QA testing!row 28</t>
        </is>
      </c>
    </row>
    <row r="32" ht="29" customHeight="1" s="42">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Not Yet Run</t>
        </is>
      </c>
      <c r="O32" s="36" t="n"/>
      <c r="P32" s="36" t="inlineStr">
        <is>
          <t>K. QA testing!row 29</t>
        </is>
      </c>
    </row>
    <row r="33" ht="29" customHeight="1" s="42">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Not Yet Run</t>
        </is>
      </c>
      <c r="O33" s="36" t="n"/>
      <c r="P33" s="36" t="inlineStr">
        <is>
          <t>K. QA testing!row 30</t>
        </is>
      </c>
    </row>
    <row r="34" ht="29" customHeight="1" s="42">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Not Yet Run</t>
        </is>
      </c>
      <c r="O34" s="36" t="n"/>
      <c r="P34" s="36" t="inlineStr">
        <is>
          <t>K. QA testing!row 31</t>
        </is>
      </c>
    </row>
    <row r="35" ht="29" customHeight="1" s="42">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Not Yet Run</t>
        </is>
      </c>
      <c r="O35" s="36" t="n"/>
      <c r="P35" s="36" t="inlineStr">
        <is>
          <t>K. QA testing!row 32</t>
        </is>
      </c>
    </row>
    <row r="36" ht="29" customHeight="1" s="42">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Not Yet Run</t>
        </is>
      </c>
      <c r="O36" s="36" t="n"/>
      <c r="P36" s="36" t="inlineStr">
        <is>
          <t>K. QA testing!row 33</t>
        </is>
      </c>
    </row>
    <row r="37" ht="29" customHeight="1" s="42">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Not Yet Run</t>
        </is>
      </c>
      <c r="O37" s="36" t="n"/>
      <c r="P37" s="36" t="inlineStr">
        <is>
          <t>K. QA testing!row 34</t>
        </is>
      </c>
    </row>
    <row r="38" ht="29" customHeight="1" s="42">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Not Yet Run</t>
        </is>
      </c>
      <c r="O38" s="36" t="n"/>
      <c r="P38" s="36" t="inlineStr">
        <is>
          <t>K. QA testing!row 35</t>
        </is>
      </c>
    </row>
    <row r="39" ht="29" customHeight="1" s="42">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Not Yet Run</t>
        </is>
      </c>
      <c r="O39" s="36" t="n"/>
      <c r="P39" s="36" t="inlineStr">
        <is>
          <t>K. QA testing!row 36</t>
        </is>
      </c>
    </row>
    <row r="40" ht="29" customHeight="1" s="42">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Not Yet Run</t>
        </is>
      </c>
      <c r="O40" s="36" t="n"/>
      <c r="P40" s="36" t="inlineStr">
        <is>
          <t>K. QA testing!row 37</t>
        </is>
      </c>
    </row>
    <row r="41" ht="29" customHeight="1" s="42">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Not Yet Run</t>
        </is>
      </c>
      <c r="O41" s="36" t="n"/>
      <c r="P41" s="36" t="inlineStr">
        <is>
          <t>K. QA testing!row 38</t>
        </is>
      </c>
    </row>
    <row r="42" ht="29" customHeight="1" s="42">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Not Yet Run</t>
        </is>
      </c>
      <c r="O42" s="36" t="n"/>
      <c r="P42" s="36" t="inlineStr">
        <is>
          <t>K. QA testing!row 39</t>
        </is>
      </c>
    </row>
    <row r="43" ht="29" customHeight="1" s="42">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Not Yet Run</t>
        </is>
      </c>
      <c r="O43" s="36" t="n"/>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Not Yet Run</t>
        </is>
      </c>
      <c r="O44" s="37" t="n"/>
      <c r="P44" s="37" t="inlineStr">
        <is>
          <t>A. Japanese language!row 22</t>
        </is>
      </c>
    </row>
    <row r="45" ht="29" customHeight="1" s="42">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Not Yet Run</t>
        </is>
      </c>
      <c r="O45" s="37" t="n"/>
      <c r="P45" s="37" t="inlineStr">
        <is>
          <t>A. Japanese language!row 36</t>
        </is>
      </c>
    </row>
    <row r="46" ht="29" customHeight="1" s="42">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Not Yet Run</t>
        </is>
      </c>
      <c r="O46" s="37" t="n"/>
      <c r="P46" s="37" t="inlineStr">
        <is>
          <t>A. Japanese language!row 37</t>
        </is>
      </c>
    </row>
    <row r="47" ht="43.5" customHeight="1" s="42">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Not Yet Run</t>
        </is>
      </c>
      <c r="O47" s="37" t="n"/>
      <c r="P47" s="37" t="inlineStr">
        <is>
          <t>A. Japanese language!row 38</t>
        </is>
      </c>
    </row>
    <row r="48" ht="43.5" customHeight="1" s="42">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Not Yet Run</t>
        </is>
      </c>
      <c r="O48" s="37" t="n"/>
      <c r="P48" s="37" t="inlineStr">
        <is>
          <t>A. Japanese language!row 39</t>
        </is>
      </c>
    </row>
    <row r="49" ht="29" customHeight="1" s="42">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Not Yet Run</t>
        </is>
      </c>
      <c r="O49" s="37" t="n"/>
      <c r="P49" s="37" t="inlineStr">
        <is>
          <t>A. Japanese language!row 40</t>
        </is>
      </c>
    </row>
    <row r="50" ht="29" customHeight="1" s="42">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Not Yet Run</t>
        </is>
      </c>
      <c r="O50" s="37" t="n"/>
      <c r="P50" s="37" t="inlineStr">
        <is>
          <t>A. Japanese language!row 45</t>
        </is>
      </c>
    </row>
    <row r="51" ht="29" customHeight="1" s="42">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Not Yet Run</t>
        </is>
      </c>
      <c r="O51" s="37" t="n"/>
      <c r="P51" s="37" t="inlineStr">
        <is>
          <t>B. JLPT format!row 10</t>
        </is>
      </c>
    </row>
    <row r="52" ht="29" customHeight="1" s="42">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Not Yet Run</t>
        </is>
      </c>
      <c r="O52" s="37" t="n"/>
      <c r="P52" s="37" t="inlineStr">
        <is>
          <t>B. JLPT format!row 12</t>
        </is>
      </c>
    </row>
    <row r="53" ht="29" customHeight="1" s="42">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Not Yet Run</t>
        </is>
      </c>
      <c r="O53" s="37" t="n"/>
      <c r="P53" s="37" t="inlineStr">
        <is>
          <t>B. JLPT format!row 13</t>
        </is>
      </c>
    </row>
    <row r="54" ht="29" customHeight="1" s="42">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Not Yet Run</t>
        </is>
      </c>
      <c r="O54" s="37" t="n"/>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Not Yet Run</t>
        </is>
      </c>
      <c r="O55" s="37" t="n"/>
      <c r="P55" s="37" t="inlineStr">
        <is>
          <t>C. Hindi locale!row 8</t>
        </is>
      </c>
    </row>
    <row r="56" ht="29" customHeight="1" s="42">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Not Yet Run</t>
        </is>
      </c>
      <c r="O56" s="37" t="n"/>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Not Yet Run</t>
        </is>
      </c>
      <c r="O57" s="37" t="n"/>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Not Yet Run</t>
        </is>
      </c>
      <c r="O58" s="37" t="n"/>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Not Yet Run</t>
        </is>
      </c>
      <c r="O59" s="37" t="n"/>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Not Yet Run</t>
        </is>
      </c>
      <c r="O60" s="37" t="n"/>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Not Yet Run</t>
        </is>
      </c>
      <c r="O61" s="37" t="n"/>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Not Yet Run</t>
        </is>
      </c>
      <c r="O62" s="37" t="n"/>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Not Yet Run</t>
        </is>
      </c>
      <c r="O63" s="37" t="n"/>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Not Yet Run</t>
        </is>
      </c>
      <c r="O64" s="37" t="n"/>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Not Yet Run</t>
        </is>
      </c>
      <c r="O65" s="37" t="n"/>
      <c r="P65" s="37" t="inlineStr">
        <is>
          <t>F. Security!row 15</t>
        </is>
      </c>
    </row>
    <row r="66" ht="29" customHeight="1" s="42">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Not Yet Run</t>
        </is>
      </c>
      <c r="O66" s="37" t="n"/>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Not Yet Run</t>
        </is>
      </c>
      <c r="O67" s="37" t="n"/>
      <c r="P67" s="37" t="inlineStr">
        <is>
          <t>G. Privacy and legal!row 15</t>
        </is>
      </c>
    </row>
    <row r="68" ht="29" customHeight="1" s="42">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Not Yet Run</t>
        </is>
      </c>
      <c r="O68" s="37" t="n"/>
      <c r="P68" s="37" t="inlineStr">
        <is>
          <t>H. Performance!row 5</t>
        </is>
      </c>
    </row>
    <row r="69" ht="29" customHeight="1" s="42">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Not Yet Run</t>
        </is>
      </c>
      <c r="O69" s="37" t="n"/>
      <c r="P69" s="37" t="inlineStr">
        <is>
          <t>H. Performance!row 6</t>
        </is>
      </c>
    </row>
    <row r="70" ht="29" customHeight="1" s="42">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Not Yet Run</t>
        </is>
      </c>
      <c r="O70" s="37" t="n"/>
      <c r="P70" s="37" t="inlineStr">
        <is>
          <t>H. Performance!row 7</t>
        </is>
      </c>
    </row>
    <row r="71" ht="29" customHeight="1" s="42">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Not Yet Run</t>
        </is>
      </c>
      <c r="O71" s="37" t="n"/>
      <c r="P71" s="37" t="inlineStr">
        <is>
          <t>H. Performance!row 8</t>
        </is>
      </c>
    </row>
    <row r="72" ht="29" customHeight="1" s="42">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Not Yet Run</t>
        </is>
      </c>
      <c r="O72" s="37" t="n"/>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Not Yet Run</t>
        </is>
      </c>
      <c r="O73" s="37" t="n"/>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Not Yet Run</t>
        </is>
      </c>
      <c r="O74" s="37" t="n"/>
      <c r="P74" s="37" t="inlineStr">
        <is>
          <t>I. Data engineering!row 7</t>
        </is>
      </c>
    </row>
    <row r="75" ht="29" customHeight="1" s="42">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Not Yet Run</t>
        </is>
      </c>
      <c r="O75" s="37" t="n"/>
      <c r="P75" s="37" t="inlineStr">
        <is>
          <t>I. Data engineering!row 20</t>
        </is>
      </c>
    </row>
    <row r="76" ht="29" customHeight="1" s="42">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Not Yet Run</t>
        </is>
      </c>
      <c r="O76" s="37" t="n"/>
      <c r="P76" s="37" t="inlineStr">
        <is>
          <t>I. Data engineering!row 22</t>
        </is>
      </c>
    </row>
    <row r="77" ht="29" customHeight="1" s="42">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Not Yet Run</t>
        </is>
      </c>
      <c r="O77" s="37" t="n"/>
      <c r="P77" s="37" t="inlineStr">
        <is>
          <t>I. Data engineering!row 23</t>
        </is>
      </c>
    </row>
    <row r="78" ht="29" customHeight="1" s="42">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Not Yet Run</t>
        </is>
      </c>
      <c r="O78" s="37" t="n"/>
      <c r="P78" s="37" t="inlineStr">
        <is>
          <t>J. Pedagogy!row 5</t>
        </is>
      </c>
    </row>
    <row r="79" ht="29" customHeight="1" s="42">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Not Yet Run</t>
        </is>
      </c>
      <c r="O79" s="37" t="n"/>
      <c r="P79" s="37" t="inlineStr">
        <is>
          <t>J. Pedagogy!row 6</t>
        </is>
      </c>
    </row>
    <row r="80" ht="43.5" customHeight="1" s="42">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Not Yet Run</t>
        </is>
      </c>
      <c r="O80" s="37" t="n"/>
      <c r="P80" s="37" t="inlineStr">
        <is>
          <t>J. Pedagogy!row 8</t>
        </is>
      </c>
    </row>
    <row r="81" ht="43.5" customHeight="1" s="42">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Not Yet Run</t>
        </is>
      </c>
      <c r="O81" s="37" t="n"/>
      <c r="P81" s="37" t="inlineStr">
        <is>
          <t>J. Pedagogy!row 9</t>
        </is>
      </c>
    </row>
    <row r="82" ht="29" customHeight="1" s="42">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Not Yet Run</t>
        </is>
      </c>
      <c r="O82" s="37" t="n"/>
      <c r="P82" s="37" t="inlineStr">
        <is>
          <t>J. Pedagogy!row 11</t>
        </is>
      </c>
    </row>
    <row r="83" ht="43.5" customHeight="1" s="42">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Not Yet Run</t>
        </is>
      </c>
      <c r="O83" s="37" t="n"/>
      <c r="P83" s="37" t="inlineStr">
        <is>
          <t>J. Pedagogy!row 12</t>
        </is>
      </c>
    </row>
    <row r="84" ht="29" customHeight="1" s="42">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Not Yet Run</t>
        </is>
      </c>
      <c r="O84" s="37" t="n"/>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Not Yet Run</t>
        </is>
      </c>
      <c r="O85" s="37" t="n"/>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Not Yet Run</t>
        </is>
      </c>
      <c r="O86" s="37" t="n"/>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Not Yet Run</t>
        </is>
      </c>
      <c r="O87" s="37" t="n"/>
      <c r="P87" s="37" t="inlineStr">
        <is>
          <t>K. QA testing!row 11</t>
        </is>
      </c>
    </row>
    <row r="88" ht="29" customHeight="1" s="42">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37" t="inlineStr">
        <is>
          <t>2026-05-17</t>
        </is>
      </c>
      <c r="P88" s="37" t="inlineStr">
        <is>
          <t>K. QA testing!row 22</t>
        </is>
      </c>
    </row>
    <row r="89" ht="29" customHeight="1" s="42">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Not Yet Run</t>
        </is>
      </c>
      <c r="O89" s="38" t="n"/>
      <c r="P89" s="38" t="inlineStr">
        <is>
          <t>A. Japanese language!row 20</t>
        </is>
      </c>
    </row>
    <row r="90" ht="29" customHeight="1" s="42">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Not Yet Run</t>
        </is>
      </c>
      <c r="O90" s="38" t="n"/>
      <c r="P90" s="38" t="inlineStr">
        <is>
          <t>B. JLPT format!row 6</t>
        </is>
      </c>
    </row>
    <row r="91" ht="29" customHeight="1" s="42">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Not Yet Run</t>
        </is>
      </c>
      <c r="O91" s="38" t="n"/>
      <c r="P91" s="38" t="inlineStr">
        <is>
          <t>I. Data engineering!row 24</t>
        </is>
      </c>
    </row>
    <row r="92" ht="29" customHeight="1" s="42">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Not Yet Run</t>
        </is>
      </c>
      <c r="O92" s="38" t="n"/>
      <c r="P92" s="38" t="inlineStr">
        <is>
          <t>J. Pedagogy!row 10</t>
        </is>
      </c>
    </row>
    <row r="93" ht="29" customHeight="1" s="42">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Not Yet Run</t>
        </is>
      </c>
      <c r="O93" s="38" t="n"/>
      <c r="P93" s="38" t="inlineStr">
        <is>
          <t>J. Pedagogy!row 14</t>
        </is>
      </c>
    </row>
    <row r="94" ht="43.5" customHeight="1" s="42">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Not Yet Run</t>
        </is>
      </c>
      <c r="O94" s="38" t="n"/>
      <c r="P94" s="38" t="inlineStr">
        <is>
          <t>J. Pedagogy!row 15</t>
        </is>
      </c>
    </row>
    <row r="95" ht="29" customHeight="1" s="42">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Not Yet Run</t>
        </is>
      </c>
      <c r="O95" s="38" t="n"/>
      <c r="P95" s="38" t="inlineStr">
        <is>
          <t>J. Pedagogy!row 16</t>
        </is>
      </c>
    </row>
    <row r="96" ht="29" customHeight="1" s="42">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Not Yet Run</t>
        </is>
      </c>
      <c r="O96" s="38" t="n"/>
      <c r="P96" s="38" t="inlineStr">
        <is>
          <t>J. Pedagogy!row 17</t>
        </is>
      </c>
    </row>
    <row r="97" ht="29" customHeight="1" s="42">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Not Yet Run</t>
        </is>
      </c>
      <c r="O97" s="38" t="n"/>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Not Yet Run</t>
        </is>
      </c>
      <c r="O98" s="39" t="n"/>
      <c r="P98" s="39" t="inlineStr">
        <is>
          <t>A. Japanese language!row 31</t>
        </is>
      </c>
    </row>
    <row r="99" ht="29" customHeight="1" s="42">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Not Yet Run</t>
        </is>
      </c>
      <c r="O99" s="39" t="n"/>
      <c r="P99" s="39" t="inlineStr">
        <is>
          <t>B. JLPT format!row 9</t>
        </is>
      </c>
    </row>
    <row r="100" ht="29" customHeight="1" s="42">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Not Yet Run</t>
        </is>
      </c>
      <c r="O100" s="39" t="n"/>
      <c r="P100" s="39" t="inlineStr">
        <is>
          <t>B. JLPT format!row 16</t>
        </is>
      </c>
    </row>
    <row r="101" ht="29" customHeight="1" s="42">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Not Yet Run</t>
        </is>
      </c>
      <c r="O101" s="39" t="n"/>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Not Yet Run</t>
        </is>
      </c>
      <c r="O102" s="39" t="n"/>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Not Yet Run</t>
        </is>
      </c>
      <c r="O103" s="39" t="n"/>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Not Yet Run</t>
        </is>
      </c>
      <c r="O104" s="39" t="n"/>
      <c r="P104" s="39" t="inlineStr">
        <is>
          <t>F. Security!row 12</t>
        </is>
      </c>
    </row>
    <row r="105" ht="29" customHeight="1" s="42">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Not Yet Run</t>
        </is>
      </c>
      <c r="O105" s="39" t="n"/>
      <c r="P105" s="39" t="inlineStr">
        <is>
          <t>H. Performance!row 9</t>
        </is>
      </c>
    </row>
    <row r="106" ht="29" customHeight="1" s="42">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Not Yet Run</t>
        </is>
      </c>
      <c r="O106" s="39" t="n"/>
      <c r="P106" s="39" t="inlineStr">
        <is>
          <t>H. Performance!row 26</t>
        </is>
      </c>
    </row>
    <row r="107" ht="29" customHeight="1" s="42">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Not Yet Run</t>
        </is>
      </c>
      <c r="O107" s="39" t="n"/>
      <c r="P107" s="39" t="inlineStr">
        <is>
          <t>H. Performance!row 27</t>
        </is>
      </c>
    </row>
    <row r="108" ht="29" customHeight="1" s="42">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Not Yet Run</t>
        </is>
      </c>
      <c r="O108" s="39" t="n"/>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Not Yet Run</t>
        </is>
      </c>
      <c r="O109" s="39" t="n"/>
      <c r="P109" s="39" t="inlineStr">
        <is>
          <t>I. Data engineering!row 15</t>
        </is>
      </c>
    </row>
    <row r="110" ht="29" customHeight="1" s="42">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Not Yet Run</t>
        </is>
      </c>
      <c r="O110" s="39" t="n"/>
      <c r="P110" s="39" t="inlineStr">
        <is>
          <t>J. Pedagogy!row 7</t>
        </is>
      </c>
    </row>
    <row r="111" ht="29" customHeight="1" s="42">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Not Yet Run</t>
        </is>
      </c>
      <c r="O111" s="39" t="n"/>
      <c r="P111" s="39" t="inlineStr">
        <is>
          <t>J. Pedagogy!row 18</t>
        </is>
      </c>
    </row>
    <row r="112" ht="29" customHeight="1" s="42">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Not Yet Run</t>
        </is>
      </c>
      <c r="O112" s="39" t="n"/>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Not Yet Run</t>
        </is>
      </c>
      <c r="O113" s="39" t="n"/>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Not Yet Run</t>
        </is>
      </c>
      <c r="O114" s="39" t="n"/>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Not Yet Run</t>
        </is>
      </c>
      <c r="O115" s="39" t="n"/>
      <c r="P115" s="39" t="inlineStr">
        <is>
          <t>M. Operations!row 13</t>
        </is>
      </c>
    </row>
    <row r="117">
      <c r="A117" s="40"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0"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A. Japanese language</t>
        </is>
      </c>
    </row>
    <row r="2" ht="36" customHeight="1" s="42">
      <c r="A2" s="44" t="inlineStr">
        <is>
          <t>Perspectives: Native Japanese teacher, JLPT-N5 specialist, pitch-accent, TTS-reviewer, sociolinguist, translator, counter specialist, kanji specialist, romaji, furigana</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2">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2">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2">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2">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2">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2">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2">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2">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2">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2">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2">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2">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2">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2">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2">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2">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2">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2">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2">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2">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2">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2">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2">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2">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2">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2">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2">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2">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2">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2">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2">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2">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2">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2">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2">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2">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2">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2">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2">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2">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2">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2">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2">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2">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2">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2">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2">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2">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2">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2">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2">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2">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2">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2">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2">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2">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2">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2">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2">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2">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2">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2">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2">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2">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2">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2">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2">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2">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2">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2">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2">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2">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2">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2">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2">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2">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2">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2">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2">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2">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2">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2">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2">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2">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2">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2">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2">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2">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2">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2">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2">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2">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2">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2">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2">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2">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2">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2">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2">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2">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2">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2">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2">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2">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2">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2">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2">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2">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2">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2">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2">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2">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2">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2">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B. JLPT format</t>
        </is>
      </c>
    </row>
    <row r="2" ht="36" customHeight="1" s="42">
      <c r="A2" s="44" t="inlineStr">
        <is>
          <t>Perspectives: JLPT exam-design, JEES-aligned, psychometrician, mock-exam timing specialists (perspectives 11-14)</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2">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2">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2">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2">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2">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2">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2">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2">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2">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2">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2">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2">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2">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2">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2">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2">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2">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2">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2">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C. Hindi locale</t>
        </is>
      </c>
    </row>
    <row r="2" ht="36" customHeight="1" s="42">
      <c r="A2" s="44" t="inlineStr">
        <is>
          <t>Perspectives: Native-Hindi reviewer, Hindi pedagogical terminology, Devanagari typography, Hindi register, EN↔HI bilingual (perspectives 15-19)</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2">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2">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2">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2">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2">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2">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2">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2">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2">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2">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2">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2">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2">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2">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2">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2">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2">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2">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2">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2">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2">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D. UX design</t>
        </is>
      </c>
    </row>
    <row r="2" ht="36" customHeight="1" s="42">
      <c r="A2" s="44" t="inlineStr">
        <is>
          <t>Perspectives: UI / UX designer, visual designer, interaction designer, IA, onboarding, cognitive-load, gamification, form-input, dark-mode (perspectives 20-28)</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2">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2">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2">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2">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2">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2">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2">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2">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2">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2">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2">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2">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2">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2">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2">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2">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2">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2">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2">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2">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2">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2">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2">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2">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2">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2">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2">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E. Accessibility</t>
        </is>
      </c>
    </row>
    <row r="2" ht="36" customHeight="1" s="42">
      <c r="A2" s="44" t="inlineStr">
        <is>
          <t>Perspectives: WCAG-AA reviewer, screen-reader (VoiceOver/NVDA/TalkBack), motor-impairment, cognitive-accessibility, hearing-impaired (perspectives 29-33)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2">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2">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2">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2">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2">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2">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2">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2">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2">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2">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2">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2">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2">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2">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2">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2">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2">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2">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F. Security</t>
        </is>
      </c>
    </row>
    <row r="2" ht="36" customHeight="1" s="42">
      <c r="A2" s="44" t="inlineStr">
        <is>
          <t>Perspectives: OWASP, CSP, supply-chain, secrets, penetration, GitHub Actions security (perspectives 34-39)</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2">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2">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2">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2">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2">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2">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2">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2">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2">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2">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2">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2">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2">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2">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2">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2">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2">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2">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2">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2">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2">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2">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2">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G. Privacy and legal</t>
        </is>
      </c>
    </row>
    <row r="2" ht="36" customHeight="1" s="42">
      <c r="A2" s="44" t="inlineStr">
        <is>
          <t>Perspectives: Privacy/GDPR/DPDP, cookie-consent, COPPA, license-compliance, trademark, advertising-claims (perspectives 40-45)</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2">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2">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2">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2">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2">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2">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2">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2">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2">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2">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2">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2">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2">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2">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2">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2">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H. Performance</t>
        </is>
      </c>
    </row>
    <row r="2" ht="36" customHeight="1" s="42">
      <c r="A2" s="44" t="inlineStr">
        <is>
          <t>Perspectives: Web-performance, audio-cache, PWA, cross-browser, mobile-responsive, font-rendering, i18n, SEO (perspectives 46-53)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2">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2">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2">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2">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2">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2">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2">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2">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2">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2">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2">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2">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2">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2">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2">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2">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2">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2">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2">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2">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2">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2">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2">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I. Data engineering</t>
        </is>
      </c>
    </row>
    <row r="2" ht="36" customHeight="1" s="42">
      <c r="A2" s="44" t="inlineStr">
        <is>
          <t>Perspectives: Schema validation, schema versioning, CACHE_VERSION, backup, build/CI (perspectives 54-57)</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2">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2">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2">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2">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2">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2">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2">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2">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2">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2">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2">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2">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2">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2">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2">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2">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2">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2">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2">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2">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2">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2">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2">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2">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2">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J. Pedagogy</t>
        </is>
      </c>
    </row>
    <row r="2" ht="36" customHeight="1" s="42">
      <c r="A2" s="44" t="inlineStr">
        <is>
          <t>Perspectives: SLA researcher, SRS algorithm, curriculum designer, assessment validity, comparative pedagogy, HI-L1 error anticipation (perspectives 58-63)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2">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2">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2">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2">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2">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2">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2">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2">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2">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2">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2">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2">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2">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2">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2">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2">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2">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2">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2">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2">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6"/>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K. QA testing</t>
        </is>
      </c>
    </row>
    <row r="2" ht="36" customHeight="1" s="42">
      <c r="A2" s="44" t="inlineStr">
        <is>
          <t>Perspectives: Exploratory tester, automated testing, visual regression, localization testing, audio playback (perspectives 64-68)</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2">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2">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2">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2">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2">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2">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2">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2">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2">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2">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2">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2">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2">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2">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2">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2">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2">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2">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2">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2">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2">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2">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2">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2">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2">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2">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2">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2">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2">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2">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2">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2">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2">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2">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2">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2">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2">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2">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2">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2">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2">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2">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2">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2">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2">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2">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2">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2">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2">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2">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2">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L. Cultural ethical</t>
        </is>
      </c>
    </row>
    <row r="2" ht="36" customHeight="1" s="42">
      <c r="A2" s="44" t="inlineStr">
        <is>
          <t>Perspectives: Cultural-sensitivity (JA + HI), AI-ethics/disclosure, trust-and-safety (perspectives 69-72)</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2">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2">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2">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2">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2">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2">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2">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2">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2">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2">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2">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M. Operations</t>
        </is>
      </c>
    </row>
    <row r="2" ht="36" customHeight="1" s="42">
      <c r="A2" s="44" t="inlineStr">
        <is>
          <t>Perspectives: DevOps/SRE, analytics, customer-support, documentation (perspectives 73-76)</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2">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2">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2">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2">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2">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2">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2">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2">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2">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2">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2">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2">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2">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E65" sqref="E65"/>
      <selection pane="bottomLeft" activeCell="E65" sqref="E65"/>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N. End-user POV</t>
        </is>
      </c>
    </row>
    <row r="2" ht="36" customHeight="1" s="42">
      <c r="A2" s="44" t="inlineStr">
        <is>
          <t>Perspectives: Primary-persona learner, self-study, classroom-instructor, returning-learner, bilingual-toggle, mobile/emerging-market, visually-impaired, cognitively-diverse (perspectives 77-84)</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2">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2">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2">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2">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2">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2">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2">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2">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2">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2">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2">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2">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2">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2">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2">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2">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56" activePane="bottomLeft" state="frozen"/>
      <selection activeCell="H24" sqref="H24"/>
      <selection pane="bottomLeft" activeCell="E65" sqref="E65"/>
    </sheetView>
  </sheetViews>
  <sheetFormatPr baseColWidth="8" defaultRowHeight="14.5"/>
  <cols>
    <col width="11.81640625" customWidth="1" style="48" min="1" max="1"/>
    <col width="14.54296875" customWidth="1" style="48" min="2" max="2"/>
    <col width="21.81640625" customWidth="1" style="48" min="3" max="3"/>
    <col width="40" customWidth="1" style="48" min="4" max="4"/>
    <col width="69.08984375" customWidth="1" style="48" min="5" max="5"/>
    <col width="13.6328125" customWidth="1" style="48" min="6" max="6"/>
    <col width="11.81640625" customWidth="1" style="48" min="7" max="7"/>
    <col width="15.453125" customWidth="1" style="48" min="8" max="8"/>
    <col width="8.7265625" customWidth="1" style="48" min="9" max="20"/>
    <col width="8.7265625" customWidth="1" style="48" min="21" max="16384"/>
  </cols>
  <sheetData>
    <row r="1" ht="28" customHeight="1" s="42">
      <c r="A1" s="47" t="inlineStr">
        <is>
          <t>User Reported Bugs</t>
        </is>
      </c>
    </row>
    <row r="3" ht="24" customHeight="1" s="42">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42">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42">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42">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42">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42">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42">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42">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42">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42">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42">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42">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42">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42">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42">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42">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42">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42">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42">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42">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42">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42">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42">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42">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42">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42">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42">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42">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42">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42">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42">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42">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42">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42">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42">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42">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42">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42">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42">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42">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42">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row>
    <row r="44" ht="320" customHeight="1" s="42">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42">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42">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42">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42">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42">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row>
    <row r="50" ht="409.5" customHeight="1" s="42">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row>
    <row r="51" ht="409.5" customHeight="1" s="42">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row>
    <row r="52" ht="409.5" customHeight="1" s="42">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row>
    <row r="53" ht="299" customHeight="1" s="42">
      <c r="A53" s="4">
        <f>"BUG-"&amp;TEXT(ROW()-3,"000")</f>
        <v/>
      </c>
      <c r="B53" s="32" t="n">
        <v>46159</v>
      </c>
      <c r="C53" s="4" t="inlineStr">
        <is>
          <t>Content audit (listening.json review)</t>
        </is>
      </c>
      <c r="D53" s="4" t="inlineStr">
        <is>
          <t>LISTEN-004 (FIXED 2026-05-17 — see AUDIO.md drift, not version.json) — listening.json has 50 items but version.json declares counts.listening=47 — count drift across files</t>
        </is>
      </c>
      <c r="E53" s="4" t="inlineStr">
        <is>
          <t>FILE: data/version.json + data/listening.json
STATUS: UNCHANGED from previous report (2026-05-17 re-audit). version.json still declares counts.listening=47.
  data/listening.json    item count:  50
  data/version.json      counts.listening:  47
Off by 3. The 3 most recent items (likely n5.listen.048, 049, 050) were added after the last version.json count update. The N5 home page fallback and the top-level level picker render this count, so users see "47 listening drills" but the data file has 50.
Fix direction: update version.json counts.listening = 50. Bump patch version. Add CHANGELOG entry.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[2026-05-17 close-out: charitable interpretation — version.json side verified clean across working-tree, full git history HEAD..HEAD~10, and live deployed site; counts.listening = 50 everywhere; JA-107 PASSES. The real drift was AUDIO.md line 52 ("47 listening items use 4 distinct VOICEVOX speakers") + the speaker table character-name mismatches. AUDIO.md rewritten with 50 items / 6 speakers / corrected character names (春日部つむぎ / 玄野武宏 / 雨晴はう / ずんだもん per BUG-053 catalog). New CI invariant JA-112 enforces AUDIO.md count claims match live data going forward; same INV-4 class as JA-47 (CONTENT-LICENSE.md) and JA-107 (version.json).]</t>
        </is>
      </c>
      <c r="F53" s="4" t="inlineStr">
        <is>
          <t>Medium</t>
        </is>
      </c>
      <c r="G53" s="4" t="inlineStr">
        <is>
          <t>P2</t>
        </is>
      </c>
      <c r="H53" s="4" t="inlineStr">
        <is>
          <t>Fixed</t>
        </is>
      </c>
    </row>
    <row r="54" ht="312" customHeight="1" s="42">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row>
    <row r="55" ht="390" customHeight="1" s="42">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row>
    <row r="56" ht="409.5" customHeight="1" s="42">
      <c r="A56" s="4">
        <f>"BUG-"&amp;TEXT(ROW()-3,"000")</f>
        <v/>
      </c>
      <c r="B56" s="32"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2026-05-17T04:35:26Z</dcterms:modified>
  <cp:lastModifiedBy>Srivastava, Gaurav</cp:lastModifiedBy>
</cp:coreProperties>
</file>