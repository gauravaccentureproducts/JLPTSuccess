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4" activeTab="15" autoFilterDateGrouping="1"/>
  </bookViews>
  <sheets>
    <sheet xmlns:r="http://schemas.openxmlformats.org/officeDocument/2006/relationships" name="Overview" sheetId="1" state="visible" r:id="rId1"/>
    <sheet xmlns:r="http://schemas.openxmlformats.org/officeDocument/2006/relationships" name="A. Japanese language" sheetId="2" state="visible" r:id="rId2"/>
    <sheet xmlns:r="http://schemas.openxmlformats.org/officeDocument/2006/relationships" name="B. JLPT format" sheetId="3" state="visible" r:id="rId3"/>
    <sheet xmlns:r="http://schemas.openxmlformats.org/officeDocument/2006/relationships" name="C. Hindi locale" sheetId="4" state="visible" r:id="rId4"/>
    <sheet xmlns:r="http://schemas.openxmlformats.org/officeDocument/2006/relationships" name="D. UX design" sheetId="5" state="visible" r:id="rId5"/>
    <sheet xmlns:r="http://schemas.openxmlformats.org/officeDocument/2006/relationships" name="E. Accessibility" sheetId="6" state="visible" r:id="rId6"/>
    <sheet xmlns:r="http://schemas.openxmlformats.org/officeDocument/2006/relationships" name="F. Security" sheetId="7" state="visible" r:id="rId7"/>
    <sheet xmlns:r="http://schemas.openxmlformats.org/officeDocument/2006/relationships" name="G. Privacy and legal" sheetId="8" state="visible" r:id="rId8"/>
    <sheet xmlns:r="http://schemas.openxmlformats.org/officeDocument/2006/relationships" name="H. Performance" sheetId="9" state="visible" r:id="rId9"/>
    <sheet xmlns:r="http://schemas.openxmlformats.org/officeDocument/2006/relationships" name="I. Data engineering" sheetId="10" state="visible" r:id="rId10"/>
    <sheet xmlns:r="http://schemas.openxmlformats.org/officeDocument/2006/relationships" name="J. Pedagogy" sheetId="11" state="visible" r:id="rId11"/>
    <sheet xmlns:r="http://schemas.openxmlformats.org/officeDocument/2006/relationships" name="K. QA testing" sheetId="12" state="visible" r:id="rId12"/>
    <sheet xmlns:r="http://schemas.openxmlformats.org/officeDocument/2006/relationships" name="L. Cultural ethical" sheetId="13" state="visible" r:id="rId13"/>
    <sheet xmlns:r="http://schemas.openxmlformats.org/officeDocument/2006/relationships" name="M. Operations" sheetId="14" state="visible" r:id="rId14"/>
    <sheet xmlns:r="http://schemas.openxmlformats.org/officeDocument/2006/relationships" name="N. End-user POV" sheetId="15" state="visible" r:id="rId15"/>
    <sheet xmlns:r="http://schemas.openxmlformats.org/officeDocument/2006/relationships" name="User Reported Bugs" sheetId="16" state="visible" r:id="rId16"/>
  </sheets>
  <definedNames>
    <definedName name="_xlnm._FilterDatabase" localSheetId="15" hidden="1">'User Reported Bugs'!$A$3:$H$25</definedName>
  </definedNames>
  <calcPr calcId="19102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Calibri"/>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1F3864"/>
      <sz val="11"/>
      <scheme val="minor"/>
    </font>
    <font>
      <name val="Calibri"/>
      <b val="1"/>
      <color rgb="FFFFFFFF"/>
      <sz val="16"/>
    </font>
    <font>
      <name val="Calibri"/>
      <family val="2"/>
      <i val="1"/>
      <color rgb="FF1F3864"/>
      <sz val="10"/>
      <scheme val="minor"/>
    </font>
    <font>
      <name val="Calibri"/>
      <family val="2"/>
      <color rgb="FF333333"/>
      <sz val="10"/>
      <scheme val="minor"/>
    </font>
    <font>
      <name val="Calibri"/>
      <b val="1"/>
      <color rgb="FF1F3864"/>
      <sz val="11"/>
    </font>
    <font>
      <b val="1"/>
    </font>
  </fonts>
  <fills count="7">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00D9E1F2"/>
        <bgColor rgb="00D9E1F2"/>
      </patternFill>
    </fill>
  </fills>
  <borders count="5">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s>
  <cellStyleXfs count="1">
    <xf numFmtId="0" fontId="0" fillId="0" borderId="0"/>
  </cellStyleXfs>
  <cellXfs count="27">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3" fillId="4" borderId="1" applyAlignment="1" pivotButton="0" quotePrefix="0" xfId="0">
      <alignment horizontal="center" vertical="center"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7" fillId="3" borderId="0" applyAlignment="1" pivotButton="0" quotePrefix="0" xfId="0">
      <alignment horizontal="left" vertical="center"/>
    </xf>
    <xf numFmtId="0" fontId="8" fillId="2" borderId="0" applyAlignment="1" pivotButton="0" quotePrefix="0" xfId="0">
      <alignment vertical="center" wrapText="1"/>
    </xf>
    <xf numFmtId="0" fontId="1" fillId="4" borderId="0" applyAlignment="1" pivotButton="0" quotePrefix="0" xfId="0">
      <alignment horizontal="center" vertical="center" wrapText="1"/>
    </xf>
    <xf numFmtId="0" fontId="1" fillId="4" borderId="1" applyAlignment="1" pivotButton="0" quotePrefix="0" xfId="0">
      <alignment horizontal="center" vertical="center" wrapText="1"/>
    </xf>
    <xf numFmtId="0" fontId="9" fillId="5" borderId="0" applyAlignment="1" pivotButton="0" quotePrefix="0" xfId="0">
      <alignment vertical="top"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10" fillId="2" borderId="4" pivotButton="0" quotePrefix="0" xfId="0"/>
    <xf numFmtId="0" fontId="6" fillId="2" borderId="4" pivotButton="0" quotePrefix="0" xfId="0"/>
    <xf numFmtId="0" fontId="10" fillId="2" borderId="4" applyAlignment="1" pivotButton="0" quotePrefix="0" xfId="0">
      <alignment horizontal="center"/>
    </xf>
    <xf numFmtId="0" fontId="2" fillId="3" borderId="0" applyAlignment="1" pivotButton="0" quotePrefix="0" xfId="0">
      <alignment horizontal="center" vertical="center"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11" fillId="6" borderId="0" applyAlignment="1" pivotButton="0" quotePrefix="0" xfId="0">
      <alignment horizontal="left" vertical="top" wrapText="1"/>
    </xf>
    <xf numFmtId="0" fontId="0" fillId="0" borderId="0" applyAlignment="1" pivotButton="0" quotePrefix="0" xfId="0">
      <alignment vertical="top" wrapText="1"/>
    </xf>
  </cellXfs>
  <cellStyles count="1">
    <cellStyle name="Normal" xfId="0" builtinId="0"/>
  </cellStyles>
  <dxfs count="270">
    <dxf>
      <fill>
        <patternFill patternType="solid">
          <fgColor indexed="64"/>
          <bgColor rgb="FFF2F2F2"/>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595959"/>
      </font>
      <fill>
        <patternFill patternType="solid">
          <fgColor indexed="64"/>
          <bgColor rgb="FFD9D9D9"/>
        </patternFill>
      </fill>
    </dxf>
    <dxf>
      <font>
        <b val="1"/>
        <color rgb="FF375623"/>
      </font>
      <fill>
        <patternFill patternType="solid">
          <fgColor indexed="64"/>
          <bgColor rgb="FFA9D08E"/>
        </patternFill>
      </fill>
    </dxf>
    <dxf>
      <font>
        <b val="1"/>
        <color rgb="FF006100"/>
      </font>
      <fill>
        <patternFill patternType="solid">
          <fgColor indexed="64"/>
          <bgColor rgb="FFC6EFCE"/>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843C0C"/>
      </font>
      <fill>
        <patternFill patternType="solid">
          <fgColor indexed="64"/>
          <bgColor rgb="FFF8CBAD"/>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843C0C"/>
      </font>
      <fill>
        <patternFill patternType="solid">
          <fgColor indexed="64"/>
          <bgColor rgb="FFF8CBAD"/>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0"/>
  <sheetViews>
    <sheetView workbookViewId="0">
      <pane ySplit="5" topLeftCell="A6" activePane="bottomLeft" state="frozen"/>
      <selection pane="bottomLeft" activeCell="H24" sqref="H24"/>
    </sheetView>
  </sheetViews>
  <sheetFormatPr baseColWidth="8" defaultRowHeight="14.5"/>
  <cols>
    <col width="29.08984375" customWidth="1" min="1" max="1"/>
    <col width="87.26953125" customWidth="1" min="2" max="2"/>
    <col width="20" customWidth="1" min="3" max="3"/>
    <col width="23.6328125" customWidth="1" min="4" max="4"/>
  </cols>
  <sheetData>
    <row r="1" ht="28" customHeight="1">
      <c r="A1" s="9" t="inlineStr">
        <is>
          <t>JLPT N5 Tutor — Test Scenarios by Specialist Perspective</t>
        </is>
      </c>
    </row>
    <row r="2" ht="24" customHeight="1">
      <c r="A2" s="10" t="inlineStr">
        <is>
          <t>Generated from the 84-perspective list (categories A–N). Each tab = one category.</t>
        </is>
      </c>
    </row>
    <row r="3" ht="60" customHeight="1">
      <c r="A3" s="13" t="inlineStr">
        <is>
          <t>Writing-discipline note: every scenario phrasing is bounded — names exactly what is scanned/sampled. No claim implies universal coverage. A future JLPT exam, native reviewer, or institutional adopter may surface item classes outside what is captured here.</t>
        </is>
      </c>
    </row>
    <row r="4"/>
    <row r="5" ht="24" customHeight="1">
      <c r="A5" s="11" t="inlineStr">
        <is>
          <t>Tab</t>
        </is>
      </c>
      <c r="B5" s="11" t="inlineStr">
        <is>
          <t>Perspectives covered (with #)</t>
        </is>
      </c>
      <c r="C5" s="11" t="inlineStr">
        <is>
          <t>Scenario count</t>
        </is>
      </c>
      <c r="D5" s="11" t="inlineStr">
        <is>
          <t>Priority HIGH count</t>
        </is>
      </c>
    </row>
    <row r="6" ht="50" customHeight="1">
      <c r="A6" s="14" t="inlineStr">
        <is>
          <t>A. Japanese language</t>
        </is>
      </c>
      <c r="B6" s="5">
        <f>COUNTA('A. Japanese language'!A5:A1000)</f>
        <v/>
      </c>
      <c r="C6" s="6">
        <f>COUNTIF('A. Japanese language'!G5:G1000, "P1")</f>
        <v/>
      </c>
      <c r="D6" s="6">
        <f>COUNTIF('A. Japanese language'!G5:G1000,"High")</f>
        <v/>
      </c>
    </row>
    <row r="7" ht="50" customHeight="1">
      <c r="A7" s="14" t="inlineStr">
        <is>
          <t>B. JLPT format</t>
        </is>
      </c>
      <c r="B7" s="5">
        <f>COUNTA('B. JLPT format'!A5:A1000)</f>
        <v/>
      </c>
      <c r="C7" s="6">
        <f>COUNTIF('B. JLPT format'!G5:G1000, "P1")</f>
        <v/>
      </c>
      <c r="D7" s="6">
        <f>COUNTIF('B. JLPT format'!G5:G1000,"High")</f>
        <v/>
      </c>
    </row>
    <row r="8" ht="50" customHeight="1">
      <c r="A8" s="14" t="inlineStr">
        <is>
          <t>C. Hindi locale</t>
        </is>
      </c>
      <c r="B8" s="5">
        <f>COUNTA('C. Hindi locale'!A5:A1000)</f>
        <v/>
      </c>
      <c r="C8" s="6">
        <f>COUNTIF('C. Hindi locale'!G5:G1000, "P1")</f>
        <v/>
      </c>
      <c r="D8" s="6">
        <f>COUNTIF('C. Hindi locale'!G5:G1000,"High")</f>
        <v/>
      </c>
    </row>
    <row r="9" ht="50" customHeight="1">
      <c r="A9" s="14" t="inlineStr">
        <is>
          <t>D. UX design</t>
        </is>
      </c>
      <c r="B9" s="5">
        <f>COUNTA('D. UX design'!A5:A1000)</f>
        <v/>
      </c>
      <c r="C9" s="6">
        <f>COUNTIF('D. UX design'!G5:G1000, "P1")</f>
        <v/>
      </c>
      <c r="D9" s="6">
        <f>COUNTIF('D. UX design'!G5:G1000,"High")</f>
        <v/>
      </c>
    </row>
    <row r="10" ht="50" customHeight="1">
      <c r="A10" s="14" t="inlineStr">
        <is>
          <t>E. Accessibility</t>
        </is>
      </c>
      <c r="B10" s="5">
        <f>COUNTA('E. Accessibility'!A5:A1000)</f>
        <v/>
      </c>
      <c r="C10" s="6">
        <f>COUNTIF('E. Accessibility'!G5:G1000, "P1")</f>
        <v/>
      </c>
      <c r="D10" s="6">
        <f>COUNTIF('E. Accessibility'!G5:G1000,"High")</f>
        <v/>
      </c>
    </row>
    <row r="11" ht="50" customHeight="1">
      <c r="A11" s="14" t="inlineStr">
        <is>
          <t>F. Security</t>
        </is>
      </c>
      <c r="B11" s="5">
        <f>COUNTA('F. Security'!A5:A1000)</f>
        <v/>
      </c>
      <c r="C11" s="6">
        <f>COUNTIF('F. Security'!G5:G1000, "P1")</f>
        <v/>
      </c>
      <c r="D11" s="6">
        <f>COUNTIF('F. Security'!G5:G1000,"High")</f>
        <v/>
      </c>
    </row>
    <row r="12" ht="50" customHeight="1">
      <c r="A12" s="14" t="inlineStr">
        <is>
          <t>G. Privacy and legal</t>
        </is>
      </c>
      <c r="B12" s="5">
        <f>COUNTA('G. Privacy and legal'!A5:A1000)</f>
        <v/>
      </c>
      <c r="C12" s="6">
        <f>COUNTIF('G. Privacy and legal'!G5:G1000, "P1")</f>
        <v/>
      </c>
      <c r="D12" s="6">
        <f>COUNTIF('G. Privacy and legal'!G5:G1000,"High")</f>
        <v/>
      </c>
    </row>
    <row r="13" ht="50" customHeight="1">
      <c r="A13" s="14" t="inlineStr">
        <is>
          <t>H. Performance</t>
        </is>
      </c>
      <c r="B13" s="5">
        <f>COUNTA('H. Performance'!A5:A1000)</f>
        <v/>
      </c>
      <c r="C13" s="6">
        <f>COUNTIF('H. Performance'!G5:G1000, "P1")</f>
        <v/>
      </c>
      <c r="D13" s="6">
        <f>COUNTIF('H. Performance'!G5:G1000,"High")</f>
        <v/>
      </c>
    </row>
    <row r="14" ht="50" customHeight="1">
      <c r="A14" s="14" t="inlineStr">
        <is>
          <t>I. Data engineering</t>
        </is>
      </c>
      <c r="B14" s="5">
        <f>COUNTA('I. Data engineering'!A5:A1000)</f>
        <v/>
      </c>
      <c r="C14" s="6">
        <f>COUNTIF('I. Data engineering'!G5:G1000, "P1")</f>
        <v/>
      </c>
      <c r="D14" s="6">
        <f>COUNTIF('I. Data engineering'!G5:G1000,"High")</f>
        <v/>
      </c>
    </row>
    <row r="15" ht="50" customHeight="1">
      <c r="A15" s="14" t="inlineStr">
        <is>
          <t>J. Pedagogy</t>
        </is>
      </c>
      <c r="B15" s="5">
        <f>COUNTA('J. Pedagogy'!A5:A1000)</f>
        <v/>
      </c>
      <c r="C15" s="6">
        <f>COUNTIF('J. Pedagogy'!G5:G1000, "P1")</f>
        <v/>
      </c>
      <c r="D15" s="6">
        <f>COUNTIF('J. Pedagogy'!G5:G1000,"High")</f>
        <v/>
      </c>
    </row>
    <row r="16" ht="50" customHeight="1">
      <c r="A16" s="14" t="inlineStr">
        <is>
          <t>K. QA testing</t>
        </is>
      </c>
      <c r="B16" s="5">
        <f>COUNTA('K. QA testing'!A5:A1000)</f>
        <v/>
      </c>
      <c r="C16" s="6">
        <f>COUNTIF('K. QA testing'!G5:G1000, "P1")</f>
        <v/>
      </c>
      <c r="D16" s="6">
        <f>COUNTIF('K. QA testing'!G5:G1000,"High")</f>
        <v/>
      </c>
    </row>
    <row r="17" ht="50" customHeight="1">
      <c r="A17" s="14" t="inlineStr">
        <is>
          <t>L. Cultural ethical</t>
        </is>
      </c>
      <c r="B17" s="5">
        <f>COUNTA('L. Cultural ethical'!A5:A1000)</f>
        <v/>
      </c>
      <c r="C17" s="6">
        <f>COUNTIF('L. Cultural ethical'!G5:G1000, "P1")</f>
        <v/>
      </c>
      <c r="D17" s="6">
        <f>COUNTIF('L. Cultural ethical'!G5:G1000,"High")</f>
        <v/>
      </c>
    </row>
    <row r="18" ht="50" customHeight="1">
      <c r="A18" s="14" t="inlineStr">
        <is>
          <t>M. Operations</t>
        </is>
      </c>
      <c r="B18" s="5">
        <f>COUNTA('M. Operations'!A5:A1000)</f>
        <v/>
      </c>
      <c r="C18" s="6">
        <f>COUNTIF('M. Operations'!G5:G1000, "P1")</f>
        <v/>
      </c>
      <c r="D18" s="6">
        <f>COUNTIF('M. Operations'!G5:G1000,"High")</f>
        <v/>
      </c>
    </row>
    <row r="19" ht="50" customHeight="1" thickBot="1">
      <c r="A19" s="15" t="inlineStr">
        <is>
          <t>N. End-user POV</t>
        </is>
      </c>
      <c r="B19" s="16">
        <f>COUNTA('N. End-user POV'!A5:A1000)</f>
        <v/>
      </c>
      <c r="C19" s="17">
        <f>COUNTIF('N. End-user POV'!G5:G1000, "P1")</f>
        <v/>
      </c>
      <c r="D19" s="17">
        <f>COUNTIF('N. End-user POV'!G5:G1000,"High")</f>
        <v/>
      </c>
    </row>
    <row r="20" ht="15.5" customHeight="1" thickBot="1" thickTop="1">
      <c r="A20" s="18" t="inlineStr">
        <is>
          <t>TOTAL</t>
        </is>
      </c>
      <c r="B20" s="19" t="n"/>
      <c r="C20" s="20">
        <f>SUM(C6:C19)</f>
        <v/>
      </c>
      <c r="D20" s="20">
        <f>SUM(D6:D19)</f>
        <v/>
      </c>
    </row>
    <row r="21" ht="15" customHeight="1"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5"/>
  <sheetViews>
    <sheetView workbookViewId="0">
      <pane ySplit="4" topLeftCell="A5" activePane="bottomLeft" state="frozen"/>
      <selection pane="bottomLeft" activeCell="H24" sqref="H24"/>
    </sheetView>
  </sheetViews>
  <sheetFormatPr baseColWidth="8" defaultRowHeight="14.5"/>
  <cols>
    <col width="10" customWidth="1" min="1" max="1"/>
    <col width="19.08984375" customWidth="1" min="2" max="2"/>
    <col width="9.08984375" customWidth="1" min="3" max="3"/>
    <col width="43.6328125" customWidth="1" min="4" max="4"/>
    <col width="50.90625" customWidth="1" min="5" max="5"/>
    <col width="40" customWidth="1" min="6" max="6"/>
    <col width="14.54296875" customWidth="1" min="7" max="7"/>
    <col width="16.36328125" customWidth="1" min="8" max="8"/>
    <col width="14.54296875" customWidth="1" min="9" max="9"/>
    <col width="32.7265625" customWidth="1" min="10" max="10"/>
    <col width="16" customWidth="1" min="11" max="11"/>
    <col width="24" customWidth="1" min="12" max="12"/>
    <col width="32" customWidth="1" min="13" max="13"/>
    <col width="14" customWidth="1" min="14" max="14"/>
    <col width="14" customWidth="1" min="15" max="15"/>
    <col width="18" customWidth="1" min="16" max="16"/>
    <col width="16" customWidth="1" min="17" max="17"/>
    <col width="12" customWidth="1" min="18" max="18"/>
  </cols>
  <sheetData>
    <row r="1" ht="28" customHeight="1">
      <c r="A1" s="9" t="inlineStr">
        <is>
          <t>A. Japanese language</t>
        </is>
      </c>
    </row>
    <row r="2" ht="36" customHeight="1">
      <c r="A2" s="10" t="inlineStr">
        <is>
          <t>Perspectives: Native Japanese teacher, JLPT-N5 specialist, pitch-accent, TTS-reviewer, sociolinguist, translator, counter specialist, kanji specialist, romaji, furigana</t>
        </is>
      </c>
    </row>
    <row r="4" ht="24" customHeight="1">
      <c r="A4" s="12" t="inlineStr">
        <is>
          <t>ID</t>
        </is>
      </c>
      <c r="B4" s="12" t="inlineStr">
        <is>
          <t>Sub-category</t>
        </is>
      </c>
      <c r="C4" s="12" t="inlineStr">
        <is>
          <t>Persp #</t>
        </is>
      </c>
      <c r="D4" s="12" t="inlineStr">
        <is>
          <t>Scenario</t>
        </is>
      </c>
      <c r="E4" s="12" t="inlineStr">
        <is>
          <t>Test steps</t>
        </is>
      </c>
      <c r="F4" s="12" t="inlineStr">
        <is>
          <t>Expected result</t>
        </is>
      </c>
      <c r="G4" s="12" t="inlineStr">
        <is>
          <t>Priority</t>
        </is>
      </c>
      <c r="H4" s="12" t="inlineStr">
        <is>
          <t>Severity if fails</t>
        </is>
      </c>
      <c r="I4" s="12" t="inlineStr">
        <is>
          <t>Test type</t>
        </is>
      </c>
      <c r="J4" s="12" t="inlineStr">
        <is>
          <t>Notes</t>
        </is>
      </c>
      <c r="K4" s="25" t="inlineStr">
        <is>
          <t>Estimated effort</t>
        </is>
      </c>
      <c r="L4" s="25" t="inlineStr">
        <is>
          <t>Owner / role</t>
        </is>
      </c>
      <c r="M4" s="25" t="inlineStr">
        <is>
          <t>Tools / scripts required</t>
        </is>
      </c>
      <c r="N4" s="25" t="inlineStr">
        <is>
          <t>Last run date</t>
        </is>
      </c>
      <c r="O4" s="25" t="inlineStr">
        <is>
          <t>Last run result</t>
        </is>
      </c>
      <c r="P4" s="25" t="inlineStr">
        <is>
          <t>Tracker link</t>
        </is>
      </c>
      <c r="Q4" s="25" t="inlineStr">
        <is>
          <t>Depends on</t>
        </is>
      </c>
      <c r="R4" s="25" t="inlineStr">
        <is>
          <t>Coverage %</t>
        </is>
      </c>
    </row>
    <row r="5" ht="36" customHeight="1">
      <c r="A5" s="7" t="inlineStr">
        <is>
          <t>A-001</t>
        </is>
      </c>
      <c r="B5" s="5" t="inlineStr">
        <is>
          <t>Naturalness</t>
        </is>
      </c>
      <c r="C5" s="6" t="inlineStr">
        <is>
          <t>1</t>
        </is>
      </c>
      <c r="D5" s="5" t="inlineStr">
        <is>
          <t>Random-sample 200 vocab examples for native-speaker naturalness</t>
        </is>
      </c>
      <c r="E5" s="5"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5" t="inlineStr">
        <is>
          <t>≥98% NATURAL, 0 UNNATURAL with high confidence</t>
        </is>
      </c>
      <c r="G5" s="6" t="inlineStr">
        <is>
          <t>P2</t>
        </is>
      </c>
      <c r="H5" s="6" t="inlineStr">
        <is>
          <t>Major</t>
        </is>
      </c>
      <c r="I5" s="6" t="inlineStr">
        <is>
          <t>Manual</t>
        </is>
      </c>
      <c r="J5" s="5"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t>
        </is>
      </c>
      <c r="L5" t="inlineStr">
        <is>
          <t>Native Japanese teacher</t>
        </is>
      </c>
      <c r="O5" t="inlineStr">
        <is>
          <t>Not Yet Run</t>
        </is>
      </c>
      <c r="R5" t="inlineStr">
        <is>
          <t>0%</t>
        </is>
      </c>
    </row>
    <row r="6" ht="43" customHeight="1">
      <c r="A6" s="7" t="inlineStr">
        <is>
          <t>A-002</t>
        </is>
      </c>
      <c r="B6" s="5" t="inlineStr">
        <is>
          <t>Naturalness</t>
        </is>
      </c>
      <c r="C6" s="6" t="inlineStr">
        <is>
          <t>1</t>
        </is>
      </c>
      <c r="D6" s="5" t="inlineStr">
        <is>
          <t>Random-sample 100 grammar pattern examples for register coherence</t>
        </is>
      </c>
      <c r="E6" s="5" t="inlineStr">
        <is>
          <t>1. Random-sample 100 grammar.json examples
2. Verify register inside each example is consistent
3. Flag mixed plain だ + polite です</t>
        </is>
      </c>
      <c r="F6" s="5" t="inlineStr">
        <is>
          <t>0 register-mixing within an example</t>
        </is>
      </c>
      <c r="G6" s="6" t="inlineStr">
        <is>
          <t>P2</t>
        </is>
      </c>
      <c r="H6" s="6" t="inlineStr">
        <is>
          <t>Major</t>
        </is>
      </c>
      <c r="I6" s="6" t="inlineStr">
        <is>
          <t>Manual</t>
        </is>
      </c>
      <c r="J6" s="5" t="inlineStr">
        <is>
          <t>Programmatic L4 check covers across-passage; intra-example may differ</t>
        </is>
      </c>
      <c r="L6" t="inlineStr">
        <is>
          <t>Native Japanese teacher</t>
        </is>
      </c>
      <c r="O6" t="inlineStr">
        <is>
          <t>Not Yet Run</t>
        </is>
      </c>
      <c r="R6" t="inlineStr">
        <is>
          <t>0%</t>
        </is>
      </c>
    </row>
    <row r="7" ht="37" customHeight="1">
      <c r="A7" s="7" t="inlineStr">
        <is>
          <t>A-003</t>
        </is>
      </c>
      <c r="B7" s="5" t="inlineStr">
        <is>
          <t>Naturalness</t>
        </is>
      </c>
      <c r="C7" s="6" t="inlineStr">
        <is>
          <t>1</t>
        </is>
      </c>
      <c r="D7" s="5" t="inlineStr">
        <is>
          <t>Sample 50 listening scripts for cross-line register coherence</t>
        </is>
      </c>
      <c r="E7" s="5" t="inlineStr">
        <is>
          <t>1. Pull 50 listening.json items
2. Native teacher reads full dialogue
3. Flag unintended polite/casual switching</t>
        </is>
      </c>
      <c r="F7" s="5" t="inlineStr">
        <is>
          <t>Register changes only when narratively justified</t>
        </is>
      </c>
      <c r="G7" s="6" t="inlineStr">
        <is>
          <t>P2</t>
        </is>
      </c>
      <c r="H7" s="6" t="inlineStr">
        <is>
          <t>Major</t>
        </is>
      </c>
      <c r="I7" s="6" t="inlineStr">
        <is>
          <t>Manual</t>
        </is>
      </c>
      <c r="J7" s="5" t="inlineStr">
        <is>
          <t>Dialogue-level not currently checked</t>
        </is>
      </c>
      <c r="L7" t="inlineStr">
        <is>
          <t>Native Japanese teacher</t>
        </is>
      </c>
      <c r="O7" t="inlineStr">
        <is>
          <t>Not Yet Run</t>
        </is>
      </c>
      <c r="R7" t="inlineStr">
        <is>
          <t>0%</t>
        </is>
      </c>
    </row>
    <row r="8" ht="35" customHeight="1">
      <c r="A8" s="7" t="inlineStr">
        <is>
          <t>A-004</t>
        </is>
      </c>
      <c r="B8" s="5" t="inlineStr">
        <is>
          <t>Naturalness</t>
        </is>
      </c>
      <c r="C8" s="6" t="inlineStr">
        <is>
          <t>1</t>
        </is>
      </c>
      <c r="D8" s="5" t="inlineStr">
        <is>
          <t>Sample 80 reading passages for paragraph-flow naturalness</t>
        </is>
      </c>
      <c r="E8" s="5" t="inlineStr">
        <is>
          <t>1. Pull all 54 reading.json passages + 26 dokkai
2. Verify sentence-to-sentence cohesion (接続 / 指示 / 省略 use)</t>
        </is>
      </c>
      <c r="F8" s="5" t="inlineStr">
        <is>
          <t>All passages flow as a native author would write them</t>
        </is>
      </c>
      <c r="G8" s="6" t="inlineStr">
        <is>
          <t>P2</t>
        </is>
      </c>
      <c r="H8" s="6" t="inlineStr">
        <is>
          <t>Major</t>
        </is>
      </c>
      <c r="I8" s="6" t="inlineStr">
        <is>
          <t>Manual</t>
        </is>
      </c>
      <c r="J8" s="5" t="inlineStr">
        <is>
          <t>No automated check today — manual only.</t>
        </is>
      </c>
      <c r="L8" t="inlineStr">
        <is>
          <t>Native Japanese teacher</t>
        </is>
      </c>
      <c r="O8" t="inlineStr">
        <is>
          <t>Not Yet Run</t>
        </is>
      </c>
      <c r="R8" t="inlineStr">
        <is>
          <t>0%</t>
        </is>
      </c>
    </row>
    <row r="9" ht="48" customHeight="1">
      <c r="A9" s="7" t="inlineStr">
        <is>
          <t>A-005</t>
        </is>
      </c>
      <c r="B9" s="5" t="inlineStr">
        <is>
          <t>Particles</t>
        </is>
      </c>
      <c r="C9" s="6" t="inlineStr">
        <is>
          <t>1</t>
        </is>
      </c>
      <c r="D9" s="5" t="inlineStr">
        <is>
          <t>は vs が discourse-choice in topic-introduction contexts</t>
        </is>
      </c>
      <c r="E9" s="5" t="inlineStr">
        <is>
          <t>1. Filter all sentences containing は OR が as topic marker (not contrast/exclusive)
2. Verify per-context: は = known, が = new info
3. Flag misuse</t>
        </is>
      </c>
      <c r="F9" s="5" t="inlineStr">
        <is>
          <t>0 discourse-incorrect は/が in shipped sentences</t>
        </is>
      </c>
      <c r="G9" s="6" t="inlineStr">
        <is>
          <t>P2</t>
        </is>
      </c>
      <c r="H9" s="6" t="inlineStr">
        <is>
          <t>Major</t>
        </is>
      </c>
      <c r="I9" s="6" t="inlineStr">
        <is>
          <t>Manual</t>
        </is>
      </c>
      <c r="J9" s="5" t="inlineStr">
        <is>
          <t>Currently listed as Not Checked / requires semantic context</t>
        </is>
      </c>
      <c r="L9" t="inlineStr">
        <is>
          <t>Native Japanese teacher</t>
        </is>
      </c>
      <c r="O9" t="inlineStr">
        <is>
          <t>Not Yet Run</t>
        </is>
      </c>
      <c r="R9" t="inlineStr">
        <is>
          <t>0%</t>
        </is>
      </c>
    </row>
    <row r="10" ht="32" customHeight="1">
      <c r="A10" s="7" t="inlineStr">
        <is>
          <t>A-006</t>
        </is>
      </c>
      <c r="B10" s="5" t="inlineStr">
        <is>
          <t>Particles</t>
        </is>
      </c>
      <c r="C10" s="6" t="inlineStr">
        <is>
          <t>1</t>
        </is>
      </c>
      <c r="D10" s="5" t="inlineStr">
        <is>
          <t>に vs で disambiguation for movement vs activity locations</t>
        </is>
      </c>
      <c r="E10" s="5" t="inlineStr">
        <is>
          <t>1. Filter sentences with both に + で
2. Verify each particle's role per verb
3. Flag swapped usage</t>
        </is>
      </c>
      <c r="F10" s="5" t="inlineStr">
        <is>
          <t>0 swapped に/で usage</t>
        </is>
      </c>
      <c r="G10" s="6" t="inlineStr">
        <is>
          <t>P2</t>
        </is>
      </c>
      <c r="H10" s="6" t="inlineStr">
        <is>
          <t>Major</t>
        </is>
      </c>
      <c r="I10" s="6" t="inlineStr">
        <is>
          <t>Manual</t>
        </is>
      </c>
      <c r="J10" s="5" t="inlineStr">
        <is>
          <t>AUDIT-COVERAGE flags this dimension explicitly</t>
        </is>
      </c>
      <c r="L10" t="inlineStr">
        <is>
          <t>Native Japanese teacher</t>
        </is>
      </c>
      <c r="O10" t="inlineStr">
        <is>
          <t>Not Yet Run</t>
        </is>
      </c>
      <c r="R10" t="inlineStr">
        <is>
          <t>0%</t>
        </is>
      </c>
    </row>
    <row r="11" ht="30" customHeight="1">
      <c r="A11" s="7" t="inlineStr">
        <is>
          <t>A-007</t>
        </is>
      </c>
      <c r="B11" s="5" t="inlineStr">
        <is>
          <t>Particles</t>
        </is>
      </c>
      <c r="C11" s="6" t="inlineStr">
        <is>
          <t>1</t>
        </is>
      </c>
      <c r="D11" s="5" t="inlineStr">
        <is>
          <t>を vs が with potential-form verbs (好き / できる / わかる)</t>
        </is>
      </c>
      <c r="E11" s="5" t="inlineStr">
        <is>
          <t>1. Scan all sentences with 好き / できる / わかる / ほしい
2. Confirm particle = が</t>
        </is>
      </c>
      <c r="F11" s="5" t="inlineStr">
        <is>
          <t>All stative-adj + want-verb sentences use が</t>
        </is>
      </c>
      <c r="G11" s="6" t="inlineStr">
        <is>
          <t>P1</t>
        </is>
      </c>
      <c r="H11" s="6" t="inlineStr">
        <is>
          <t>Critical</t>
        </is>
      </c>
      <c r="I11" s="6" t="inlineStr">
        <is>
          <t>Auto+Manual</t>
        </is>
      </c>
      <c r="J11" s="5" t="inlineStr">
        <is>
          <t>JA-88 already locks the 14 named patterns; this is the extension scan</t>
        </is>
      </c>
      <c r="L11" t="inlineStr">
        <is>
          <t>Native Japanese teacher</t>
        </is>
      </c>
      <c r="O11" t="inlineStr">
        <is>
          <t>Not Yet Run</t>
        </is>
      </c>
      <c r="R11" t="inlineStr">
        <is>
          <t>0%</t>
        </is>
      </c>
    </row>
    <row r="12" ht="42" customHeight="1">
      <c r="A12" s="7" t="inlineStr">
        <is>
          <t>A-008</t>
        </is>
      </c>
      <c r="B12" s="5" t="inlineStr">
        <is>
          <t>Conjugation</t>
        </is>
      </c>
      <c r="C12" s="6" t="inlineStr">
        <is>
          <t>1</t>
        </is>
      </c>
      <c r="D12" s="5" t="inlineStr">
        <is>
          <t>Verb-class accuracy: dictionary-form vs class tag</t>
        </is>
      </c>
      <c r="E12" s="5" t="inlineStr">
        <is>
          <t>1. For every vocab verb entry, verify pos.verb_class matches dictionary-form shape
2. Flag mismatches (e.g., 帰る tagged ichidan)</t>
        </is>
      </c>
      <c r="F12" s="5" t="inlineStr">
        <is>
          <t>0 mis-tagged verbs</t>
        </is>
      </c>
      <c r="G12" s="6" t="inlineStr">
        <is>
          <t>P1</t>
        </is>
      </c>
      <c r="H12" s="6" t="inlineStr">
        <is>
          <t>Critical</t>
        </is>
      </c>
      <c r="I12" s="6" t="inlineStr">
        <is>
          <t>Auto</t>
        </is>
      </c>
      <c r="J12" s="5" t="inlineStr">
        <is>
          <t>Subset CI-enforced; corner cases (special-ichidan-looking godan) may slip</t>
        </is>
      </c>
      <c r="L12" t="inlineStr">
        <is>
          <t>Native Japanese teacher</t>
        </is>
      </c>
      <c r="M12" t="inlineStr">
        <is>
          <t>Custom Python (vocab.json + verb-class reference cross-check)</t>
        </is>
      </c>
      <c r="O12" t="inlineStr">
        <is>
          <t>Not Yet Run</t>
        </is>
      </c>
      <c r="R12" t="inlineStr">
        <is>
          <t>0%</t>
        </is>
      </c>
    </row>
    <row r="13" ht="47" customHeight="1">
      <c r="A13" s="7" t="inlineStr">
        <is>
          <t>A-009</t>
        </is>
      </c>
      <c r="B13" s="5" t="inlineStr">
        <is>
          <t>Conjugation</t>
        </is>
      </c>
      <c r="C13" s="6" t="inlineStr">
        <is>
          <t>1</t>
        </is>
      </c>
      <c r="D13" s="5" t="inlineStr">
        <is>
          <t>Past + negative + past-negative formation correctness across all 1009 verb entries</t>
        </is>
      </c>
      <c r="E13" s="5" t="inlineStr">
        <is>
          <t>1. Generate past/neg/past-neg programmatically per verb_class
2. Cross-check against any example forms in entries
3. Manual review of 50 random</t>
        </is>
      </c>
      <c r="F13" s="5" t="inlineStr">
        <is>
          <t>All inflected forms match canonical conjugation rules</t>
        </is>
      </c>
      <c r="G13" s="6" t="inlineStr">
        <is>
          <t>P2</t>
        </is>
      </c>
      <c r="H13" s="6" t="inlineStr">
        <is>
          <t>Major</t>
        </is>
      </c>
      <c r="I13" s="6" t="inlineStr">
        <is>
          <t>Hybrid</t>
        </is>
      </c>
      <c r="J13" s="5" t="inlineStr">
        <is>
          <t>No automated check today — manual only.</t>
        </is>
      </c>
      <c r="L13" t="inlineStr">
        <is>
          <t>Native Japanese teacher</t>
        </is>
      </c>
      <c r="O13" t="inlineStr">
        <is>
          <t>Not Yet Run</t>
        </is>
      </c>
      <c r="R13" t="inlineStr">
        <is>
          <t>0%</t>
        </is>
      </c>
    </row>
    <row r="14" ht="36" customHeight="1">
      <c r="A14" s="7" t="inlineStr">
        <is>
          <t>A-010</t>
        </is>
      </c>
      <c r="B14" s="5" t="inlineStr">
        <is>
          <t>Conjugation</t>
        </is>
      </c>
      <c r="C14" s="6" t="inlineStr">
        <is>
          <t>1</t>
        </is>
      </c>
      <c r="D14" s="5" t="inlineStr">
        <is>
          <t>I-adj vs Na-adj conjugation in shipped examples</t>
        </is>
      </c>
      <c r="E14" s="5" t="inlineStr">
        <is>
          <t>1. Scan all adjectives + their example forms
2. Verify い-adj uses くて/くない/かった
3. Verify な-adj uses で/じゃない/だった</t>
        </is>
      </c>
      <c r="F14" s="5" t="inlineStr">
        <is>
          <t>0 conjugation-class violations</t>
        </is>
      </c>
      <c r="G14" s="6" t="inlineStr">
        <is>
          <t>P1</t>
        </is>
      </c>
      <c r="H14" s="6" t="inlineStr">
        <is>
          <t>Critical</t>
        </is>
      </c>
      <c r="I14" s="6" t="inlineStr">
        <is>
          <t>Hybrid</t>
        </is>
      </c>
      <c r="J14" s="5" t="inlineStr">
        <is>
          <t>Wave-2 caught 0; broader sample could surface more</t>
        </is>
      </c>
      <c r="L14" t="inlineStr">
        <is>
          <t>Native Japanese teacher</t>
        </is>
      </c>
      <c r="O14" t="inlineStr">
        <is>
          <t>Not Yet Run</t>
        </is>
      </c>
      <c r="R14" t="inlineStr">
        <is>
          <t>0%</t>
        </is>
      </c>
    </row>
    <row r="15" ht="56" customHeight="1">
      <c r="A15" s="7" t="inlineStr">
        <is>
          <t>A-011</t>
        </is>
      </c>
      <c r="B15" s="5" t="inlineStr">
        <is>
          <t>Honorifics</t>
        </is>
      </c>
      <c r="C15" s="6" t="inlineStr">
        <is>
          <t>5</t>
        </is>
      </c>
      <c r="D15" s="5" t="inlineStr">
        <is>
          <t>尊敬語 form usage in customer/employee dialogue contexts</t>
        </is>
      </c>
      <c r="E15" s="5" t="inlineStr">
        <is>
          <t>1. Filter dialogues with role labels (店員, お客様, 先生, 学生)
2. Verify 尊敬語 (お~になる / いらっしゃる / ご~ください) on superior's actions
3. Verify 謙譲語 (お~する / 伺う / 申す) on inferior's actions</t>
        </is>
      </c>
      <c r="F15" s="5" t="inlineStr">
        <is>
          <t>Keigo register correct per role</t>
        </is>
      </c>
      <c r="G15" s="6" t="inlineStr">
        <is>
          <t>P3</t>
        </is>
      </c>
      <c r="H15" s="6" t="inlineStr">
        <is>
          <t>Major</t>
        </is>
      </c>
      <c r="I15" s="6" t="inlineStr">
        <is>
          <t>Manual</t>
        </is>
      </c>
      <c r="J15" s="5" t="inlineStr">
        <is>
          <t>AUDIT-COVERAGE: 'Not checked / requires N3+ pragmatic analysis'</t>
        </is>
      </c>
      <c r="L15" t="inlineStr">
        <is>
          <t>Native Japanese teacher</t>
        </is>
      </c>
      <c r="O15" t="inlineStr">
        <is>
          <t>Not Yet Run</t>
        </is>
      </c>
      <c r="R15" t="inlineStr">
        <is>
          <t>0%</t>
        </is>
      </c>
    </row>
    <row r="16" ht="41" customHeight="1">
      <c r="A16" s="7" t="inlineStr">
        <is>
          <t>A-012</t>
        </is>
      </c>
      <c r="B16" s="5" t="inlineStr">
        <is>
          <t>Honorifics</t>
        </is>
      </c>
      <c r="C16" s="6" t="inlineStr">
        <is>
          <t>5</t>
        </is>
      </c>
      <c r="D16" s="5" t="inlineStr">
        <is>
          <t>Polite-prefix お / ご correctness on noun classes</t>
        </is>
      </c>
      <c r="E16" s="5" t="inlineStr">
        <is>
          <t>1. Filter all お~ / ご~ noun examples
2. Verify お for wago (お茶, お水), ご for kango (ご飯 is exception)
3. Flag mis-prefixed entries</t>
        </is>
      </c>
      <c r="F16" s="5" t="inlineStr">
        <is>
          <t>All お/ご prefixes follow wago/kango rules with documented exceptions</t>
        </is>
      </c>
      <c r="G16" s="6" t="inlineStr">
        <is>
          <t>P3</t>
        </is>
      </c>
      <c r="H16" s="6" t="inlineStr">
        <is>
          <t>Major</t>
        </is>
      </c>
      <c r="I16" s="6" t="inlineStr">
        <is>
          <t>Hybrid</t>
        </is>
      </c>
      <c r="J16" s="5" t="inlineStr">
        <is>
          <t>No automated check today — manual only.</t>
        </is>
      </c>
      <c r="L16" t="inlineStr">
        <is>
          <t>Native Japanese teacher</t>
        </is>
      </c>
      <c r="O16" t="inlineStr">
        <is>
          <t>Not Yet Run</t>
        </is>
      </c>
      <c r="R16" t="inlineStr">
        <is>
          <t>0%</t>
        </is>
      </c>
    </row>
    <row r="17" ht="43" customHeight="1">
      <c r="A17" s="7" t="inlineStr">
        <is>
          <t>A-013</t>
        </is>
      </c>
      <c r="B17" s="5" t="inlineStr">
        <is>
          <t>Honorifics</t>
        </is>
      </c>
      <c r="C17" s="6" t="inlineStr">
        <is>
          <t>5</t>
        </is>
      </c>
      <c r="D17" s="5" t="inlineStr">
        <is>
          <t>Gendered sentence-final particles (わ, ぞ, ぜ) appropriateness</t>
        </is>
      </c>
      <c r="E17" s="5" t="inlineStr">
        <is>
          <t>1. Scan all dialogue lines for わ / ぞ / ぜ / わよ / だぜ
2. Verify speaker-role tag matches gender-register convention
3. Flag mismatches</t>
        </is>
      </c>
      <c r="F17" s="5" t="inlineStr">
        <is>
          <t>Gendered particles match speaker role</t>
        </is>
      </c>
      <c r="G17" s="6" t="inlineStr">
        <is>
          <t>P5</t>
        </is>
      </c>
      <c r="H17" s="6" t="inlineStr">
        <is>
          <t>Minor</t>
        </is>
      </c>
      <c r="I17" s="6" t="inlineStr">
        <is>
          <t>Manual</t>
        </is>
      </c>
      <c r="J17" s="5" t="inlineStr">
        <is>
          <t>May intentionally include stylized speech</t>
        </is>
      </c>
      <c r="L17" t="inlineStr">
        <is>
          <t>Native Japanese teacher</t>
        </is>
      </c>
      <c r="O17" t="inlineStr">
        <is>
          <t>Not Yet Run</t>
        </is>
      </c>
      <c r="R17" t="inlineStr">
        <is>
          <t>0%</t>
        </is>
      </c>
    </row>
    <row r="18" ht="45" customHeight="1">
      <c r="A18" s="7" t="inlineStr">
        <is>
          <t>A-014</t>
        </is>
      </c>
      <c r="B18" s="5" t="inlineStr">
        <is>
          <t>Counters</t>
        </is>
      </c>
      <c r="C18" s="6" t="inlineStr">
        <is>
          <t>7</t>
        </is>
      </c>
      <c r="D18" s="5" t="inlineStr">
        <is>
          <t>Counter rendaku correctness across all numeric+counter pairs</t>
        </is>
      </c>
      <c r="E18" s="5" t="inlineStr">
        <is>
          <t>1. Scan all sentences with 数字+counter
2. Verify rendaku per phonological rules (3本=さんぼん, 6本=ろっぽん, 8本=はっぽん)
3. Manual review of 50 random</t>
        </is>
      </c>
      <c r="F18" s="5" t="inlineStr">
        <is>
          <t>All rendaku alternants spelled correctly</t>
        </is>
      </c>
      <c r="G18" s="6" t="inlineStr">
        <is>
          <t>P2</t>
        </is>
      </c>
      <c r="H18" s="6" t="inlineStr">
        <is>
          <t>Major</t>
        </is>
      </c>
      <c r="I18" s="6" t="inlineStr">
        <is>
          <t>Auto+Manual</t>
        </is>
      </c>
      <c r="J18" s="5" t="inlineStr">
        <is>
          <t>FP-5 documented; rendaku set may be incomplete</t>
        </is>
      </c>
      <c r="L18" t="inlineStr">
        <is>
          <t>Native Japanese teacher</t>
        </is>
      </c>
      <c r="O18" t="inlineStr">
        <is>
          <t>Not Yet Run</t>
        </is>
      </c>
      <c r="R18" t="inlineStr">
        <is>
          <t>0%</t>
        </is>
      </c>
    </row>
    <row r="19" ht="35" customHeight="1">
      <c r="A19" s="7" t="inlineStr">
        <is>
          <t>A-015</t>
        </is>
      </c>
      <c r="B19" s="5" t="inlineStr">
        <is>
          <t>Counters</t>
        </is>
      </c>
      <c r="C19" s="6" t="inlineStr">
        <is>
          <t>7</t>
        </is>
      </c>
      <c r="D19" s="5" t="inlineStr">
        <is>
          <t>Counter-noun pairing beyond the 8 canonical pairs</t>
        </is>
      </c>
      <c r="E19" s="5" t="inlineStr">
        <is>
          <t>1. Native teacher reviews 100 random counter-noun pairs
2. Flag textbook-non-canonical pairings (e.g., 雲一個)</t>
        </is>
      </c>
      <c r="F19" s="5" t="inlineStr">
        <is>
          <t>All counter-noun pairs are textbook-canonical or documented exception</t>
        </is>
      </c>
      <c r="G19" s="6" t="inlineStr">
        <is>
          <t>P3</t>
        </is>
      </c>
      <c r="H19" s="6" t="inlineStr">
        <is>
          <t>Major</t>
        </is>
      </c>
      <c r="I19" s="6" t="inlineStr">
        <is>
          <t>Manual</t>
        </is>
      </c>
      <c r="J19" s="5" t="inlineStr">
        <is>
          <t>JA-89 lock1 covers 6 caught instances; broader exists</t>
        </is>
      </c>
      <c r="L19" t="inlineStr">
        <is>
          <t>Native Japanese teacher</t>
        </is>
      </c>
      <c r="O19" t="inlineStr">
        <is>
          <t>Not Yet Run</t>
        </is>
      </c>
      <c r="R19" t="inlineStr">
        <is>
          <t>0%</t>
        </is>
      </c>
    </row>
    <row r="20" ht="30" customHeight="1">
      <c r="A20" s="7" t="inlineStr">
        <is>
          <t>A-016</t>
        </is>
      </c>
      <c r="B20" s="5" t="inlineStr">
        <is>
          <t>Counters</t>
        </is>
      </c>
      <c r="C20" s="6" t="inlineStr">
        <is>
          <t>7</t>
        </is>
      </c>
      <c r="D20" s="5" t="inlineStr">
        <is>
          <t>Native-counter (つ) range boundary (1-10)</t>
        </is>
      </c>
      <c r="E20" s="5" t="inlineStr">
        <is>
          <t>1. Filter all 〜つ examples
2. Verify count ≤ 10 (above 10, switch to 個 or specific counter)</t>
        </is>
      </c>
      <c r="F20" s="5" t="inlineStr">
        <is>
          <t>0 instances of 11つ / 20つ etc.</t>
        </is>
      </c>
      <c r="G20" s="6" t="inlineStr">
        <is>
          <t>P4</t>
        </is>
      </c>
      <c r="H20" s="6" t="inlineStr">
        <is>
          <t>Minor</t>
        </is>
      </c>
      <c r="I20" s="6" t="inlineStr">
        <is>
          <t>Auto</t>
        </is>
      </c>
      <c r="J20" s="5" t="inlineStr">
        <is>
          <t>No automated check today — manual only.</t>
        </is>
      </c>
      <c r="L20" t="inlineStr">
        <is>
          <t>Native Japanese teacher</t>
        </is>
      </c>
      <c r="M20" t="inlineStr">
        <is>
          <t>tools/check_content_integrity.py (JA-NN regex pass)</t>
        </is>
      </c>
      <c r="O20" t="inlineStr">
        <is>
          <t>Not Yet Run</t>
        </is>
      </c>
      <c r="R20" t="inlineStr">
        <is>
          <t>0%</t>
        </is>
      </c>
    </row>
    <row r="21" ht="38" customHeight="1">
      <c r="A21" s="7" t="inlineStr">
        <is>
          <t>A-017</t>
        </is>
      </c>
      <c r="B21" s="5" t="inlineStr">
        <is>
          <t>Kanji</t>
        </is>
      </c>
      <c r="C21" s="6" t="inlineStr">
        <is>
          <t>8</t>
        </is>
      </c>
      <c r="D21" s="5" t="inlineStr">
        <is>
          <t>On-yomi vs kun-yomi assignment correctness</t>
        </is>
      </c>
      <c r="E21" s="5" t="inlineStr">
        <is>
          <t>1. For each of 106 kanji, verify on-yomi list matches jōyō reference
2. Verify kun-yomi list matches jōyō reference</t>
        </is>
      </c>
      <c r="F21" s="5" t="inlineStr">
        <is>
          <t>0 misclassified readings</t>
        </is>
      </c>
      <c r="G21" s="6" t="inlineStr">
        <is>
          <t>P1</t>
        </is>
      </c>
      <c r="H21" s="6" t="inlineStr">
        <is>
          <t>Critical</t>
        </is>
      </c>
      <c r="I21" s="6" t="inlineStr">
        <is>
          <t>Manual</t>
        </is>
      </c>
      <c r="J21" s="5" t="inlineStr">
        <is>
          <t>JA-72/76 enforce katakana-vs-hiragana convention but not the actual reading correctness</t>
        </is>
      </c>
      <c r="L21" t="inlineStr">
        <is>
          <t>Native Japanese teacher</t>
        </is>
      </c>
      <c r="O21" t="inlineStr">
        <is>
          <t>Not Yet Run</t>
        </is>
      </c>
      <c r="R21" t="inlineStr">
        <is>
          <t>0%</t>
        </is>
      </c>
    </row>
    <row r="22" ht="39" customHeight="1">
      <c r="A22" s="7" t="inlineStr">
        <is>
          <t>A-018</t>
        </is>
      </c>
      <c r="B22" s="5" t="inlineStr">
        <is>
          <t>Kanji</t>
        </is>
      </c>
      <c r="C22" s="6" t="inlineStr">
        <is>
          <t>8</t>
        </is>
      </c>
      <c r="D22" s="5" t="inlineStr">
        <is>
          <t>Stroke-count vs stroke-order data accuracy</t>
        </is>
      </c>
      <c r="E22" s="5" t="inlineStr">
        <is>
          <t>1. Cross-check each kanji's stroke-count vs Unicode CJK reference
2. Cross-check stroke-order SVG vs KanjiVG canonical</t>
        </is>
      </c>
      <c r="F22" s="5" t="inlineStr">
        <is>
          <t>0 discrepancies</t>
        </is>
      </c>
      <c r="G22" s="6" t="inlineStr">
        <is>
          <t>P3</t>
        </is>
      </c>
      <c r="H22" s="6" t="inlineStr">
        <is>
          <t>Major</t>
        </is>
      </c>
      <c r="I22" s="6" t="inlineStr">
        <is>
          <t>Auto</t>
        </is>
      </c>
      <c r="J22" s="5" t="inlineStr">
        <is>
          <t>No automated check today — manual only.</t>
        </is>
      </c>
      <c r="L22" t="inlineStr">
        <is>
          <t>Native Japanese teacher</t>
        </is>
      </c>
      <c r="O22" t="inlineStr">
        <is>
          <t>Not Yet Run</t>
        </is>
      </c>
      <c r="R22" t="inlineStr">
        <is>
          <t>0%</t>
        </is>
      </c>
    </row>
    <row r="23" ht="59" customHeight="1">
      <c r="A23" s="7" t="inlineStr">
        <is>
          <t>A-019</t>
        </is>
      </c>
      <c r="B23" s="5" t="inlineStr">
        <is>
          <t>Kanji</t>
        </is>
      </c>
      <c r="C23" s="6" t="inlineStr">
        <is>
          <t>8</t>
        </is>
      </c>
      <c r="D23" s="5" t="inlineStr">
        <is>
          <t>Furigana correctness in compound words</t>
        </is>
      </c>
      <c r="E23" s="5" t="inlineStr">
        <is>
          <t>1. For all compound kanji-entries, verify furigana matches the compound's actual reading (not the sum of individual readings)
2. Spot 連濁 (rendaku in compounds): 山+川=やまかわ vs やまがわ</t>
        </is>
      </c>
      <c r="F23" s="5" t="inlineStr">
        <is>
          <t>Compound readings match canonical reference (NHK accent dict or similar)</t>
        </is>
      </c>
      <c r="G23" s="6" t="inlineStr">
        <is>
          <t>P3</t>
        </is>
      </c>
      <c r="H23" s="6" t="inlineStr">
        <is>
          <t>Major</t>
        </is>
      </c>
      <c r="I23" s="6" t="inlineStr">
        <is>
          <t>Manual</t>
        </is>
      </c>
      <c r="J23" s="5" t="inlineStr">
        <is>
          <t>No automated check today — manual only.</t>
        </is>
      </c>
      <c r="L23" t="inlineStr">
        <is>
          <t>Native Japanese teacher</t>
        </is>
      </c>
      <c r="O23" t="inlineStr">
        <is>
          <t>Not Yet Run</t>
        </is>
      </c>
      <c r="R23" t="inlineStr">
        <is>
          <t>0%</t>
        </is>
      </c>
    </row>
    <row r="24" ht="46" customHeight="1">
      <c r="A24" s="7" t="inlineStr">
        <is>
          <t>A-020</t>
        </is>
      </c>
      <c r="B24" s="5" t="inlineStr">
        <is>
          <t>Pitch accent</t>
        </is>
      </c>
      <c r="C24" s="6" t="inlineStr">
        <is>
          <t>3</t>
        </is>
      </c>
      <c r="D24" s="5" t="inlineStr">
        <is>
          <t>Auditory verification of 944 kanjium-MATCH entries</t>
        </is>
      </c>
      <c r="E24" s="5" t="inlineStr">
        <is>
          <t>1. Native ear listens to TTS render of each
2. Verify drop position audibly matches kanjium prediction
3. Flag VOICEVOX-vs-NHK disagreements</t>
        </is>
      </c>
      <c r="F24" s="5" t="inlineStr">
        <is>
          <t>≥95% audible-match</t>
        </is>
      </c>
      <c r="G24" s="6" t="inlineStr">
        <is>
          <t>P2</t>
        </is>
      </c>
      <c r="H24" s="6" t="inlineStr">
        <is>
          <t>Major</t>
        </is>
      </c>
      <c r="I24" s="6" t="inlineStr">
        <is>
          <t>Manual</t>
        </is>
      </c>
      <c r="J24" s="5"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t>
        </is>
      </c>
      <c r="L24" t="inlineStr">
        <is>
          <t>Native Japanese teacher</t>
        </is>
      </c>
      <c r="O24" t="inlineStr">
        <is>
          <t>Not Yet Run</t>
        </is>
      </c>
      <c r="R24" t="inlineStr">
        <is>
          <t>0%</t>
        </is>
      </c>
    </row>
    <row r="25" ht="32" customHeight="1">
      <c r="A25" s="7" t="inlineStr">
        <is>
          <t>A-021</t>
        </is>
      </c>
      <c r="B25" s="5" t="inlineStr">
        <is>
          <t>Pitch accent</t>
        </is>
      </c>
      <c r="C25" s="6" t="inlineStr">
        <is>
          <t>3</t>
        </is>
      </c>
      <c r="D25" s="5" t="inlineStr">
        <is>
          <t>Auditory verification of 43 low/unverified entries (16 low + 27 unverified)</t>
        </is>
      </c>
      <c r="E25" s="5" t="inlineStr">
        <is>
          <t>1. Native ear listens to TTS render of each
2. Promote to 'high' confidence or flag for correction</t>
        </is>
      </c>
      <c r="F25" s="5" t="inlineStr">
        <is>
          <t>All 43 entries resolved</t>
        </is>
      </c>
      <c r="G25" s="6" t="inlineStr">
        <is>
          <t>P2</t>
        </is>
      </c>
      <c r="H25" s="6" t="inlineStr">
        <is>
          <t>Major</t>
        </is>
      </c>
      <c r="I25" s="6" t="inlineStr">
        <is>
          <t>Manual</t>
        </is>
      </c>
      <c r="J25" s="5" t="inlineStr">
        <is>
          <t>Explicit gap in PITCH-ACCENT-RECONCILIATION doc</t>
        </is>
      </c>
      <c r="L25" t="inlineStr">
        <is>
          <t>Native Japanese teacher</t>
        </is>
      </c>
      <c r="O25" t="inlineStr">
        <is>
          <t>Not Yet Run</t>
        </is>
      </c>
      <c r="R25" t="inlineStr">
        <is>
          <t>0%</t>
        </is>
      </c>
    </row>
    <row r="26" ht="39" customHeight="1">
      <c r="A26" s="7" t="inlineStr">
        <is>
          <t>A-022</t>
        </is>
      </c>
      <c r="B26" s="5" t="inlineStr">
        <is>
          <t>Pitch accent</t>
        </is>
      </c>
      <c r="C26" s="6" t="inlineStr">
        <is>
          <t>3</t>
        </is>
      </c>
      <c r="D26" s="5" t="inlineStr">
        <is>
          <t>Devoiced-vowel marking on standard-Tokyo positions</t>
        </is>
      </c>
      <c r="E26" s="5" t="inlineStr">
        <is>
          <t>1. Scan vocab entries with /i/ or /u/ between voiceless consonants
2. Verify devoicing-marker (◌̥) presence if rendered</t>
        </is>
      </c>
      <c r="F26" s="5" t="inlineStr">
        <is>
          <t>Devoicing marked where standard</t>
        </is>
      </c>
      <c r="G26" s="6" t="inlineStr">
        <is>
          <t>P5</t>
        </is>
      </c>
      <c r="H26" s="6" t="inlineStr">
        <is>
          <t>Minor</t>
        </is>
      </c>
      <c r="I26" s="6" t="inlineStr">
        <is>
          <t>Hybrid</t>
        </is>
      </c>
      <c r="J26" s="5" t="inlineStr">
        <is>
          <t>Not currently in data model</t>
        </is>
      </c>
      <c r="L26" t="inlineStr">
        <is>
          <t>Native Japanese teacher</t>
        </is>
      </c>
      <c r="O26" t="inlineStr">
        <is>
          <t>Not Yet Run</t>
        </is>
      </c>
      <c r="R26" t="inlineStr">
        <is>
          <t>0%</t>
        </is>
      </c>
    </row>
    <row r="27" ht="32" customHeight="1">
      <c r="A27" s="7" t="inlineStr">
        <is>
          <t>A-023</t>
        </is>
      </c>
      <c r="B27" s="5" t="inlineStr">
        <is>
          <t>Pitch accent</t>
        </is>
      </c>
      <c r="C27" s="6" t="inlineStr">
        <is>
          <t>3</t>
        </is>
      </c>
      <c r="D27" s="5" t="inlineStr">
        <is>
          <t>Multi-dialect accent variants (currently Tokyo-only)</t>
        </is>
      </c>
      <c r="E27" s="5" t="inlineStr">
        <is>
          <t>1. For high-frequency vocab, document Kansai/Kyushu alternants
2. Decide if UI should expose them</t>
        </is>
      </c>
      <c r="F27" s="5" t="inlineStr">
        <is>
          <t>Documented; project decision recorded</t>
        </is>
      </c>
      <c r="G27" s="6" t="inlineStr">
        <is>
          <t>P5</t>
        </is>
      </c>
      <c r="H27" s="6" t="inlineStr">
        <is>
          <t>Minor</t>
        </is>
      </c>
      <c r="I27" s="6" t="inlineStr">
        <is>
          <t>Manual</t>
        </is>
      </c>
      <c r="J27" s="5" t="inlineStr">
        <is>
          <t>Scope decision; not a bug</t>
        </is>
      </c>
      <c r="L27" t="inlineStr">
        <is>
          <t>Native Japanese teacher</t>
        </is>
      </c>
      <c r="O27" t="inlineStr">
        <is>
          <t>Not Yet Run</t>
        </is>
      </c>
      <c r="R27" t="inlineStr">
        <is>
          <t>0%</t>
        </is>
      </c>
    </row>
    <row r="28" ht="30" customHeight="1">
      <c r="A28" s="7" t="inlineStr">
        <is>
          <t>A-024</t>
        </is>
      </c>
      <c r="B28" s="5" t="inlineStr">
        <is>
          <t>Translation</t>
        </is>
      </c>
      <c r="C28" s="6" t="inlineStr">
        <is>
          <t>6</t>
        </is>
      </c>
      <c r="D28" s="5" t="inlineStr">
        <is>
          <t>translation_en idiomatic naturalness across 6,309 sentences</t>
        </is>
      </c>
      <c r="E28" s="5" t="inlineStr">
        <is>
          <t>1. Random-sample 200 EN translations
2. Native EN reviewer rates each NATURAL/AWKWARD/WRONG</t>
        </is>
      </c>
      <c r="F28" s="5" t="inlineStr">
        <is>
          <t>≥95% NATURAL</t>
        </is>
      </c>
      <c r="G28" s="6" t="inlineStr">
        <is>
          <t>P3</t>
        </is>
      </c>
      <c r="H28" s="6" t="inlineStr">
        <is>
          <t>Major</t>
        </is>
      </c>
      <c r="I28" s="6" t="inlineStr">
        <is>
          <t>Manual</t>
        </is>
      </c>
      <c r="J28" s="5" t="inlineStr">
        <is>
          <t>74 bare-article fixed; broader pass pending | [BUG-027 threshold] Threshold provisional (n=200 grammar examples). Same sample-size rationale as A-001. | [BUG-027 threshold] Threshold provisional (n=200 grammar examples). Same sample-size rationale as A-001.</t>
        </is>
      </c>
      <c r="L28" t="inlineStr">
        <is>
          <t>Native Japanese teacher</t>
        </is>
      </c>
      <c r="O28" t="inlineStr">
        <is>
          <t>Not Yet Run</t>
        </is>
      </c>
      <c r="R28" t="inlineStr">
        <is>
          <t>0%</t>
        </is>
      </c>
    </row>
    <row r="29" ht="30" customHeight="1">
      <c r="A29" s="7" t="inlineStr">
        <is>
          <t>A-025</t>
        </is>
      </c>
      <c r="B29" s="5" t="inlineStr">
        <is>
          <t>Translation</t>
        </is>
      </c>
      <c r="C29" s="6" t="inlineStr">
        <is>
          <t>6</t>
        </is>
      </c>
      <c r="D29" s="5" t="inlineStr">
        <is>
          <t>Aspect/tense translation correctness (perfective vs imperfective)</t>
        </is>
      </c>
      <c r="E29" s="5" t="inlineStr">
        <is>
          <t>1. Filter ました vs ています examples
2. Verify EN tense choice matches Japanese aspect</t>
        </is>
      </c>
      <c r="F29" s="5" t="inlineStr">
        <is>
          <t>0 aspect-mistranslations</t>
        </is>
      </c>
      <c r="G29" s="6" t="inlineStr">
        <is>
          <t>P3</t>
        </is>
      </c>
      <c r="H29" s="6" t="inlineStr">
        <is>
          <t>Major</t>
        </is>
      </c>
      <c r="I29" s="6" t="inlineStr">
        <is>
          <t>Manual</t>
        </is>
      </c>
      <c r="J29" s="5" t="inlineStr">
        <is>
          <t>No automated check today — manual only.</t>
        </is>
      </c>
      <c r="L29" t="inlineStr">
        <is>
          <t>Native Japanese teacher</t>
        </is>
      </c>
      <c r="O29" t="inlineStr">
        <is>
          <t>Not Yet Run</t>
        </is>
      </c>
      <c r="R29" t="inlineStr">
        <is>
          <t>0%</t>
        </is>
      </c>
    </row>
    <row r="30" ht="40" customHeight="1">
      <c r="A30" s="7" t="inlineStr">
        <is>
          <t>A-026</t>
        </is>
      </c>
      <c r="B30" s="5" t="inlineStr">
        <is>
          <t>Translation</t>
        </is>
      </c>
      <c r="C30" s="6" t="inlineStr">
        <is>
          <t>6</t>
        </is>
      </c>
      <c r="D30" s="5" t="inlineStr">
        <is>
          <t>Article use (a/an/the/zero) in EN translations of bare-noun JA</t>
        </is>
      </c>
      <c r="E30" s="5" t="inlineStr">
        <is>
          <t>1. Filter JA sentences with bare common nouns
2. Verify EN translation uses appropriate article (or zero article + plural)</t>
        </is>
      </c>
      <c r="F30" s="5" t="inlineStr">
        <is>
          <t>0 bare-article ungrammatical EN</t>
        </is>
      </c>
      <c r="G30" s="6" t="inlineStr">
        <is>
          <t>P3</t>
        </is>
      </c>
      <c r="H30" s="6" t="inlineStr">
        <is>
          <t>Major</t>
        </is>
      </c>
      <c r="I30" s="6" t="inlineStr">
        <is>
          <t>Hybrid</t>
        </is>
      </c>
      <c r="J30" s="5" t="inlineStr">
        <is>
          <t>74 caught; checker covers 'There is X' template only</t>
        </is>
      </c>
      <c r="L30" t="inlineStr">
        <is>
          <t>Native Japanese teacher</t>
        </is>
      </c>
      <c r="O30" t="inlineStr">
        <is>
          <t>Not Yet Run</t>
        </is>
      </c>
      <c r="R30" t="inlineStr">
        <is>
          <t>0%</t>
        </is>
      </c>
    </row>
    <row r="31" ht="30" customHeight="1">
      <c r="A31" s="7" t="inlineStr">
        <is>
          <t>A-027</t>
        </is>
      </c>
      <c r="B31" s="5" t="inlineStr">
        <is>
          <t>Romaji</t>
        </is>
      </c>
      <c r="C31" s="6" t="inlineStr">
        <is>
          <t>9</t>
        </is>
      </c>
      <c r="D31" s="5" t="inlineStr">
        <is>
          <t>Hepburn vs Kunrei consistency across all romanized strings</t>
        </is>
      </c>
      <c r="E31" s="5" t="inlineStr">
        <is>
          <t>1. Scan any romaji output in data/ for し vs si, つ vs tu
2. Pick one convention; flag drifts</t>
        </is>
      </c>
      <c r="F31" s="5" t="inlineStr">
        <is>
          <t>100% consistent within chosen convention</t>
        </is>
      </c>
      <c r="G31" s="6" t="inlineStr">
        <is>
          <t>P5</t>
        </is>
      </c>
      <c r="H31" s="6" t="inlineStr">
        <is>
          <t>Minor</t>
        </is>
      </c>
      <c r="I31" s="6" t="inlineStr">
        <is>
          <t>Auto</t>
        </is>
      </c>
      <c r="J31" s="5" t="inlineStr">
        <is>
          <t>No automated check today — manual only.</t>
        </is>
      </c>
      <c r="L31" t="inlineStr">
        <is>
          <t>Native Japanese teacher</t>
        </is>
      </c>
      <c r="O31" t="inlineStr">
        <is>
          <t>Not Yet Run</t>
        </is>
      </c>
      <c r="R31" t="inlineStr">
        <is>
          <t>0%</t>
        </is>
      </c>
    </row>
    <row r="32" ht="50" customHeight="1">
      <c r="A32" s="7" t="inlineStr">
        <is>
          <t>A-028</t>
        </is>
      </c>
      <c r="B32" s="5" t="inlineStr">
        <is>
          <t>Vocabulary scope</t>
        </is>
      </c>
      <c r="C32" s="6" t="inlineStr">
        <is>
          <t>2</t>
        </is>
      </c>
      <c r="D32" s="5" t="inlineStr">
        <is>
          <t>N5-scope vocab vs out-of-scope (N4+) contamination</t>
        </is>
      </c>
      <c r="E32" s="5" t="inlineStr">
        <is>
          <t>1. Cross-check vocab.json forms against N5 official word-list (n5_vocab_official.json)
2. Flag entries flagged tier=n4_borderline using N5-scope kanji</t>
        </is>
      </c>
      <c r="F32" s="5" t="inlineStr">
        <is>
          <t>All tier-flags accurate; no silent N4 contamination</t>
        </is>
      </c>
      <c r="G32" s="6" t="inlineStr">
        <is>
          <t>P2</t>
        </is>
      </c>
      <c r="H32" s="6" t="inlineStr">
        <is>
          <t>Major</t>
        </is>
      </c>
      <c r="I32" s="6" t="inlineStr">
        <is>
          <t>Auto+Manual</t>
        </is>
      </c>
      <c r="J32" s="5" t="inlineStr">
        <is>
          <t>No automated check today — manual only.</t>
        </is>
      </c>
      <c r="L32" t="inlineStr">
        <is>
          <t>Native Japanese teacher</t>
        </is>
      </c>
      <c r="O32" t="inlineStr">
        <is>
          <t>Not Yet Run</t>
        </is>
      </c>
      <c r="R32" t="inlineStr">
        <is>
          <t>0%</t>
        </is>
      </c>
    </row>
    <row r="33" ht="38" customHeight="1">
      <c r="A33" s="7" t="inlineStr">
        <is>
          <t>A-029</t>
        </is>
      </c>
      <c r="B33" s="5" t="inlineStr">
        <is>
          <t>Vocabulary scope</t>
        </is>
      </c>
      <c r="C33" s="6" t="inlineStr">
        <is>
          <t>2</t>
        </is>
      </c>
      <c r="D33" s="5" t="inlineStr">
        <is>
          <t>Senses-per-entry: does each vocab entry list N5-relevant sense first?</t>
        </is>
      </c>
      <c r="E33" s="5" t="inlineStr">
        <is>
          <t>1. For polysemous entries, verify sense[0] is the N5-textbook-typical sense
2. Flag entries where rare sense leads</t>
        </is>
      </c>
      <c r="F33" s="5" t="inlineStr">
        <is>
          <t>All entries lead with N5-canonical sense</t>
        </is>
      </c>
      <c r="G33" s="6" t="inlineStr">
        <is>
          <t>P3</t>
        </is>
      </c>
      <c r="H33" s="6" t="inlineStr">
        <is>
          <t>Major</t>
        </is>
      </c>
      <c r="I33" s="6" t="inlineStr">
        <is>
          <t>Manual</t>
        </is>
      </c>
      <c r="J33" s="5" t="inlineStr">
        <is>
          <t>No automated check today — manual only.</t>
        </is>
      </c>
      <c r="L33" t="inlineStr">
        <is>
          <t>Native Japanese teacher</t>
        </is>
      </c>
      <c r="O33" t="inlineStr">
        <is>
          <t>Not Yet Run</t>
        </is>
      </c>
      <c r="R33" t="inlineStr">
        <is>
          <t>0%</t>
        </is>
      </c>
    </row>
    <row r="34" ht="46" customHeight="1">
      <c r="A34" s="7" t="inlineStr">
        <is>
          <t>A-030</t>
        </is>
      </c>
      <c r="B34" s="5" t="inlineStr">
        <is>
          <t>Grammar scope</t>
        </is>
      </c>
      <c r="C34" s="6" t="inlineStr">
        <is>
          <t>2</t>
        </is>
      </c>
      <c r="D34" s="5" t="inlineStr">
        <is>
          <t>Grammar-pattern scope vs N5 canonical 178 patterns</t>
        </is>
      </c>
      <c r="E34" s="5" t="inlineStr">
        <is>
          <t>1. Cross-check pattern IDs against published N5 grammar list (e.g., Bunpro, Renshuu)
2. Flag any pattern out-of-scope or missing canonical</t>
        </is>
      </c>
      <c r="F34" s="5" t="inlineStr">
        <is>
          <t>All 178 patterns are N5-canonical</t>
        </is>
      </c>
      <c r="G34" s="6" t="inlineStr">
        <is>
          <t>P3</t>
        </is>
      </c>
      <c r="H34" s="6" t="inlineStr">
        <is>
          <t>Major</t>
        </is>
      </c>
      <c r="I34" s="6" t="inlineStr">
        <is>
          <t>Manual</t>
        </is>
      </c>
      <c r="J34" s="5" t="inlineStr">
        <is>
          <t>No automated check today — manual only.</t>
        </is>
      </c>
      <c r="L34" t="inlineStr">
        <is>
          <t>Native Japanese teacher</t>
        </is>
      </c>
      <c r="O34" t="inlineStr">
        <is>
          <t>Not Yet Run</t>
        </is>
      </c>
      <c r="R34" t="inlineStr">
        <is>
          <t>0%</t>
        </is>
      </c>
    </row>
    <row r="35">
      <c r="A35" s="26" t="inlineStr">
        <is>
          <t>A-031</t>
        </is>
      </c>
      <c r="B35" s="26" t="inlineStr">
        <is>
          <t>Hindi-locale audio</t>
        </is>
      </c>
      <c r="C35" s="26" t="inlineStr">
        <is>
          <t>3</t>
        </is>
      </c>
      <c r="D35" s="26" t="inlineStr">
        <is>
          <t>Auditory verification of Hindi-locale pedagogical audio (Hindi UI strings or explanations spoken in Hindi)</t>
        </is>
      </c>
      <c r="E35" s="26" t="inlineStr">
        <is>
          <t>1. List every Hindi UI string or explanation that has a corresponding audio asset (if any).
2. Native Hindi speaker auditions each.
3. Mark NATURAL / UNNATURAL / NO-AUDIO.
4. Pass: NATURAL or NO-AUDIO; 0 UNNATURAL.</t>
        </is>
      </c>
      <c r="F35" s="26" t="inlineStr">
        <is>
          <t>0 UNNATURAL Hindi audio renderings.</t>
        </is>
      </c>
      <c r="G35" s="26" t="inlineStr">
        <is>
          <t>P3</t>
        </is>
      </c>
      <c r="H35" s="26" t="inlineStr">
        <is>
          <t>Major</t>
        </is>
      </c>
      <c r="I35" s="26" t="inlineStr">
        <is>
          <t>Manual</t>
        </is>
      </c>
      <c r="J35" s="26" t="inlineStr">
        <is>
          <t>[BUG-032 new] Coverage gap. Currently audio is JA-only; this confirms or scopes Hindi audio addition.</t>
        </is>
      </c>
      <c r="K35" s="26" t="inlineStr"/>
      <c r="L35" s="26" t="inlineStr">
        <is>
          <t>Native Hindi teacher</t>
        </is>
      </c>
      <c r="M35" s="26" t="inlineStr">
        <is>
          <t>Manual review by native Hindi speaker</t>
        </is>
      </c>
      <c r="N35" s="26" t="n"/>
      <c r="O35" s="26" t="inlineStr">
        <is>
          <t>Not Yet Run</t>
        </is>
      </c>
      <c r="P35" s="26" t="n"/>
      <c r="Q35" s="26" t="n"/>
      <c r="R35" s="26"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17" text="Medium-High">
      <formula>NOT(ISERROR(SEARCH("Medium-High",G5)))</formula>
    </cfRule>
    <cfRule type="containsText" priority="3" operator="containsText" dxfId="31" text="Low-Medium">
      <formula>NOT(ISERROR(SEARCH("Low-Medium",G5)))</formula>
    </cfRule>
    <cfRule type="containsText" priority="4" operator="containsText" dxfId="4" text="High">
      <formula>NOT(ISERROR(SEARCH("High",G5)))</formula>
    </cfRule>
    <cfRule type="containsText" priority="5" operator="containsText" dxfId="3" text="Medium">
      <formula>NOT(ISERROR(SEARCH("Medium",G5)))</formula>
    </cfRule>
    <cfRule type="containsText" priority="6" operator="containsText" dxfId="2" text="Low">
      <formula>NOT(ISERROR(SEARCH("Low",G5)))</formula>
    </cfRule>
    <cfRule type="containsText" priority="7" operator="containsText" dxfId="5" text="P1">
      <formula>NOT(ISERROR(SEARCH("P1",G5)))</formula>
    </cfRule>
    <cfRule type="containsText" priority="8" operator="containsText" dxfId="4" text="P2">
      <formula>NOT(ISERROR(SEARCH("P2",G5)))</formula>
    </cfRule>
    <cfRule type="containsText" priority="9" operator="containsText" dxfId="3" text="P3">
      <formula>NOT(ISERROR(SEARCH("P3",G5)))</formula>
    </cfRule>
    <cfRule type="containsText" priority="10" operator="containsText" dxfId="2" text="P4">
      <formula>NOT(ISERROR(SEARCH("P4",G5)))</formula>
    </cfRule>
    <cfRule type="containsText" priority="11" operator="containsText" dxfId="1" text="P5">
      <formula>NOT(ISERROR(SEARCH("P5",G5)))</formula>
    </cfRule>
  </conditionalFormatting>
  <conditionalFormatting sqref="H5:H34">
    <cfRule type="containsText" priority="12" operator="containsText" dxfId="5" text="Critical">
      <formula>NOT(ISERROR(SEARCH("Critical",H5)))</formula>
    </cfRule>
    <cfRule type="containsText" priority="13" operator="containsText" dxfId="4" text="Major">
      <formula>NOT(ISERROR(SEARCH("Major",H5)))</formula>
    </cfRule>
    <cfRule type="containsText" priority="14" operator="containsText" dxfId="3" text="Minor">
      <formula>NOT(ISERROR(SEARCH("Minor",H5)))</formula>
    </cfRule>
  </conditionalFormatting>
  <conditionalFormatting sqref="I5:I34">
    <cfRule type="containsText" priority="15" operator="containsText" dxfId="18" text="Auto+Manual">
      <formula>NOT(ISERROR(SEARCH("Auto+Manual",I5)))</formula>
    </cfRule>
    <cfRule type="containsText" priority="16" operator="containsText" dxfId="18" text="Hybrid">
      <formula>NOT(ISERROR(SEARCH("Hybrid",I5)))</formula>
    </cfRule>
    <cfRule type="containsText" priority="17" operator="containsText" dxfId="17"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min="1" max="1"/>
    <col width="19.08984375" customWidth="1" min="2" max="2"/>
    <col width="9.08984375" customWidth="1" min="3" max="3"/>
    <col width="43.6328125" customWidth="1" min="4" max="4"/>
    <col width="50.90625" customWidth="1" min="5" max="5"/>
    <col width="40" customWidth="1" min="6" max="6"/>
    <col width="14.54296875" customWidth="1" min="7" max="7"/>
    <col width="16.36328125" customWidth="1" min="8" max="8"/>
    <col width="14.54296875" customWidth="1" min="9" max="9"/>
    <col width="32.7265625" customWidth="1" min="10" max="10"/>
    <col width="16" customWidth="1" min="11" max="11"/>
    <col width="24" customWidth="1" min="12" max="12"/>
    <col width="32" customWidth="1" min="13" max="13"/>
    <col width="14" customWidth="1" min="14" max="14"/>
    <col width="14" customWidth="1" min="15" max="15"/>
    <col width="18" customWidth="1" min="16" max="16"/>
    <col width="16" customWidth="1" min="17" max="17"/>
    <col width="12" customWidth="1" min="18" max="18"/>
  </cols>
  <sheetData>
    <row r="1" ht="28" customHeight="1">
      <c r="A1" s="9" t="inlineStr">
        <is>
          <t>B. JLPT format</t>
        </is>
      </c>
    </row>
    <row r="2" ht="36" customHeight="1">
      <c r="A2" s="10" t="inlineStr">
        <is>
          <t>Perspectives: JLPT exam-design, JEES-aligned, psychometrician, mock-exam timing specialists (perspectives 11-14)</t>
        </is>
      </c>
    </row>
    <row r="4" ht="24" customHeight="1">
      <c r="A4" s="12" t="inlineStr">
        <is>
          <t>ID</t>
        </is>
      </c>
      <c r="B4" s="12" t="inlineStr">
        <is>
          <t>Sub-category</t>
        </is>
      </c>
      <c r="C4" s="12" t="inlineStr">
        <is>
          <t>Persp #</t>
        </is>
      </c>
      <c r="D4" s="12" t="inlineStr">
        <is>
          <t>Scenario</t>
        </is>
      </c>
      <c r="E4" s="12" t="inlineStr">
        <is>
          <t>Test steps</t>
        </is>
      </c>
      <c r="F4" s="12" t="inlineStr">
        <is>
          <t>Expected result</t>
        </is>
      </c>
      <c r="G4" s="12" t="inlineStr">
        <is>
          <t>Priority</t>
        </is>
      </c>
      <c r="H4" s="12" t="inlineStr">
        <is>
          <t>Severity if fails</t>
        </is>
      </c>
      <c r="I4" s="12" t="inlineStr">
        <is>
          <t>Test type</t>
        </is>
      </c>
      <c r="J4" s="12" t="inlineStr">
        <is>
          <t>Notes</t>
        </is>
      </c>
      <c r="K4" s="25" t="inlineStr">
        <is>
          <t>Estimated effort</t>
        </is>
      </c>
      <c r="L4" s="25" t="inlineStr">
        <is>
          <t>Owner / role</t>
        </is>
      </c>
      <c r="M4" s="25" t="inlineStr">
        <is>
          <t>Tools / scripts required</t>
        </is>
      </c>
      <c r="N4" s="25" t="inlineStr">
        <is>
          <t>Last run date</t>
        </is>
      </c>
      <c r="O4" s="25" t="inlineStr">
        <is>
          <t>Last run result</t>
        </is>
      </c>
      <c r="P4" s="25" t="inlineStr">
        <is>
          <t>Tracker link</t>
        </is>
      </c>
      <c r="Q4" s="25" t="inlineStr">
        <is>
          <t>Depends on</t>
        </is>
      </c>
      <c r="R4" s="25" t="inlineStr">
        <is>
          <t>Coverage %</t>
        </is>
      </c>
    </row>
    <row r="5" ht="51" customHeight="1">
      <c r="A5" s="7" t="inlineStr">
        <is>
          <t>B-001</t>
        </is>
      </c>
      <c r="B5" s="5" t="inlineStr">
        <is>
          <t>Mondai structure</t>
        </is>
      </c>
      <c r="C5" s="6" t="inlineStr">
        <is>
          <t>11</t>
        </is>
      </c>
      <c r="D5" s="5" t="inlineStr">
        <is>
          <t>Mondai 1-6 distribution across paper sections per N5 spec</t>
        </is>
      </c>
      <c r="E5" s="5" t="inlineStr">
        <is>
          <t>1. Inspect papers/{bunpou,goi,moji,dokkai}
2. Verify mondai count matches JEES N5 spec (e.g., dokkai mondai 4=10 items, mondai 5=2 items, mondai 6=1 item)</t>
        </is>
      </c>
      <c r="F5" s="5" t="inlineStr">
        <is>
          <t>Counts match JEES sample paper structure</t>
        </is>
      </c>
      <c r="G5" s="6" t="inlineStr">
        <is>
          <t>P2</t>
        </is>
      </c>
      <c r="H5" s="6" t="inlineStr">
        <is>
          <t>Major</t>
        </is>
      </c>
      <c r="I5" s="6" t="inlineStr">
        <is>
          <t>Manual</t>
        </is>
      </c>
      <c r="J5" s="5" t="inlineStr">
        <is>
          <t>AUDIT-COVERAGE flags difficulty-calibration as unverified</t>
        </is>
      </c>
      <c r="L5" t="inlineStr">
        <is>
          <t>JLPT exam expert (JEES-aligned)</t>
        </is>
      </c>
      <c r="O5" t="inlineStr">
        <is>
          <t>Not Yet Run</t>
        </is>
      </c>
      <c r="R5" t="inlineStr">
        <is>
          <t>0%</t>
        </is>
      </c>
    </row>
    <row r="6" ht="42" customHeight="1">
      <c r="A6" s="7" t="inlineStr">
        <is>
          <t>B-002</t>
        </is>
      </c>
      <c r="B6" s="5" t="inlineStr">
        <is>
          <t>Mondai structure</t>
        </is>
      </c>
      <c r="C6" s="6" t="inlineStr">
        <is>
          <t>11</t>
        </is>
      </c>
      <c r="D6" s="5" t="inlineStr">
        <is>
          <t>Choice count per mondai (3 vs 4 vs 1)</t>
        </is>
      </c>
      <c r="E6" s="5" t="inlineStr">
        <is>
          <t>1. Filter all questions by mondai
2. Verify choice count is JLPT-canonical
3. Currently relaxed: mondai 3 utterance accepts both</t>
        </is>
      </c>
      <c r="F6" s="5" t="inlineStr">
        <is>
          <t>Per-mondai choice count matches spec or has documented exception</t>
        </is>
      </c>
      <c r="G6" s="6" t="inlineStr">
        <is>
          <t>P4</t>
        </is>
      </c>
      <c r="H6" s="6" t="inlineStr">
        <is>
          <t>Minor</t>
        </is>
      </c>
      <c r="I6" s="6" t="inlineStr">
        <is>
          <t>Auto</t>
        </is>
      </c>
      <c r="J6" s="5" t="inlineStr">
        <is>
          <t>Already enforced as gate</t>
        </is>
      </c>
      <c r="L6" t="inlineStr">
        <is>
          <t>JLPT exam expert (JEES-aligned)</t>
        </is>
      </c>
      <c r="M6" t="inlineStr">
        <is>
          <t>tools/check_content_integrity.py (JA-33 — choices-per-mondai check)</t>
        </is>
      </c>
      <c r="O6" t="inlineStr">
        <is>
          <t>Not Yet Run</t>
        </is>
      </c>
      <c r="R6" t="inlineStr">
        <is>
          <t>0%</t>
        </is>
      </c>
    </row>
    <row r="7" ht="43" customHeight="1">
      <c r="A7" s="7" t="inlineStr">
        <is>
          <t>B-003</t>
        </is>
      </c>
      <c r="B7" s="5" t="inlineStr">
        <is>
          <t>Stem format</t>
        </is>
      </c>
      <c r="C7" s="6" t="inlineStr">
        <is>
          <t>11</t>
        </is>
      </c>
      <c r="D7" s="5" t="inlineStr">
        <is>
          <t>Stem-format conformance to JLPT canonical templates</t>
        </is>
      </c>
      <c r="E7" s="5" t="inlineStr">
        <is>
          <t>1. Verify 86 of 102 papers questions match canonical stems (どこですか / 何時に / etc.)
2. Review 16 non-template stems for justifiability</t>
        </is>
      </c>
      <c r="F7" s="5" t="inlineStr">
        <is>
          <t>All non-template stems are legitimately non-template</t>
        </is>
      </c>
      <c r="G7" s="6" t="inlineStr">
        <is>
          <t>P4</t>
        </is>
      </c>
      <c r="H7" s="6" t="inlineStr">
        <is>
          <t>Minor</t>
        </is>
      </c>
      <c r="I7" s="6" t="inlineStr">
        <is>
          <t>Manual</t>
        </is>
      </c>
      <c r="J7" s="5" t="inlineStr">
        <is>
          <t>Phase C audit: 0 findings against 3 dimensions</t>
        </is>
      </c>
      <c r="L7" t="inlineStr">
        <is>
          <t>JLPT exam expert (JEES-aligned)</t>
        </is>
      </c>
      <c r="O7" t="inlineStr">
        <is>
          <t>Not Yet Run</t>
        </is>
      </c>
      <c r="R7" t="inlineStr">
        <is>
          <t>0%</t>
        </is>
      </c>
    </row>
    <row r="8" ht="62" customHeight="1">
      <c r="A8" s="7" t="inlineStr">
        <is>
          <t>B-004</t>
        </is>
      </c>
      <c r="B8" s="5" t="inlineStr">
        <is>
          <t>Distractor pedagogy</t>
        </is>
      </c>
      <c r="C8" s="6" t="inlineStr">
        <is>
          <t>11</t>
        </is>
      </c>
      <c r="D8" s="5" t="inlineStr">
        <is>
          <t>Distractor plausibility per mondai</t>
        </is>
      </c>
      <c r="E8" s="5" t="inlineStr">
        <is>
          <t>1. For 50 random mondai 1 (kanji-reading) questions, verify distractors are phonetically-near-but-wrong
2. For 50 mondai 4 (paraphrase), verify distractors are semantically-near-but-wrong</t>
        </is>
      </c>
      <c r="F8" s="5" t="inlineStr">
        <is>
          <t>All distractors are pedagogically defensible</t>
        </is>
      </c>
      <c r="G8" s="6" t="inlineStr">
        <is>
          <t>P3</t>
        </is>
      </c>
      <c r="H8" s="6" t="inlineStr">
        <is>
          <t>Major</t>
        </is>
      </c>
      <c r="I8" s="6" t="inlineStr">
        <is>
          <t>Manual</t>
        </is>
      </c>
      <c r="J8" s="5" t="inlineStr">
        <is>
          <t>No automated check today — manual only.</t>
        </is>
      </c>
      <c r="L8" t="inlineStr">
        <is>
          <t>JLPT exam expert (JEES-aligned)</t>
        </is>
      </c>
      <c r="O8" t="inlineStr">
        <is>
          <t>Not Yet Run</t>
        </is>
      </c>
      <c r="R8" t="inlineStr">
        <is>
          <t>0%</t>
        </is>
      </c>
    </row>
    <row r="9" ht="30" customHeight="1">
      <c r="A9" s="7" t="inlineStr">
        <is>
          <t>B-005</t>
        </is>
      </c>
      <c r="B9" s="5" t="inlineStr">
        <is>
          <t>Distractor pedagogy</t>
        </is>
      </c>
      <c r="C9" s="6" t="inlineStr">
        <is>
          <t>11</t>
        </is>
      </c>
      <c r="D9" s="5" t="inlineStr">
        <is>
          <t>Distractor-uniqueness (no duplicate distractors across questions)</t>
        </is>
      </c>
      <c r="E9" s="5" t="inlineStr">
        <is>
          <t>1. Per-paper, scan distractor pool
2. Flag distractor reuse within paper</t>
        </is>
      </c>
      <c r="F9" s="5" t="inlineStr">
        <is>
          <t>0 within-paper duplicate distractors</t>
        </is>
      </c>
      <c r="G9" s="6" t="inlineStr">
        <is>
          <t>P5</t>
        </is>
      </c>
      <c r="H9" s="6" t="inlineStr">
        <is>
          <t>Minor</t>
        </is>
      </c>
      <c r="I9" s="6" t="inlineStr">
        <is>
          <t>Auto</t>
        </is>
      </c>
      <c r="J9" s="5" t="inlineStr">
        <is>
          <t>No automated check today — manual only.</t>
        </is>
      </c>
      <c r="L9" t="inlineStr">
        <is>
          <t>JLPT exam expert (JEES-aligned)</t>
        </is>
      </c>
      <c r="M9" t="inlineStr">
        <is>
          <t>tools/check_content_integrity.py (JA-11 — duplicate MCQ choice guard)</t>
        </is>
      </c>
      <c r="O9" t="inlineStr">
        <is>
          <t>Not Yet Run</t>
        </is>
      </c>
      <c r="R9" t="inlineStr">
        <is>
          <t>0%</t>
        </is>
      </c>
    </row>
    <row r="10" ht="38" customHeight="1">
      <c r="A10" s="7" t="inlineStr">
        <is>
          <t>B-006</t>
        </is>
      </c>
      <c r="B10" s="5" t="inlineStr">
        <is>
          <t>Difficulty calibration</t>
        </is>
      </c>
      <c r="C10" s="6" t="inlineStr">
        <is>
          <t>12</t>
        </is>
      </c>
      <c r="D10" s="5" t="inlineStr">
        <is>
          <t>Vocab-frequency against N5 official word-list</t>
        </is>
      </c>
      <c r="E10" s="5" t="inlineStr">
        <is>
          <t>1. Cross-check shipped vocab against published N5 frequency lists (Tanos / JEES sample)
2. Flag vocab outside top-N5</t>
        </is>
      </c>
      <c r="F10" s="5" t="inlineStr">
        <is>
          <t>≥95% of shipped vocab is in N5 spec</t>
        </is>
      </c>
      <c r="G10" s="6" t="inlineStr">
        <is>
          <t>P3</t>
        </is>
      </c>
      <c r="H10" s="6" t="inlineStr">
        <is>
          <t>Major</t>
        </is>
      </c>
      <c r="I10" s="6" t="inlineStr">
        <is>
          <t>Auto</t>
        </is>
      </c>
      <c r="J10" s="5"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t>
        </is>
      </c>
      <c r="L10" t="inlineStr">
        <is>
          <t>JLPT exam expert (JEES-aligned)</t>
        </is>
      </c>
      <c r="O10" t="inlineStr">
        <is>
          <t>Not Yet Run</t>
        </is>
      </c>
      <c r="R10" t="inlineStr">
        <is>
          <t>0%</t>
        </is>
      </c>
    </row>
    <row r="11" ht="38" customHeight="1">
      <c r="A11" s="7" t="inlineStr">
        <is>
          <t>B-007</t>
        </is>
      </c>
      <c r="B11" s="5" t="inlineStr">
        <is>
          <t>Difficulty calibration</t>
        </is>
      </c>
      <c r="C11" s="6" t="inlineStr">
        <is>
          <t>12</t>
        </is>
      </c>
      <c r="D11" s="5" t="inlineStr">
        <is>
          <t>Grammar-pattern coverage vs JLPT-N5 official spec</t>
        </is>
      </c>
      <c r="E11" s="5" t="inlineStr">
        <is>
          <t>1. Map 178 patterns to JEES-published N5 grammar items
2. Flag missing official patterns or extra non-spec patterns</t>
        </is>
      </c>
      <c r="F11" s="5" t="inlineStr">
        <is>
          <t>Coverage = published N5 list ± documented exceptions</t>
        </is>
      </c>
      <c r="G11" s="6" t="inlineStr">
        <is>
          <t>P3</t>
        </is>
      </c>
      <c r="H11" s="6" t="inlineStr">
        <is>
          <t>Major</t>
        </is>
      </c>
      <c r="I11" s="6" t="inlineStr">
        <is>
          <t>Manual</t>
        </is>
      </c>
      <c r="J11" s="5" t="inlineStr">
        <is>
          <t>No automated check today — manual only.</t>
        </is>
      </c>
      <c r="L11" t="inlineStr">
        <is>
          <t>JLPT exam expert (JEES-aligned)</t>
        </is>
      </c>
      <c r="O11" t="inlineStr">
        <is>
          <t>Not Yet Run</t>
        </is>
      </c>
      <c r="R11" t="inlineStr">
        <is>
          <t>0%</t>
        </is>
      </c>
    </row>
    <row r="12" ht="47" customHeight="1">
      <c r="A12" s="7" t="inlineStr">
        <is>
          <t>B-008</t>
        </is>
      </c>
      <c r="B12" s="5" t="inlineStr">
        <is>
          <t>Difficulty calibration</t>
        </is>
      </c>
      <c r="C12" s="6" t="inlineStr">
        <is>
          <t>12</t>
        </is>
      </c>
      <c r="D12" s="5" t="inlineStr">
        <is>
          <t>Reading-passage length distribution vs real N5 dokkai</t>
        </is>
      </c>
      <c r="E12" s="5" t="inlineStr">
        <is>
          <t>1. Histogram of shipped passage character counts
2. Compare to JEES sample dokkai (typically 60-150 chars for mondai 4, 200-300 for mondai 5)</t>
        </is>
      </c>
      <c r="F12" s="5" t="inlineStr">
        <is>
          <t>Distribution matches JEES sample</t>
        </is>
      </c>
      <c r="G12" s="6" t="inlineStr">
        <is>
          <t>P3</t>
        </is>
      </c>
      <c r="H12" s="6" t="inlineStr">
        <is>
          <t>Major</t>
        </is>
      </c>
      <c r="I12" s="6" t="inlineStr">
        <is>
          <t>Auto</t>
        </is>
      </c>
      <c r="J12" s="5" t="inlineStr">
        <is>
          <t>No automated check today — manual only.</t>
        </is>
      </c>
      <c r="L12" t="inlineStr">
        <is>
          <t>JLPT exam expert (JEES-aligned)</t>
        </is>
      </c>
      <c r="O12" t="inlineStr">
        <is>
          <t>Not Yet Run</t>
        </is>
      </c>
      <c r="R12" t="inlineStr">
        <is>
          <t>0%</t>
        </is>
      </c>
    </row>
    <row r="13" ht="35" customHeight="1">
      <c r="A13" s="7" t="inlineStr">
        <is>
          <t>B-009</t>
        </is>
      </c>
      <c r="B13" s="5" t="inlineStr">
        <is>
          <t>Difficulty calibration</t>
        </is>
      </c>
      <c r="C13" s="6" t="inlineStr">
        <is>
          <t>12</t>
        </is>
      </c>
      <c r="D13" s="5" t="inlineStr">
        <is>
          <t>Listening-script length + speaker-count distribution</t>
        </is>
      </c>
      <c r="E13" s="5" t="inlineStr">
        <is>
          <t>1. For 50 listening items, measure script_ja chars + speaker count
2. Compare to JEES sample N5 listening</t>
        </is>
      </c>
      <c r="F13" s="5" t="inlineStr">
        <is>
          <t>Distribution matches JEES sample</t>
        </is>
      </c>
      <c r="G13" s="6" t="inlineStr">
        <is>
          <t>P3</t>
        </is>
      </c>
      <c r="H13" s="6" t="inlineStr">
        <is>
          <t>Major</t>
        </is>
      </c>
      <c r="I13" s="6" t="inlineStr">
        <is>
          <t>Auto</t>
        </is>
      </c>
      <c r="J13" s="5" t="inlineStr">
        <is>
          <t>No automated check today — manual only.</t>
        </is>
      </c>
      <c r="L13" t="inlineStr">
        <is>
          <t>JLPT exam expert (JEES-aligned)</t>
        </is>
      </c>
      <c r="O13" t="inlineStr">
        <is>
          <t>Not Yet Run</t>
        </is>
      </c>
      <c r="R13" t="inlineStr">
        <is>
          <t>0%</t>
        </is>
      </c>
    </row>
    <row r="14" ht="33" customHeight="1">
      <c r="A14" s="7" t="inlineStr">
        <is>
          <t>B-010</t>
        </is>
      </c>
      <c r="B14" s="5" t="inlineStr">
        <is>
          <t>Timing realism</t>
        </is>
      </c>
      <c r="C14" s="6" t="inlineStr">
        <is>
          <t>14</t>
        </is>
      </c>
      <c r="D14" s="5" t="inlineStr">
        <is>
          <t>Mock-exam time budget (105 min total for N5)</t>
        </is>
      </c>
      <c r="E14" s="5" t="inlineStr">
        <is>
          <t>1. Measure average reading speed on 5 learners' completing a full mock
2. Verify total time ≤ 105 min</t>
        </is>
      </c>
      <c r="F14" s="5" t="inlineStr">
        <is>
          <t>Most learners finish within JLPT time budget</t>
        </is>
      </c>
      <c r="G14" s="6" t="inlineStr">
        <is>
          <t>P5</t>
        </is>
      </c>
      <c r="H14" s="6" t="inlineStr">
        <is>
          <t>Minor</t>
        </is>
      </c>
      <c r="I14" s="6" t="inlineStr">
        <is>
          <t>Manual</t>
        </is>
      </c>
      <c r="J14" s="5" t="inlineStr">
        <is>
          <t>Needs learner data</t>
        </is>
      </c>
      <c r="L14" t="inlineStr">
        <is>
          <t>JLPT exam expert (JEES-aligned)</t>
        </is>
      </c>
      <c r="O14" t="inlineStr">
        <is>
          <t>Not Yet Run</t>
        </is>
      </c>
      <c r="R14" t="inlineStr">
        <is>
          <t>0%</t>
        </is>
      </c>
    </row>
    <row r="15" ht="37" customHeight="1">
      <c r="A15" s="7" t="inlineStr">
        <is>
          <t>B-011</t>
        </is>
      </c>
      <c r="B15" s="5" t="inlineStr">
        <is>
          <t>Timing realism</t>
        </is>
      </c>
      <c r="C15" s="6" t="inlineStr">
        <is>
          <t>14</t>
        </is>
      </c>
      <c r="D15" s="5" t="inlineStr">
        <is>
          <t>Listening section single-play constraint</t>
        </is>
      </c>
      <c r="E15" s="5" t="inlineStr">
        <is>
          <t>1. Verify audio player disables replay on mock-exam mode
2. Verify gap timing between items matches JEES timing</t>
        </is>
      </c>
      <c r="F15" s="5" t="inlineStr">
        <is>
          <t>Mock-mode enforces single-play</t>
        </is>
      </c>
      <c r="G15" s="6" t="inlineStr">
        <is>
          <t>P3</t>
        </is>
      </c>
      <c r="H15" s="6" t="inlineStr">
        <is>
          <t>Major</t>
        </is>
      </c>
      <c r="I15" s="6" t="inlineStr">
        <is>
          <t>Manual</t>
        </is>
      </c>
      <c r="J15" s="5" t="inlineStr">
        <is>
          <t>No automated check today — manual only.</t>
        </is>
      </c>
      <c r="L15" t="inlineStr">
        <is>
          <t>JLPT exam expert (JEES-aligned)</t>
        </is>
      </c>
      <c r="O15" t="inlineStr">
        <is>
          <t>Not Yet Run</t>
        </is>
      </c>
      <c r="R15" t="inlineStr">
        <is>
          <t>0%</t>
        </is>
      </c>
    </row>
    <row r="16" ht="42" customHeight="1">
      <c r="A16" s="7" t="inlineStr">
        <is>
          <t>B-012</t>
        </is>
      </c>
      <c r="B16" s="5" t="inlineStr">
        <is>
          <t>Item validity</t>
        </is>
      </c>
      <c r="C16" s="6" t="inlineStr">
        <is>
          <t>13</t>
        </is>
      </c>
      <c r="D16" s="5" t="inlineStr">
        <is>
          <t>Item-difficulty p-value estimation (when learner data accumulates)</t>
        </is>
      </c>
      <c r="E16" s="5" t="inlineStr">
        <is>
          <t>1. Per-question, compute (correct learners / total attempts)
2. Flag p &gt; 0.95 (too easy) or p &lt; 0.30 (too hard) for an N5 cohort</t>
        </is>
      </c>
      <c r="F16" s="5" t="inlineStr">
        <is>
          <t>p-distribution centered around 0.65-0.80</t>
        </is>
      </c>
      <c r="G16" s="6" t="inlineStr">
        <is>
          <t>P5</t>
        </is>
      </c>
      <c r="H16" s="6" t="inlineStr">
        <is>
          <t>Minor</t>
        </is>
      </c>
      <c r="I16" s="6" t="inlineStr">
        <is>
          <t>Auto</t>
        </is>
      </c>
      <c r="J16" s="5" t="inlineStr">
        <is>
          <t>Requires learner cohort</t>
        </is>
      </c>
      <c r="L16" t="inlineStr">
        <is>
          <t>JLPT exam expert (JEES-aligned)</t>
        </is>
      </c>
      <c r="O16" t="inlineStr">
        <is>
          <t>Not Yet Run</t>
        </is>
      </c>
      <c r="R16" t="inlineStr">
        <is>
          <t>0%</t>
        </is>
      </c>
    </row>
    <row r="17" ht="30" customHeight="1">
      <c r="A17" s="7" t="inlineStr">
        <is>
          <t>B-013</t>
        </is>
      </c>
      <c r="B17" s="5" t="inlineStr">
        <is>
          <t>Item validity</t>
        </is>
      </c>
      <c r="C17" s="6" t="inlineStr">
        <is>
          <t>13</t>
        </is>
      </c>
      <c r="D17" s="5" t="inlineStr">
        <is>
          <t>Item-discrimination (do top-scoring learners pass it?)</t>
        </is>
      </c>
      <c r="E17" s="5" t="inlineStr">
        <is>
          <t>1. Compute biserial correlation per item
2. Flag items with correlation &lt; 0.2</t>
        </is>
      </c>
      <c r="F17" s="5" t="inlineStr">
        <is>
          <t>All items discriminate &gt; 0.2</t>
        </is>
      </c>
      <c r="G17" s="6" t="inlineStr">
        <is>
          <t>P5</t>
        </is>
      </c>
      <c r="H17" s="6" t="inlineStr">
        <is>
          <t>Minor</t>
        </is>
      </c>
      <c r="I17" s="6" t="inlineStr">
        <is>
          <t>Auto</t>
        </is>
      </c>
      <c r="J17" s="5" t="inlineStr">
        <is>
          <t>Requires learner cohort</t>
        </is>
      </c>
      <c r="L17" t="inlineStr">
        <is>
          <t>JLPT exam expert (JEES-aligned)</t>
        </is>
      </c>
      <c r="O17" t="inlineStr">
        <is>
          <t>Not Yet Run</t>
        </is>
      </c>
      <c r="R17" t="inlineStr">
        <is>
          <t>0%</t>
        </is>
      </c>
    </row>
    <row r="18" ht="31" customHeight="1">
      <c r="A18" s="7" t="inlineStr">
        <is>
          <t>B-014</t>
        </is>
      </c>
      <c r="B18" s="5" t="inlineStr">
        <is>
          <t>Format authenticity</t>
        </is>
      </c>
      <c r="C18" s="6" t="inlineStr">
        <is>
          <t>11</t>
        </is>
      </c>
      <c r="D18" s="5" t="inlineStr">
        <is>
          <t>Vocab-reading mondai format (kanji→reading vs reading→kanji)</t>
        </is>
      </c>
      <c r="E18" s="5" t="inlineStr">
        <is>
          <t>1. Verify mondai 1 = kanji→reading, mondai 2 = reading→kanji
2. Check choice format consistency</t>
        </is>
      </c>
      <c r="F18" s="5" t="inlineStr">
        <is>
          <t>Format matches JEES</t>
        </is>
      </c>
      <c r="G18" s="6" t="inlineStr">
        <is>
          <t>P3</t>
        </is>
      </c>
      <c r="H18" s="6" t="inlineStr">
        <is>
          <t>Major</t>
        </is>
      </c>
      <c r="I18" s="6" t="inlineStr">
        <is>
          <t>Manual</t>
        </is>
      </c>
      <c r="J18" s="5" t="inlineStr">
        <is>
          <t>No automated check today — manual only.</t>
        </is>
      </c>
      <c r="L18" t="inlineStr">
        <is>
          <t>JLPT exam expert (JEES-aligned)</t>
        </is>
      </c>
      <c r="O18" t="inlineStr">
        <is>
          <t>Not Yet Run</t>
        </is>
      </c>
      <c r="R18" t="inlineStr">
        <is>
          <t>0%</t>
        </is>
      </c>
    </row>
    <row r="19" ht="30" customHeight="1">
      <c r="A19" s="7" t="inlineStr">
        <is>
          <t>B-015</t>
        </is>
      </c>
      <c r="B19" s="5" t="inlineStr">
        <is>
          <t>Format authenticity</t>
        </is>
      </c>
      <c r="C19" s="6" t="inlineStr">
        <is>
          <t>11</t>
        </is>
      </c>
      <c r="D19" s="5" t="inlineStr">
        <is>
          <t>Kana-script consistency in mondai 3 (orthography)</t>
        </is>
      </c>
      <c r="E19" s="5" t="inlineStr">
        <is>
          <t>1. Verify mondai 3 (orthography) questions have correct-script choices in expected pattern</t>
        </is>
      </c>
      <c r="F19" s="5" t="inlineStr">
        <is>
          <t>Pattern matches JEES sample</t>
        </is>
      </c>
      <c r="G19" s="6" t="inlineStr">
        <is>
          <t>P4</t>
        </is>
      </c>
      <c r="H19" s="6" t="inlineStr">
        <is>
          <t>Minor</t>
        </is>
      </c>
      <c r="I19" s="6" t="inlineStr">
        <is>
          <t>Manual</t>
        </is>
      </c>
      <c r="J19" s="5" t="inlineStr">
        <is>
          <t>No automated check today — manual only.</t>
        </is>
      </c>
      <c r="L19" t="inlineStr">
        <is>
          <t>JLPT exam expert (JEES-aligned)</t>
        </is>
      </c>
      <c r="O19" t="inlineStr">
        <is>
          <t>Not Yet Run</t>
        </is>
      </c>
      <c r="R19" t="inlineStr">
        <is>
          <t>0%</t>
        </is>
      </c>
    </row>
    <row r="20">
      <c r="A20" s="26" t="inlineStr">
        <is>
          <t>B-016</t>
        </is>
      </c>
      <c r="B20" s="26" t="inlineStr">
        <is>
          <t>JEES authenticity</t>
        </is>
      </c>
      <c r="C20" s="26" t="inlineStr">
        <is>
          <t>1</t>
        </is>
      </c>
      <c r="D20" s="26" t="inlineStr">
        <is>
          <t>Side-by-side comparison of mock-test items against JEES sample paper (latest available) per Mondai</t>
        </is>
      </c>
      <c r="E20" s="26" t="inlineStr">
        <is>
          <t>1. Pull JEES public sample paper (2010 or latest available).
2. Pair each of our 4 mondai with its JEES counterpart.
3. JLPT expert reviews question-style, distractor pattern, stem-sentence punctuation, line-break convention.
4. Report deltas per mondai.</t>
        </is>
      </c>
      <c r="F20" s="26" t="inlineStr">
        <is>
          <t>0 critical format deviations; cosmetic deltas documented and accepted/rejected per mondai.</t>
        </is>
      </c>
      <c r="G20" s="26" t="inlineStr">
        <is>
          <t>P2</t>
        </is>
      </c>
      <c r="H20" s="26" t="inlineStr">
        <is>
          <t>Major</t>
        </is>
      </c>
      <c r="I20" s="26" t="inlineStr">
        <is>
          <t>Manual</t>
        </is>
      </c>
      <c r="J20" s="26" t="inlineStr">
        <is>
          <t>[BUG-032 new] Coverage gap caught by editor review.</t>
        </is>
      </c>
      <c r="K20" s="26" t="inlineStr"/>
      <c r="L20" s="26" t="inlineStr">
        <is>
          <t>JLPT exam expert (JEES-aligned)</t>
        </is>
      </c>
      <c r="M20" s="26" t="inlineStr">
        <is>
          <t>Manual review by JLPT exam expert + JEES sample paper PDF</t>
        </is>
      </c>
      <c r="N20" s="26" t="n"/>
      <c r="O20" s="26" t="inlineStr">
        <is>
          <t>Not Yet Run</t>
        </is>
      </c>
      <c r="P20" s="26" t="n"/>
      <c r="Q20" s="26" t="n"/>
      <c r="R20" s="26" t="inlineStr">
        <is>
          <t>0%</t>
        </is>
      </c>
    </row>
    <row r="21">
      <c r="A21" s="26" t="inlineStr">
        <is>
          <t>B-017</t>
        </is>
      </c>
      <c r="B21" s="26" t="inlineStr">
        <is>
          <t>JEES authenticity</t>
        </is>
      </c>
      <c r="C21" s="26" t="inlineStr">
        <is>
          <t>1</t>
        </is>
      </c>
      <c r="D21" s="26" t="inlineStr">
        <is>
          <t>Format authenticity: stem-sentence punctuation, line-break, blank-line conventions vs JEES sample paper</t>
        </is>
      </c>
      <c r="E21" s="26" t="inlineStr">
        <is>
          <t>1. Sample 20 stems from our questions.json + 20 from JEES sample paper.
2. Compare punctuation use (。/、/「」 frequency), line-break placement, blank-line conventions.
3. Report deltas; fix any deviation from JEES convention.</t>
        </is>
      </c>
      <c r="F21" s="26" t="inlineStr">
        <is>
          <t>All 20 of our samples match JEES convention on punctuation + line-breaks.</t>
        </is>
      </c>
      <c r="G21" s="26" t="inlineStr">
        <is>
          <t>P3</t>
        </is>
      </c>
      <c r="H21" s="26" t="inlineStr">
        <is>
          <t>Major</t>
        </is>
      </c>
      <c r="I21" s="26" t="inlineStr">
        <is>
          <t>Manual</t>
        </is>
      </c>
      <c r="J21" s="26" t="inlineStr">
        <is>
          <t>[BUG-032 new] Replaces vague B-003 angle.</t>
        </is>
      </c>
      <c r="K21" s="26" t="inlineStr"/>
      <c r="L21" s="26" t="inlineStr">
        <is>
          <t>JLPT exam expert (JEES-aligned)</t>
        </is>
      </c>
      <c r="M21" s="26" t="inlineStr">
        <is>
          <t>Manual side-by-side review</t>
        </is>
      </c>
      <c r="N21" s="26" t="n"/>
      <c r="O21" s="26" t="inlineStr">
        <is>
          <t>Not Yet Run</t>
        </is>
      </c>
      <c r="P21" s="26" t="n"/>
      <c r="Q21" s="26" t="n"/>
      <c r="R21" s="26" t="inlineStr">
        <is>
          <t>0%</t>
        </is>
      </c>
    </row>
    <row r="22">
      <c r="A22" s="26" t="inlineStr">
        <is>
          <t>B-018</t>
        </is>
      </c>
      <c r="B22" s="26" t="inlineStr">
        <is>
          <t>Stem punctuation</t>
        </is>
      </c>
      <c r="C22" s="26" t="inlineStr">
        <is>
          <t>1</t>
        </is>
      </c>
      <c r="D22" s="26" t="inlineStr">
        <is>
          <t>Stem-sentence punctuation: every fill-in-the-blank stem ends with 。 or ？; blanks rendered with ＿＿＿ not ____ (full-width)</t>
        </is>
      </c>
      <c r="E22" s="26" t="inlineStr">
        <is>
          <t>1. Scan all stem sentences in questions.json.
2. Verify each ends with 。 / ？ / ！; blanks are ＿ (full-width underscore U+FF3F).
3. Report deviations.</t>
        </is>
      </c>
      <c r="F22" s="26" t="inlineStr">
        <is>
          <t>0 stems with half-width underscore; 0 stems without terminal punctuation.</t>
        </is>
      </c>
      <c r="G22" s="26" t="inlineStr">
        <is>
          <t>P3</t>
        </is>
      </c>
      <c r="H22" s="26" t="inlineStr">
        <is>
          <t>Major</t>
        </is>
      </c>
      <c r="I22" s="26" t="inlineStr">
        <is>
          <t>Auto</t>
        </is>
      </c>
      <c r="J22" s="26" t="inlineStr">
        <is>
          <t>[BUG-032 new] Coverage gap — JEES uses full-width punctuation.</t>
        </is>
      </c>
      <c r="K22" s="26" t="inlineStr"/>
      <c r="L22" s="26" t="inlineStr">
        <is>
          <t>JLPT exam expert (JEES-aligned)</t>
        </is>
      </c>
      <c r="M22" s="26" t="inlineStr">
        <is>
          <t>Custom Python (regex scan of stem texts)</t>
        </is>
      </c>
      <c r="N22" s="26" t="n"/>
      <c r="O22" s="26" t="inlineStr">
        <is>
          <t>Not Yet Run</t>
        </is>
      </c>
      <c r="P22" s="26" t="n"/>
      <c r="Q22" s="26" t="n"/>
      <c r="R22" s="26"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17" text="Medium-High">
      <formula>NOT(ISERROR(SEARCH("Medium-High",G5)))</formula>
    </cfRule>
    <cfRule type="containsText" priority="3" operator="containsText" dxfId="31" text="Low-Medium">
      <formula>NOT(ISERROR(SEARCH("Low-Medium",G5)))</formula>
    </cfRule>
    <cfRule type="containsText" priority="4" operator="containsText" dxfId="4" text="High">
      <formula>NOT(ISERROR(SEARCH("High",G5)))</formula>
    </cfRule>
    <cfRule type="containsText" priority="5" operator="containsText" dxfId="3" text="Medium">
      <formula>NOT(ISERROR(SEARCH("Medium",G5)))</formula>
    </cfRule>
    <cfRule type="containsText" priority="6" operator="containsText" dxfId="2" text="Low">
      <formula>NOT(ISERROR(SEARCH("Low",G5)))</formula>
    </cfRule>
    <cfRule type="containsText" priority="7" operator="containsText" dxfId="5" text="P1">
      <formula>NOT(ISERROR(SEARCH("P1",G5)))</formula>
    </cfRule>
    <cfRule type="containsText" priority="8" operator="containsText" dxfId="4" text="P2">
      <formula>NOT(ISERROR(SEARCH("P2",G5)))</formula>
    </cfRule>
    <cfRule type="containsText" priority="9" operator="containsText" dxfId="3" text="P3">
      <formula>NOT(ISERROR(SEARCH("P3",G5)))</formula>
    </cfRule>
    <cfRule type="containsText" priority="10" operator="containsText" dxfId="2" text="P4">
      <formula>NOT(ISERROR(SEARCH("P4",G5)))</formula>
    </cfRule>
    <cfRule type="containsText" priority="11" operator="containsText" dxfId="1" text="P5">
      <formula>NOT(ISERROR(SEARCH("P5",G5)))</formula>
    </cfRule>
  </conditionalFormatting>
  <conditionalFormatting sqref="H5:H19">
    <cfRule type="containsText" priority="12" operator="containsText" dxfId="5" text="Critical">
      <formula>NOT(ISERROR(SEARCH("Critical",H5)))</formula>
    </cfRule>
    <cfRule type="containsText" priority="13" operator="containsText" dxfId="4" text="Major">
      <formula>NOT(ISERROR(SEARCH("Major",H5)))</formula>
    </cfRule>
    <cfRule type="containsText" priority="14" operator="containsText" dxfId="3" text="Minor">
      <formula>NOT(ISERROR(SEARCH("Minor",H5)))</formula>
    </cfRule>
  </conditionalFormatting>
  <conditionalFormatting sqref="I5:I19">
    <cfRule type="containsText" priority="15" operator="containsText" dxfId="18" text="Auto+Manual">
      <formula>NOT(ISERROR(SEARCH("Auto+Manual",I5)))</formula>
    </cfRule>
    <cfRule type="containsText" priority="16" operator="containsText" dxfId="18" text="Hybrid">
      <formula>NOT(ISERROR(SEARCH("Hybrid",I5)))</formula>
    </cfRule>
    <cfRule type="containsText" priority="17" operator="containsText" dxfId="17"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min="1" max="1"/>
    <col width="19.08984375" customWidth="1" min="2" max="2"/>
    <col width="9.08984375" customWidth="1" min="3" max="3"/>
    <col width="43.6328125" customWidth="1" min="4" max="4"/>
    <col width="50.90625" customWidth="1" min="5" max="5"/>
    <col width="40" customWidth="1" min="6" max="6"/>
    <col width="14.54296875" customWidth="1" min="7" max="7"/>
    <col width="16.36328125" customWidth="1" min="8" max="8"/>
    <col width="14.54296875" customWidth="1" min="9" max="9"/>
    <col width="32.7265625" customWidth="1" min="10" max="10"/>
    <col width="16" customWidth="1" min="11" max="11"/>
    <col width="24" customWidth="1" min="12" max="12"/>
    <col width="32" customWidth="1" min="13" max="13"/>
    <col width="14" customWidth="1" min="14" max="14"/>
    <col width="14" customWidth="1" min="15" max="15"/>
    <col width="18" customWidth="1" min="16" max="16"/>
    <col width="16" customWidth="1" min="17" max="17"/>
    <col width="12" customWidth="1" min="18" max="18"/>
  </cols>
  <sheetData>
    <row r="1" ht="28" customHeight="1">
      <c r="A1" s="9" t="inlineStr">
        <is>
          <t>C. Hindi locale</t>
        </is>
      </c>
    </row>
    <row r="2" ht="36" customHeight="1">
      <c r="A2" s="10" t="inlineStr">
        <is>
          <t>Perspectives: Native-Hindi reviewer, Hindi pedagogical terminology, Devanagari typography, Hindi register, EN↔HI bilingual (perspectives 15-19)</t>
        </is>
      </c>
    </row>
    <row r="4" ht="24" customHeight="1">
      <c r="A4" s="12" t="inlineStr">
        <is>
          <t>ID</t>
        </is>
      </c>
      <c r="B4" s="12" t="inlineStr">
        <is>
          <t>Sub-category</t>
        </is>
      </c>
      <c r="C4" s="12" t="inlineStr">
        <is>
          <t>Persp #</t>
        </is>
      </c>
      <c r="D4" s="12" t="inlineStr">
        <is>
          <t>Scenario</t>
        </is>
      </c>
      <c r="E4" s="12" t="inlineStr">
        <is>
          <t>Test steps</t>
        </is>
      </c>
      <c r="F4" s="12" t="inlineStr">
        <is>
          <t>Expected result</t>
        </is>
      </c>
      <c r="G4" s="12" t="inlineStr">
        <is>
          <t>Priority</t>
        </is>
      </c>
      <c r="H4" s="12" t="inlineStr">
        <is>
          <t>Severity if fails</t>
        </is>
      </c>
      <c r="I4" s="12" t="inlineStr">
        <is>
          <t>Test type</t>
        </is>
      </c>
      <c r="J4" s="12" t="inlineStr">
        <is>
          <t>Notes</t>
        </is>
      </c>
      <c r="K4" s="25" t="inlineStr">
        <is>
          <t>Estimated effort</t>
        </is>
      </c>
      <c r="L4" s="25" t="inlineStr">
        <is>
          <t>Owner / role</t>
        </is>
      </c>
      <c r="M4" s="25" t="inlineStr">
        <is>
          <t>Tools / scripts required</t>
        </is>
      </c>
      <c r="N4" s="25" t="inlineStr">
        <is>
          <t>Last run date</t>
        </is>
      </c>
      <c r="O4" s="25" t="inlineStr">
        <is>
          <t>Last run result</t>
        </is>
      </c>
      <c r="P4" s="25" t="inlineStr">
        <is>
          <t>Tracker link</t>
        </is>
      </c>
      <c r="Q4" s="25" t="inlineStr">
        <is>
          <t>Depends on</t>
        </is>
      </c>
      <c r="R4" s="25" t="inlineStr">
        <is>
          <t>Coverage %</t>
        </is>
      </c>
    </row>
    <row r="5" ht="43" customHeight="1">
      <c r="A5" s="7" t="inlineStr">
        <is>
          <t>C-001</t>
        </is>
      </c>
      <c r="B5" s="5" t="inlineStr">
        <is>
          <t>Naturalness</t>
        </is>
      </c>
      <c r="C5" s="6" t="inlineStr">
        <is>
          <t>15</t>
        </is>
      </c>
      <c r="D5" s="5" t="inlineStr">
        <is>
          <t>Random-sample 150 explanation_hi for native-speaker naturalness</t>
        </is>
      </c>
      <c r="E5" s="5" t="inlineStr">
        <is>
          <t>1. Random-sample 150 Hindi explanation strings (reading + questions + vocab)
2. Native Hindi reviewer rates NATURAL/AWKWARD/WRONG</t>
        </is>
      </c>
      <c r="F5" s="5" t="inlineStr">
        <is>
          <t>≥95% NATURAL</t>
        </is>
      </c>
      <c r="G5" s="6" t="inlineStr">
        <is>
          <t>P2</t>
        </is>
      </c>
      <c r="H5" s="6" t="inlineStr">
        <is>
          <t>Major</t>
        </is>
      </c>
      <c r="I5" s="6" t="inlineStr">
        <is>
          <t>Manual</t>
        </is>
      </c>
      <c r="J5" s="5"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L5" t="inlineStr">
        <is>
          <t>Native Hindi teacher</t>
        </is>
      </c>
      <c r="O5" t="inlineStr">
        <is>
          <t>Not Yet Run</t>
        </is>
      </c>
      <c r="R5" t="inlineStr">
        <is>
          <t>0%</t>
        </is>
      </c>
    </row>
    <row r="6" ht="32" customHeight="1">
      <c r="A6" s="7" t="inlineStr">
        <is>
          <t>C-002</t>
        </is>
      </c>
      <c r="B6" s="5" t="inlineStr">
        <is>
          <t>Naturalness</t>
        </is>
      </c>
      <c r="C6" s="6" t="inlineStr">
        <is>
          <t>15</t>
        </is>
      </c>
      <c r="D6" s="5" t="inlineStr">
        <is>
          <t>Distractor_explanations_hi clarity for learners</t>
        </is>
      </c>
      <c r="E6" s="5" t="inlineStr">
        <is>
          <t>1. Random-sample 100 distractor explanations
2. Native Hindi reviewer rates CLEAR/CONFUSING/WRONG</t>
        </is>
      </c>
      <c r="F6" s="5" t="inlineStr">
        <is>
          <t>≥95% CLEAR</t>
        </is>
      </c>
      <c r="G6" s="6" t="inlineStr">
        <is>
          <t>P2</t>
        </is>
      </c>
      <c r="H6" s="6" t="inlineStr">
        <is>
          <t>Major</t>
        </is>
      </c>
      <c r="I6" s="6" t="inlineStr">
        <is>
          <t>Manual</t>
        </is>
      </c>
      <c r="J6" s="5" t="inlineStr">
        <is>
          <t>No automated check today — manual only.</t>
        </is>
      </c>
      <c r="L6" t="inlineStr">
        <is>
          <t>Native Hindi teacher</t>
        </is>
      </c>
      <c r="O6" t="inlineStr">
        <is>
          <t>Not Yet Run</t>
        </is>
      </c>
      <c r="R6" t="inlineStr">
        <is>
          <t>0%</t>
        </is>
      </c>
    </row>
    <row r="7" ht="33" customHeight="1">
      <c r="A7" s="7" t="inlineStr">
        <is>
          <t>C-003</t>
        </is>
      </c>
      <c r="B7" s="5" t="inlineStr">
        <is>
          <t>Naturalness</t>
        </is>
      </c>
      <c r="C7" s="6" t="inlineStr">
        <is>
          <t>15</t>
        </is>
      </c>
      <c r="D7" s="5" t="inlineStr">
        <is>
          <t>rationale_hi pedagogical quality for dokkai questions</t>
        </is>
      </c>
      <c r="E7" s="5" t="inlineStr">
        <is>
          <t>1. Review all 102 dokkai rationale_hi
2. Verify each explains why correct + why distractors are wrong</t>
        </is>
      </c>
      <c r="F7" s="5" t="inlineStr">
        <is>
          <t>All rationales pedagogically sound</t>
        </is>
      </c>
      <c r="G7" s="6" t="inlineStr">
        <is>
          <t>P2</t>
        </is>
      </c>
      <c r="H7" s="6" t="inlineStr">
        <is>
          <t>Major</t>
        </is>
      </c>
      <c r="I7" s="6" t="inlineStr">
        <is>
          <t>Manual</t>
        </is>
      </c>
      <c r="J7" s="5" t="inlineStr">
        <is>
          <t>No automated check today — manual only.</t>
        </is>
      </c>
      <c r="L7" t="inlineStr">
        <is>
          <t>Native Hindi teacher</t>
        </is>
      </c>
      <c r="O7" t="inlineStr">
        <is>
          <t>Not Yet Run</t>
        </is>
      </c>
      <c r="R7" t="inlineStr">
        <is>
          <t>0%</t>
        </is>
      </c>
    </row>
    <row r="8" ht="30" customHeight="1">
      <c r="A8" s="7" t="inlineStr">
        <is>
          <t>C-004</t>
        </is>
      </c>
      <c r="B8" s="5" t="inlineStr">
        <is>
          <t>Terminology</t>
        </is>
      </c>
      <c r="C8" s="6" t="inlineStr">
        <is>
          <t>16</t>
        </is>
      </c>
      <c r="D8" s="5" t="inlineStr">
        <is>
          <t>Linguistic-term consistency: subject (कर्ता / विषय / subject)</t>
        </is>
      </c>
      <c r="E8" s="5" t="inlineStr">
        <is>
          <t>1. Grep all data/*.json for कर्ता / विषय / subject
2. Normalize to one term per concept</t>
        </is>
      </c>
      <c r="F8" s="5" t="inlineStr">
        <is>
          <t>One canonical term per linguistic concept</t>
        </is>
      </c>
      <c r="G8" s="6" t="inlineStr">
        <is>
          <t>P3</t>
        </is>
      </c>
      <c r="H8" s="6" t="inlineStr">
        <is>
          <t>Major</t>
        </is>
      </c>
      <c r="I8" s="6" t="inlineStr">
        <is>
          <t>Auto+Manual</t>
        </is>
      </c>
      <c r="J8" s="5" t="inlineStr">
        <is>
          <t>Drift likely across 12 corpora</t>
        </is>
      </c>
      <c r="L8" t="inlineStr">
        <is>
          <t>Native Hindi teacher</t>
        </is>
      </c>
      <c r="O8" t="inlineStr">
        <is>
          <t>Not Yet Run</t>
        </is>
      </c>
      <c r="R8" t="inlineStr">
        <is>
          <t>0%</t>
        </is>
      </c>
    </row>
    <row r="9" ht="30" customHeight="1">
      <c r="A9" s="7" t="inlineStr">
        <is>
          <t>C-005</t>
        </is>
      </c>
      <c r="B9" s="5" t="inlineStr">
        <is>
          <t>Terminology</t>
        </is>
      </c>
      <c r="C9" s="6" t="inlineStr">
        <is>
          <t>16</t>
        </is>
      </c>
      <c r="D9" s="5" t="inlineStr">
        <is>
          <t>Verb-class naming in Hindi (Group 1/2/3 vs godan/ichidan)</t>
        </is>
      </c>
      <c r="E9" s="5" t="inlineStr">
        <is>
          <t>1. Verify Hindi verb-class names are consistent
2. Choose canonical Hindi term and lock</t>
        </is>
      </c>
      <c r="F9" s="5" t="inlineStr">
        <is>
          <t>All verb-class references use one Hindi term</t>
        </is>
      </c>
      <c r="G9" s="6" t="inlineStr">
        <is>
          <t>P3</t>
        </is>
      </c>
      <c r="H9" s="6" t="inlineStr">
        <is>
          <t>Major</t>
        </is>
      </c>
      <c r="I9" s="6" t="inlineStr">
        <is>
          <t>Manual</t>
        </is>
      </c>
      <c r="J9" s="5" t="inlineStr">
        <is>
          <t>No automated check today — manual only.</t>
        </is>
      </c>
      <c r="L9" t="inlineStr">
        <is>
          <t>Native Hindi teacher</t>
        </is>
      </c>
      <c r="O9" t="inlineStr">
        <is>
          <t>Not Yet Run</t>
        </is>
      </c>
      <c r="R9" t="inlineStr">
        <is>
          <t>0%</t>
        </is>
      </c>
    </row>
    <row r="10" ht="32" customHeight="1">
      <c r="A10" s="7" t="inlineStr">
        <is>
          <t>C-006</t>
        </is>
      </c>
      <c r="B10" s="5" t="inlineStr">
        <is>
          <t>Terminology</t>
        </is>
      </c>
      <c r="C10" s="6" t="inlineStr">
        <is>
          <t>16</t>
        </is>
      </c>
      <c r="D10" s="5" t="inlineStr">
        <is>
          <t>Particle name consistency in Hindi grammar explanations</t>
        </is>
      </c>
      <c r="E10" s="5" t="inlineStr">
        <is>
          <t>1. Verify particle names (が = कर्ता-कारक vs subject-marker vs subject particle)
2. Pick canonical</t>
        </is>
      </c>
      <c r="F10" s="5" t="inlineStr">
        <is>
          <t>Particle naming consistent across grammar.json + reading.json + questions.json</t>
        </is>
      </c>
      <c r="G10" s="6" t="inlineStr">
        <is>
          <t>P3</t>
        </is>
      </c>
      <c r="H10" s="6" t="inlineStr">
        <is>
          <t>Major</t>
        </is>
      </c>
      <c r="I10" s="6" t="inlineStr">
        <is>
          <t>Manual</t>
        </is>
      </c>
      <c r="J10" s="5" t="inlineStr">
        <is>
          <t>No automated check today — manual only.</t>
        </is>
      </c>
      <c r="L10" t="inlineStr">
        <is>
          <t>Native Hindi teacher</t>
        </is>
      </c>
      <c r="O10" t="inlineStr">
        <is>
          <t>Not Yet Run</t>
        </is>
      </c>
      <c r="R10" t="inlineStr">
        <is>
          <t>0%</t>
        </is>
      </c>
    </row>
    <row r="11" ht="37" customHeight="1">
      <c r="A11" s="7" t="inlineStr">
        <is>
          <t>C-007</t>
        </is>
      </c>
      <c r="B11" s="5" t="inlineStr">
        <is>
          <t>Typography</t>
        </is>
      </c>
      <c r="C11" s="6" t="inlineStr">
        <is>
          <t>17</t>
        </is>
      </c>
      <c r="D11" s="5" t="inlineStr">
        <is>
          <t>Devanagari vowel-sign (matra) rendering across all browsers</t>
        </is>
      </c>
      <c r="E11" s="5" t="inlineStr">
        <is>
          <t>1. Render sample page on Chrome / Firefox / Safari / Edge
2. Verify ि, ु, े, ो etc. attach to correct consonant</t>
        </is>
      </c>
      <c r="F11" s="5" t="inlineStr">
        <is>
          <t>0 mis-attached matras</t>
        </is>
      </c>
      <c r="G11" s="6" t="inlineStr">
        <is>
          <t>P4</t>
        </is>
      </c>
      <c r="H11" s="6" t="inlineStr">
        <is>
          <t>Major</t>
        </is>
      </c>
      <c r="I11" s="6" t="inlineStr">
        <is>
          <t>Manual</t>
        </is>
      </c>
      <c r="J11" s="5" t="inlineStr">
        <is>
          <t>No automated check today — manual only.</t>
        </is>
      </c>
      <c r="L11" t="inlineStr">
        <is>
          <t>Native Hindi teacher</t>
        </is>
      </c>
      <c r="O11" t="inlineStr">
        <is>
          <t>Not Yet Run</t>
        </is>
      </c>
      <c r="R11" t="inlineStr">
        <is>
          <t>0%</t>
        </is>
      </c>
    </row>
    <row r="12" ht="30" customHeight="1">
      <c r="A12" s="7" t="inlineStr">
        <is>
          <t>C-008</t>
        </is>
      </c>
      <c r="B12" s="5" t="inlineStr">
        <is>
          <t>Typography</t>
        </is>
      </c>
      <c r="C12" s="6" t="inlineStr">
        <is>
          <t>17</t>
        </is>
      </c>
      <c r="D12" s="5" t="inlineStr">
        <is>
          <t>Conjunct-consonant ligature rendering</t>
        </is>
      </c>
      <c r="E12" s="5" t="inlineStr">
        <is>
          <t>1. Render strings with क्ष, त्र, ज्ञ, द्ध
2. Verify ligature forms display correctly</t>
        </is>
      </c>
      <c r="F12" s="5" t="inlineStr">
        <is>
          <t>All ligatures display as ligatures, not split</t>
        </is>
      </c>
      <c r="G12" s="6" t="inlineStr">
        <is>
          <t>P4</t>
        </is>
      </c>
      <c r="H12" s="6" t="inlineStr">
        <is>
          <t>Major</t>
        </is>
      </c>
      <c r="I12" s="6" t="inlineStr">
        <is>
          <t>Manual</t>
        </is>
      </c>
      <c r="J12" s="5" t="inlineStr">
        <is>
          <t>No automated check today — manual only.</t>
        </is>
      </c>
      <c r="L12" t="inlineStr">
        <is>
          <t>Native Hindi teacher</t>
        </is>
      </c>
      <c r="O12" t="inlineStr">
        <is>
          <t>Not Yet Run</t>
        </is>
      </c>
      <c r="R12" t="inlineStr">
        <is>
          <t>0%</t>
        </is>
      </c>
    </row>
    <row r="13" ht="31" customHeight="1">
      <c r="A13" s="7" t="inlineStr">
        <is>
          <t>C-009</t>
        </is>
      </c>
      <c r="B13" s="5" t="inlineStr">
        <is>
          <t>Typography</t>
        </is>
      </c>
      <c r="C13" s="6" t="inlineStr">
        <is>
          <t>17</t>
        </is>
      </c>
      <c r="D13" s="5" t="inlineStr">
        <is>
          <t>Font fallback when Devanagari font is missing</t>
        </is>
      </c>
      <c r="E13" s="5" t="inlineStr">
        <is>
          <t>1. Simulate user without Noto Sans Devanagari
2. Verify graceful fallback (system Hindi font)</t>
        </is>
      </c>
      <c r="F13" s="5" t="inlineStr">
        <is>
          <t>Fallback acceptable; no tofu / boxes</t>
        </is>
      </c>
      <c r="G13" s="6" t="inlineStr">
        <is>
          <t>P5</t>
        </is>
      </c>
      <c r="H13" s="6" t="inlineStr">
        <is>
          <t>Minor</t>
        </is>
      </c>
      <c r="I13" s="6" t="inlineStr">
        <is>
          <t>Manual</t>
        </is>
      </c>
      <c r="J13" s="5" t="inlineStr">
        <is>
          <t>No automated check today — manual only.</t>
        </is>
      </c>
      <c r="L13" t="inlineStr">
        <is>
          <t>Native Hindi teacher</t>
        </is>
      </c>
      <c r="O13" t="inlineStr">
        <is>
          <t>Not Yet Run</t>
        </is>
      </c>
      <c r="R13" t="inlineStr">
        <is>
          <t>0%</t>
        </is>
      </c>
    </row>
    <row r="14" ht="33" customHeight="1">
      <c r="A14" s="7" t="inlineStr">
        <is>
          <t>C-010</t>
        </is>
      </c>
      <c r="B14" s="5" t="inlineStr">
        <is>
          <t>Typography</t>
        </is>
      </c>
      <c r="C14" s="6" t="inlineStr">
        <is>
          <t>17</t>
        </is>
      </c>
      <c r="D14" s="5" t="inlineStr">
        <is>
          <t>Mixed Devanagari + CJK + Latin baseline alignment</t>
        </is>
      </c>
      <c r="E14" s="5" t="inlineStr">
        <is>
          <t>1. Render strings combining Hindi + Japanese + English on one line
2. Verify baselines align visually</t>
        </is>
      </c>
      <c r="F14" s="5" t="inlineStr">
        <is>
          <t>Acceptable baseline alignment</t>
        </is>
      </c>
      <c r="G14" s="6" t="inlineStr">
        <is>
          <t>P5</t>
        </is>
      </c>
      <c r="H14" s="6" t="inlineStr">
        <is>
          <t>Minor</t>
        </is>
      </c>
      <c r="I14" s="6" t="inlineStr">
        <is>
          <t>Manual</t>
        </is>
      </c>
      <c r="J14" s="5" t="inlineStr">
        <is>
          <t>No automated check today — manual only.</t>
        </is>
      </c>
      <c r="L14" t="inlineStr">
        <is>
          <t>Native Hindi teacher</t>
        </is>
      </c>
      <c r="O14" t="inlineStr">
        <is>
          <t>Not Yet Run</t>
        </is>
      </c>
      <c r="R14" t="inlineStr">
        <is>
          <t>0%</t>
        </is>
      </c>
    </row>
    <row r="15" ht="33" customHeight="1">
      <c r="A15" s="7" t="inlineStr">
        <is>
          <t>C-011</t>
        </is>
      </c>
      <c r="B15" s="5" t="inlineStr">
        <is>
          <t>Register</t>
        </is>
      </c>
      <c r="C15" s="6" t="inlineStr">
        <is>
          <t>18</t>
        </is>
      </c>
      <c r="D15" s="5" t="inlineStr">
        <is>
          <t>Formal vs informal Hindi register coherence within explanations</t>
        </is>
      </c>
      <c r="E15" s="5" t="inlineStr">
        <is>
          <t>1. Native Hindi reviewer reads each explanation_hi paragraph
2. Flag mid-paragraph register-switching</t>
        </is>
      </c>
      <c r="F15" s="5" t="inlineStr">
        <is>
          <t>0 unintended register switches</t>
        </is>
      </c>
      <c r="G15" s="6" t="inlineStr">
        <is>
          <t>P3</t>
        </is>
      </c>
      <c r="H15" s="6" t="inlineStr">
        <is>
          <t>Major</t>
        </is>
      </c>
      <c r="I15" s="6" t="inlineStr">
        <is>
          <t>Manual</t>
        </is>
      </c>
      <c r="J15" s="5" t="inlineStr">
        <is>
          <t>No automated check today — manual only.</t>
        </is>
      </c>
      <c r="L15" t="inlineStr">
        <is>
          <t>Native Hindi teacher</t>
        </is>
      </c>
      <c r="O15" t="inlineStr">
        <is>
          <t>Not Yet Run</t>
        </is>
      </c>
      <c r="R15" t="inlineStr">
        <is>
          <t>0%</t>
        </is>
      </c>
    </row>
    <row r="16" ht="48" customHeight="1">
      <c r="A16" s="7" t="inlineStr">
        <is>
          <t>C-012</t>
        </is>
      </c>
      <c r="B16" s="5" t="inlineStr">
        <is>
          <t>Register</t>
        </is>
      </c>
      <c r="C16" s="6" t="inlineStr">
        <is>
          <t>18</t>
        </is>
      </c>
      <c r="D16" s="5" t="inlineStr">
        <is>
          <t>Sanskritized vs Persianized vocabulary balance</t>
        </is>
      </c>
      <c r="E16" s="5" t="inlineStr">
        <is>
          <t>1. Native reviewer judges whether Hindi register is acceptable for pan-Indian audience
2. Flag overly-Sanskritized OR overly-Urdu-leaning entries</t>
        </is>
      </c>
      <c r="F16" s="5" t="inlineStr">
        <is>
          <t>Balanced 'standard Hindi'</t>
        </is>
      </c>
      <c r="G16" s="6" t="inlineStr">
        <is>
          <t>P4</t>
        </is>
      </c>
      <c r="H16" s="6" t="inlineStr">
        <is>
          <t>Minor</t>
        </is>
      </c>
      <c r="I16" s="6" t="inlineStr">
        <is>
          <t>Manual</t>
        </is>
      </c>
      <c r="J16" s="5" t="inlineStr">
        <is>
          <t>No automated check today — manual only.</t>
        </is>
      </c>
      <c r="L16" t="inlineStr">
        <is>
          <t>Native Hindi teacher</t>
        </is>
      </c>
      <c r="O16" t="inlineStr">
        <is>
          <t>Not Yet Run</t>
        </is>
      </c>
      <c r="R16" t="inlineStr">
        <is>
          <t>0%</t>
        </is>
      </c>
    </row>
    <row r="17" ht="30" customHeight="1">
      <c r="A17" s="7" t="inlineStr">
        <is>
          <t>C-013</t>
        </is>
      </c>
      <c r="B17" s="5" t="inlineStr">
        <is>
          <t>Register</t>
        </is>
      </c>
      <c r="C17" s="6" t="inlineStr">
        <is>
          <t>18</t>
        </is>
      </c>
      <c r="D17" s="5" t="inlineStr">
        <is>
          <t>Regional-variant neutrality (avoid Bombay / Delhi / South-India-specific idioms)</t>
        </is>
      </c>
      <c r="E17" s="5" t="inlineStr">
        <is>
          <t>1. Native reviewer scans for regionally-marked vocab
2. Replace with pan-Indian equivalents</t>
        </is>
      </c>
      <c r="F17" s="5" t="inlineStr">
        <is>
          <t>0 regionally-marked vocab</t>
        </is>
      </c>
      <c r="G17" s="6" t="inlineStr">
        <is>
          <t>P5</t>
        </is>
      </c>
      <c r="H17" s="6" t="inlineStr">
        <is>
          <t>Minor</t>
        </is>
      </c>
      <c r="I17" s="6" t="inlineStr">
        <is>
          <t>Manual</t>
        </is>
      </c>
      <c r="J17" s="5" t="inlineStr">
        <is>
          <t>No automated check today — manual only.</t>
        </is>
      </c>
      <c r="L17" t="inlineStr">
        <is>
          <t>Native Hindi teacher</t>
        </is>
      </c>
      <c r="O17" t="inlineStr">
        <is>
          <t>Not Yet Run</t>
        </is>
      </c>
      <c r="R17" t="inlineStr">
        <is>
          <t>0%</t>
        </is>
      </c>
    </row>
    <row r="18" ht="37" customHeight="1">
      <c r="A18" s="7" t="inlineStr">
        <is>
          <t>C-014</t>
        </is>
      </c>
      <c r="B18" s="5" t="inlineStr">
        <is>
          <t>Cross-language drift</t>
        </is>
      </c>
      <c r="C18" s="6" t="inlineStr">
        <is>
          <t>19</t>
        </is>
      </c>
      <c r="D18" s="5" t="inlineStr">
        <is>
          <t>EN ↔ HI semantic equivalence on the same JA sentence</t>
        </is>
      </c>
      <c r="E18" s="5" t="inlineStr">
        <is>
          <t>1. Sample 100 sentences with explanation_en + explanation_hi
2. Bilingual reviewer verifies meaning equivalence</t>
        </is>
      </c>
      <c r="F18" s="5" t="inlineStr">
        <is>
          <t>0 semantic drift cases</t>
        </is>
      </c>
      <c r="G18" s="6" t="inlineStr">
        <is>
          <t>P3</t>
        </is>
      </c>
      <c r="H18" s="6" t="inlineStr">
        <is>
          <t>Major</t>
        </is>
      </c>
      <c r="I18" s="6" t="inlineStr">
        <is>
          <t>Manual</t>
        </is>
      </c>
      <c r="J18" s="5" t="inlineStr">
        <is>
          <t>Never cross-checked</t>
        </is>
      </c>
      <c r="L18" t="inlineStr">
        <is>
          <t>Native Hindi teacher</t>
        </is>
      </c>
      <c r="O18" t="inlineStr">
        <is>
          <t>Not Yet Run</t>
        </is>
      </c>
      <c r="R18" t="inlineStr">
        <is>
          <t>0%</t>
        </is>
      </c>
    </row>
    <row r="19" ht="30" customHeight="1">
      <c r="A19" s="7" t="inlineStr">
        <is>
          <t>C-015</t>
        </is>
      </c>
      <c r="B19" s="5" t="inlineStr">
        <is>
          <t>Cross-language drift</t>
        </is>
      </c>
      <c r="C19" s="6" t="inlineStr">
        <is>
          <t>19</t>
        </is>
      </c>
      <c r="D19" s="5" t="inlineStr">
        <is>
          <t>Hindi-version pedagogical depth = English-version pedagogical depth</t>
        </is>
      </c>
      <c r="E19" s="5" t="inlineStr">
        <is>
          <t>1. For 50 grammar-pattern explanations, verify Hindi explains as much as English</t>
        </is>
      </c>
      <c r="F19" s="5" t="inlineStr">
        <is>
          <t>Hindi-version not noticeably thinner</t>
        </is>
      </c>
      <c r="G19" s="6" t="inlineStr">
        <is>
          <t>P3</t>
        </is>
      </c>
      <c r="H19" s="6" t="inlineStr">
        <is>
          <t>Major</t>
        </is>
      </c>
      <c r="I19" s="6" t="inlineStr">
        <is>
          <t>Manual</t>
        </is>
      </c>
      <c r="J19" s="5" t="inlineStr">
        <is>
          <t>No automated check today — manual only.</t>
        </is>
      </c>
      <c r="L19" t="inlineStr">
        <is>
          <t>Native Hindi teacher</t>
        </is>
      </c>
      <c r="O19" t="inlineStr">
        <is>
          <t>Not Yet Run</t>
        </is>
      </c>
      <c r="R19" t="inlineStr">
        <is>
          <t>0%</t>
        </is>
      </c>
    </row>
    <row r="20" ht="30" customHeight="1">
      <c r="A20" s="7" t="inlineStr">
        <is>
          <t>C-016</t>
        </is>
      </c>
      <c r="B20" s="5" t="inlineStr">
        <is>
          <t>Locale parity</t>
        </is>
      </c>
      <c r="C20" s="6" t="inlineStr">
        <is>
          <t>15</t>
        </is>
      </c>
      <c r="D20" s="5" t="inlineStr">
        <is>
          <t>Field-presence parity: every EN field has its HI counterpart</t>
        </is>
      </c>
      <c r="E20" s="5" t="inlineStr">
        <is>
          <t>1. Run JA-39 / JA-85 / JA-86 invariants
2. Verify 0 missing HI fields</t>
        </is>
      </c>
      <c r="F20" s="5" t="inlineStr">
        <is>
          <t>0 EN-only or HI-only entries</t>
        </is>
      </c>
      <c r="G20" s="6" t="inlineStr">
        <is>
          <t>P1</t>
        </is>
      </c>
      <c r="H20" s="6" t="inlineStr">
        <is>
          <t>Critical</t>
        </is>
      </c>
      <c r="I20" s="6" t="inlineStr">
        <is>
          <t>Auto</t>
        </is>
      </c>
      <c r="J20" s="5" t="inlineStr">
        <is>
          <t>Already CI-enforced</t>
        </is>
      </c>
      <c r="L20" t="inlineStr">
        <is>
          <t>Native Hindi teacher</t>
        </is>
      </c>
      <c r="O20" t="inlineStr">
        <is>
          <t>Not Yet Run</t>
        </is>
      </c>
      <c r="R20" t="inlineStr">
        <is>
          <t>0%</t>
        </is>
      </c>
    </row>
    <row r="21" ht="30" customHeight="1">
      <c r="A21" s="7" t="inlineStr">
        <is>
          <t>C-017</t>
        </is>
      </c>
      <c r="B21" s="5" t="inlineStr">
        <is>
          <t>Hindi UI</t>
        </is>
      </c>
      <c r="C21" s="6" t="inlineStr">
        <is>
          <t>15</t>
        </is>
      </c>
      <c r="D21" s="5" t="inlineStr">
        <is>
          <t>Hindi locale-switch state retention across navigation</t>
        </is>
      </c>
      <c r="E21" s="5" t="inlineStr">
        <is>
          <t>1. Toggle UI to HI
2. Navigate Grammar → Vocab → Reading
3. Verify HI persists</t>
        </is>
      </c>
      <c r="F21" s="5" t="inlineStr">
        <is>
          <t>Locale persists across routes</t>
        </is>
      </c>
      <c r="G21" s="6" t="inlineStr">
        <is>
          <t>P3</t>
        </is>
      </c>
      <c r="H21" s="6" t="inlineStr">
        <is>
          <t>Major</t>
        </is>
      </c>
      <c r="I21" s="6" t="inlineStr">
        <is>
          <t>Manual</t>
        </is>
      </c>
      <c r="J21" s="5" t="inlineStr">
        <is>
          <t>No automated check today — manual only.</t>
        </is>
      </c>
      <c r="L21" t="inlineStr">
        <is>
          <t>Native Hindi teacher</t>
        </is>
      </c>
      <c r="O21" t="inlineStr">
        <is>
          <t>Not Yet Run</t>
        </is>
      </c>
      <c r="R21" t="inlineStr">
        <is>
          <t>0%</t>
        </is>
      </c>
    </row>
    <row r="22" ht="38" customHeight="1">
      <c r="A22" s="7" t="inlineStr">
        <is>
          <t>C-018</t>
        </is>
      </c>
      <c r="B22" s="5" t="inlineStr">
        <is>
          <t>Hindi pedagogy</t>
        </is>
      </c>
      <c r="C22" s="6" t="inlineStr">
        <is>
          <t>15</t>
        </is>
      </c>
      <c r="D22" s="5" t="inlineStr">
        <is>
          <t>Hindi explanations don't presume English knowledge</t>
        </is>
      </c>
      <c r="E22" s="5" t="inlineStr">
        <is>
          <t>1. Native Hindi-monolingual reviewer reads 50 explanations
2. Flag any explanation that requires EN context to parse</t>
        </is>
      </c>
      <c r="F22" s="5" t="inlineStr">
        <is>
          <t>All HI explanations are self-contained</t>
        </is>
      </c>
      <c r="G22" s="6" t="inlineStr">
        <is>
          <t>P3</t>
        </is>
      </c>
      <c r="H22" s="6" t="inlineStr">
        <is>
          <t>Major</t>
        </is>
      </c>
      <c r="I22" s="6" t="inlineStr">
        <is>
          <t>Manual</t>
        </is>
      </c>
      <c r="J22" s="5" t="inlineStr">
        <is>
          <t>No automated check today — manual only.</t>
        </is>
      </c>
      <c r="L22" t="inlineStr">
        <is>
          <t>Native Hindi teacher</t>
        </is>
      </c>
      <c r="O22" t="inlineStr">
        <is>
          <t>Not Yet Run</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17" text="Medium-High">
      <formula>NOT(ISERROR(SEARCH("Medium-High",G5)))</formula>
    </cfRule>
    <cfRule type="containsText" priority="3" operator="containsText" dxfId="31" text="Low-Medium">
      <formula>NOT(ISERROR(SEARCH("Low-Medium",G5)))</formula>
    </cfRule>
    <cfRule type="containsText" priority="4" operator="containsText" dxfId="4" text="High">
      <formula>NOT(ISERROR(SEARCH("High",G5)))</formula>
    </cfRule>
    <cfRule type="containsText" priority="5" operator="containsText" dxfId="3" text="Medium">
      <formula>NOT(ISERROR(SEARCH("Medium",G5)))</formula>
    </cfRule>
    <cfRule type="containsText" priority="6" operator="containsText" dxfId="2" text="Low">
      <formula>NOT(ISERROR(SEARCH("Low",G5)))</formula>
    </cfRule>
    <cfRule type="containsText" priority="7" operator="containsText" dxfId="5" text="P1">
      <formula>NOT(ISERROR(SEARCH("P1",G5)))</formula>
    </cfRule>
    <cfRule type="containsText" priority="8" operator="containsText" dxfId="4" text="P2">
      <formula>NOT(ISERROR(SEARCH("P2",G5)))</formula>
    </cfRule>
    <cfRule type="containsText" priority="9" operator="containsText" dxfId="3" text="P3">
      <formula>NOT(ISERROR(SEARCH("P3",G5)))</formula>
    </cfRule>
    <cfRule type="containsText" priority="10" operator="containsText" dxfId="2" text="P4">
      <formula>NOT(ISERROR(SEARCH("P4",G5)))</formula>
    </cfRule>
    <cfRule type="containsText" priority="11" operator="containsText" dxfId="1" text="P5">
      <formula>NOT(ISERROR(SEARCH("P5",G5)))</formula>
    </cfRule>
  </conditionalFormatting>
  <conditionalFormatting sqref="H5:H22">
    <cfRule type="containsText" priority="12" operator="containsText" dxfId="5" text="Critical">
      <formula>NOT(ISERROR(SEARCH("Critical",H5)))</formula>
    </cfRule>
    <cfRule type="containsText" priority="13" operator="containsText" dxfId="4" text="Major">
      <formula>NOT(ISERROR(SEARCH("Major",H5)))</formula>
    </cfRule>
    <cfRule type="containsText" priority="14" operator="containsText" dxfId="3" text="Minor">
      <formula>NOT(ISERROR(SEARCH("Minor",H5)))</formula>
    </cfRule>
  </conditionalFormatting>
  <conditionalFormatting sqref="I5:I22">
    <cfRule type="containsText" priority="15" operator="containsText" dxfId="18" text="Auto+Manual">
      <formula>NOT(ISERROR(SEARCH("Auto+Manual",I5)))</formula>
    </cfRule>
    <cfRule type="containsText" priority="16" operator="containsText" dxfId="18" text="Hybrid">
      <formula>NOT(ISERROR(SEARCH("Hybrid",I5)))</formula>
    </cfRule>
    <cfRule type="containsText" priority="17" operator="containsText" dxfId="17"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min="1" max="1"/>
    <col width="19.08984375" customWidth="1" min="2" max="2"/>
    <col width="9.08984375" customWidth="1" min="3" max="3"/>
    <col width="43.6328125" customWidth="1" min="4" max="4"/>
    <col width="50.90625" customWidth="1" min="5" max="5"/>
    <col width="40" customWidth="1" min="6" max="6"/>
    <col width="14.54296875" customWidth="1" min="7" max="7"/>
    <col width="16.36328125" customWidth="1" min="8" max="8"/>
    <col width="14.54296875" customWidth="1" min="9" max="9"/>
    <col width="32.7265625" customWidth="1" min="10" max="10"/>
    <col width="16" customWidth="1" min="11" max="11"/>
    <col width="24" customWidth="1" min="12" max="12"/>
    <col width="32" customWidth="1" min="13" max="13"/>
    <col width="14" customWidth="1" min="14" max="14"/>
    <col width="14" customWidth="1" min="15" max="15"/>
    <col width="18" customWidth="1" min="16" max="16"/>
    <col width="16" customWidth="1" min="17" max="17"/>
    <col width="12" customWidth="1" min="18" max="18"/>
  </cols>
  <sheetData>
    <row r="1" ht="28" customHeight="1">
      <c r="A1" s="9" t="inlineStr">
        <is>
          <t>D. UX design</t>
        </is>
      </c>
    </row>
    <row r="2" ht="36" customHeight="1">
      <c r="A2" s="10" t="inlineStr">
        <is>
          <t>Perspectives: UI / UX designer, visual designer, interaction designer, IA, onboarding, cognitive-load, gamification, form-input, dark-mode (perspectives 20-28)</t>
        </is>
      </c>
    </row>
    <row r="4" ht="24" customHeight="1">
      <c r="A4" s="12" t="inlineStr">
        <is>
          <t>ID</t>
        </is>
      </c>
      <c r="B4" s="12" t="inlineStr">
        <is>
          <t>Sub-category</t>
        </is>
      </c>
      <c r="C4" s="12" t="inlineStr">
        <is>
          <t>Persp #</t>
        </is>
      </c>
      <c r="D4" s="12" t="inlineStr">
        <is>
          <t>Scenario</t>
        </is>
      </c>
      <c r="E4" s="12" t="inlineStr">
        <is>
          <t>Test steps</t>
        </is>
      </c>
      <c r="F4" s="12" t="inlineStr">
        <is>
          <t>Expected result</t>
        </is>
      </c>
      <c r="G4" s="12" t="inlineStr">
        <is>
          <t>Priority</t>
        </is>
      </c>
      <c r="H4" s="12" t="inlineStr">
        <is>
          <t>Severity if fails</t>
        </is>
      </c>
      <c r="I4" s="12" t="inlineStr">
        <is>
          <t>Test type</t>
        </is>
      </c>
      <c r="J4" s="12" t="inlineStr">
        <is>
          <t>Notes</t>
        </is>
      </c>
      <c r="K4" s="25" t="inlineStr">
        <is>
          <t>Estimated effort</t>
        </is>
      </c>
      <c r="L4" s="25" t="inlineStr">
        <is>
          <t>Owner / role</t>
        </is>
      </c>
      <c r="M4" s="25" t="inlineStr">
        <is>
          <t>Tools / scripts required</t>
        </is>
      </c>
      <c r="N4" s="25" t="inlineStr">
        <is>
          <t>Last run date</t>
        </is>
      </c>
      <c r="O4" s="25" t="inlineStr">
        <is>
          <t>Last run result</t>
        </is>
      </c>
      <c r="P4" s="25" t="inlineStr">
        <is>
          <t>Tracker link</t>
        </is>
      </c>
      <c r="Q4" s="25" t="inlineStr">
        <is>
          <t>Depends on</t>
        </is>
      </c>
      <c r="R4" s="25" t="inlineStr">
        <is>
          <t>Coverage %</t>
        </is>
      </c>
    </row>
    <row r="5" ht="40" customHeight="1">
      <c r="A5" s="7" t="inlineStr">
        <is>
          <t>D-001</t>
        </is>
      </c>
      <c r="B5" s="5" t="inlineStr">
        <is>
          <t>Visual hierarchy</t>
        </is>
      </c>
      <c r="C5" s="6" t="inlineStr">
        <is>
          <t>20</t>
        </is>
      </c>
      <c r="D5" s="5" t="inlineStr">
        <is>
          <t>Quiz page primary-action prominence</t>
        </is>
      </c>
      <c r="E5" s="5"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5" t="inlineStr">
        <is>
          <t>Submit / Check action is most prominent</t>
        </is>
      </c>
      <c r="G5" s="6" t="inlineStr">
        <is>
          <t>P3</t>
        </is>
      </c>
      <c r="H5" s="6" t="inlineStr">
        <is>
          <t>Major</t>
        </is>
      </c>
      <c r="I5" s="6" t="inlineStr">
        <is>
          <t>Manual</t>
        </is>
      </c>
      <c r="J5" s="5" t="inlineStr">
        <is>
          <t>UX evaluation method and sample size now specified in Test-steps cell per BUG-031.</t>
        </is>
      </c>
      <c r="L5" t="inlineStr">
        <is>
          <t>UI/UX designer</t>
        </is>
      </c>
      <c r="O5" t="inlineStr">
        <is>
          <t>Not Yet Run</t>
        </is>
      </c>
      <c r="R5" t="inlineStr">
        <is>
          <t>0%</t>
        </is>
      </c>
    </row>
    <row r="6" ht="30" customHeight="1">
      <c r="A6" s="7" t="inlineStr">
        <is>
          <t>D-002</t>
        </is>
      </c>
      <c r="B6" s="5" t="inlineStr">
        <is>
          <t>Visual hierarchy</t>
        </is>
      </c>
      <c r="C6" s="6" t="inlineStr">
        <is>
          <t>20</t>
        </is>
      </c>
      <c r="D6" s="5" t="inlineStr">
        <is>
          <t>Empty-state design (no-progress learner, fresh app)</t>
        </is>
      </c>
      <c r="E6" s="5" t="inlineStr">
        <is>
          <t>1. Open app with clear localStorage
2. Verify empty-state messaging guides next step</t>
        </is>
      </c>
      <c r="F6" s="5" t="inlineStr">
        <is>
          <t>Empty-state has clear CTA</t>
        </is>
      </c>
      <c r="G6" s="6" t="inlineStr">
        <is>
          <t>P3</t>
        </is>
      </c>
      <c r="H6" s="6" t="inlineStr">
        <is>
          <t>Major</t>
        </is>
      </c>
      <c r="I6" s="6" t="inlineStr">
        <is>
          <t>Manual</t>
        </is>
      </c>
      <c r="J6" s="5" t="inlineStr">
        <is>
          <t>No automated check today — manual only.</t>
        </is>
      </c>
      <c r="L6" t="inlineStr">
        <is>
          <t>UI/UX designer</t>
        </is>
      </c>
      <c r="O6" t="inlineStr">
        <is>
          <t>Not Yet Run</t>
        </is>
      </c>
      <c r="R6" t="inlineStr">
        <is>
          <t>0%</t>
        </is>
      </c>
    </row>
    <row r="7" ht="31" customHeight="1">
      <c r="A7" s="7" t="inlineStr">
        <is>
          <t>D-003</t>
        </is>
      </c>
      <c r="B7" s="5" t="inlineStr">
        <is>
          <t>Visual hierarchy</t>
        </is>
      </c>
      <c r="C7" s="6" t="inlineStr">
        <is>
          <t>20</t>
        </is>
      </c>
      <c r="D7" s="5" t="inlineStr">
        <is>
          <t>Loading-state design for audio + data fetches</t>
        </is>
      </c>
      <c r="E7" s="5" t="inlineStr">
        <is>
          <t>1. Throttle network to 3G
2. Open vocab module
3. Verify loading indicator appears within 200ms</t>
        </is>
      </c>
      <c r="F7" s="5" t="inlineStr">
        <is>
          <t>Loading indicator visible during fetch</t>
        </is>
      </c>
      <c r="G7" s="6" t="inlineStr">
        <is>
          <t>P4</t>
        </is>
      </c>
      <c r="H7" s="6" t="inlineStr">
        <is>
          <t>Minor</t>
        </is>
      </c>
      <c r="I7" s="6" t="inlineStr">
        <is>
          <t>Manual</t>
        </is>
      </c>
      <c r="J7" s="5" t="inlineStr">
        <is>
          <t>No automated check today — manual only.</t>
        </is>
      </c>
      <c r="L7" t="inlineStr">
        <is>
          <t>UI/UX designer</t>
        </is>
      </c>
      <c r="O7" t="inlineStr">
        <is>
          <t>Not Yet Run</t>
        </is>
      </c>
      <c r="R7" t="inlineStr">
        <is>
          <t>0%</t>
        </is>
      </c>
    </row>
    <row r="8" ht="36" customHeight="1">
      <c r="A8" s="7" t="inlineStr">
        <is>
          <t>D-004</t>
        </is>
      </c>
      <c r="B8" s="5" t="inlineStr">
        <is>
          <t>Color palette</t>
        </is>
      </c>
      <c r="C8" s="6" t="inlineStr">
        <is>
          <t>21</t>
        </is>
      </c>
      <c r="D8" s="5" t="inlineStr">
        <is>
          <t>Primary color (PRIMARY_DARK = #14452a) contrast against white background</t>
        </is>
      </c>
      <c r="E8" s="5" t="inlineStr">
        <is>
          <t>1. Measure WCAG contrast ratio for text using #14452a on #ffffff
2. Verify ≥ 4.5:1 for body, ≥ 3:1 for large</t>
        </is>
      </c>
      <c r="F8" s="5" t="inlineStr">
        <is>
          <t>Contrast ≥ AA standard</t>
        </is>
      </c>
      <c r="G8" s="6" t="inlineStr">
        <is>
          <t>P3</t>
        </is>
      </c>
      <c r="H8" s="6" t="inlineStr">
        <is>
          <t>Major</t>
        </is>
      </c>
      <c r="I8" s="6" t="inlineStr">
        <is>
          <t>Auto</t>
        </is>
      </c>
      <c r="J8" s="5" t="inlineStr">
        <is>
          <t>No automated check today — manual only.</t>
        </is>
      </c>
      <c r="L8" t="inlineStr">
        <is>
          <t>UI/UX designer</t>
        </is>
      </c>
      <c r="O8" t="inlineStr">
        <is>
          <t>Not Yet Run</t>
        </is>
      </c>
      <c r="R8" t="inlineStr">
        <is>
          <t>0%</t>
        </is>
      </c>
    </row>
    <row r="9" ht="30" customHeight="1">
      <c r="A9" s="7" t="inlineStr">
        <is>
          <t>D-005</t>
        </is>
      </c>
      <c r="B9" s="5" t="inlineStr">
        <is>
          <t>Color palette</t>
        </is>
      </c>
      <c r="C9" s="6" t="inlineStr">
        <is>
          <t>21</t>
        </is>
      </c>
      <c r="D9" s="5" t="inlineStr">
        <is>
          <t>Link color (#1a5c38) contrast vs primary text</t>
        </is>
      </c>
      <c r="E9" s="5" t="inlineStr">
        <is>
          <t>1. Verify links are distinguishable from body text by color alone (and also another cue)</t>
        </is>
      </c>
      <c r="F9" s="5" t="inlineStr">
        <is>
          <t>Links pass color-distinguishability check + have underline or other cue</t>
        </is>
      </c>
      <c r="G9" s="6" t="inlineStr">
        <is>
          <t>P4</t>
        </is>
      </c>
      <c r="H9" s="6" t="inlineStr">
        <is>
          <t>Minor</t>
        </is>
      </c>
      <c r="I9" s="6" t="inlineStr">
        <is>
          <t>Manual</t>
        </is>
      </c>
      <c r="J9" s="5" t="inlineStr">
        <is>
          <t>No automated check today — manual only.</t>
        </is>
      </c>
      <c r="L9" t="inlineStr">
        <is>
          <t>UI/UX designer</t>
        </is>
      </c>
      <c r="O9" t="inlineStr">
        <is>
          <t>Not Yet Run</t>
        </is>
      </c>
      <c r="R9" t="inlineStr">
        <is>
          <t>0%</t>
        </is>
      </c>
    </row>
    <row r="10" ht="35" customHeight="1">
      <c r="A10" s="7" t="inlineStr">
        <is>
          <t>D-006</t>
        </is>
      </c>
      <c r="B10" s="5" t="inlineStr">
        <is>
          <t>Color palette</t>
        </is>
      </c>
      <c r="C10" s="6" t="inlineStr">
        <is>
          <t>21</t>
        </is>
      </c>
      <c r="D10" s="5" t="inlineStr">
        <is>
          <t>Correct / wrong state colors are color-blind-safe</t>
        </is>
      </c>
      <c r="E10" s="5" t="inlineStr">
        <is>
          <t>1. Render correct (green) + wrong (red) feedback states
2. View through deuteranopia / protanopia simulator</t>
        </is>
      </c>
      <c r="F10" s="5" t="inlineStr">
        <is>
          <t>Colorblind users can distinguish; backed by icon/text</t>
        </is>
      </c>
      <c r="G10" s="6" t="inlineStr">
        <is>
          <t>P3</t>
        </is>
      </c>
      <c r="H10" s="6" t="inlineStr">
        <is>
          <t>Major</t>
        </is>
      </c>
      <c r="I10" s="6" t="inlineStr">
        <is>
          <t>Manual</t>
        </is>
      </c>
      <c r="J10" s="5" t="inlineStr">
        <is>
          <t>No automated check today — manual only.</t>
        </is>
      </c>
      <c r="L10" t="inlineStr">
        <is>
          <t>UI/UX designer</t>
        </is>
      </c>
      <c r="O10" t="inlineStr">
        <is>
          <t>Not Yet Run</t>
        </is>
      </c>
      <c r="R10" t="inlineStr">
        <is>
          <t>0%</t>
        </is>
      </c>
    </row>
    <row r="11" ht="32" customHeight="1">
      <c r="A11" s="7" t="inlineStr">
        <is>
          <t>D-007</t>
        </is>
      </c>
      <c r="B11" s="5" t="inlineStr">
        <is>
          <t>Typography</t>
        </is>
      </c>
      <c r="C11" s="6" t="inlineStr">
        <is>
          <t>21</t>
        </is>
      </c>
      <c r="D11" s="5" t="inlineStr">
        <is>
          <t>CJK + Devanagari + Latin co-existence on one line</t>
        </is>
      </c>
      <c r="E11" s="5" t="inlineStr">
        <is>
          <t>1. Render strings mixing the 3 scripts
2. Verify font choice doesn't break baseline / line-height</t>
        </is>
      </c>
      <c r="F11" s="5" t="inlineStr">
        <is>
          <t>Acceptable typography across 3 scripts</t>
        </is>
      </c>
      <c r="G11" s="6" t="inlineStr">
        <is>
          <t>P4</t>
        </is>
      </c>
      <c r="H11" s="6" t="inlineStr">
        <is>
          <t>Minor</t>
        </is>
      </c>
      <c r="I11" s="6" t="inlineStr">
        <is>
          <t>Manual</t>
        </is>
      </c>
      <c r="J11" s="5" t="inlineStr">
        <is>
          <t>[BUG-030 cross-ref] DUPLICATE of C-010 (CJK + Devanagari + Latin baseline). Canonical home: C tab.</t>
        </is>
      </c>
      <c r="L11" t="inlineStr">
        <is>
          <t>UI/UX designer</t>
        </is>
      </c>
      <c r="O11" t="inlineStr">
        <is>
          <t>Not Yet Run</t>
        </is>
      </c>
      <c r="R11" t="inlineStr">
        <is>
          <t>0%</t>
        </is>
      </c>
    </row>
    <row r="12" ht="30" customHeight="1">
      <c r="A12" s="7" t="inlineStr">
        <is>
          <t>D-008</t>
        </is>
      </c>
      <c r="B12" s="5" t="inlineStr">
        <is>
          <t>Typography</t>
        </is>
      </c>
      <c r="C12" s="6" t="inlineStr">
        <is>
          <t>21</t>
        </is>
      </c>
      <c r="D12" s="5" t="inlineStr">
        <is>
          <t>Furigana ruby-text size relative to base text</t>
        </is>
      </c>
      <c r="E12" s="5" t="inlineStr">
        <is>
          <t>1. Render kanji + furigana
2. Verify furigana is ~50% size; readable on mobile</t>
        </is>
      </c>
      <c r="F12" s="5" t="inlineStr">
        <is>
          <t>Furigana readable on smallest target device</t>
        </is>
      </c>
      <c r="G12" s="6" t="inlineStr">
        <is>
          <t>P3</t>
        </is>
      </c>
      <c r="H12" s="6" t="inlineStr">
        <is>
          <t>Major</t>
        </is>
      </c>
      <c r="I12" s="6" t="inlineStr">
        <is>
          <t>Manual</t>
        </is>
      </c>
      <c r="J12" s="5" t="inlineStr">
        <is>
          <t>No automated check today — manual only.</t>
        </is>
      </c>
      <c r="L12" t="inlineStr">
        <is>
          <t>UI/UX designer</t>
        </is>
      </c>
      <c r="O12" t="inlineStr">
        <is>
          <t>Not Yet Run</t>
        </is>
      </c>
      <c r="R12" t="inlineStr">
        <is>
          <t>0%</t>
        </is>
      </c>
    </row>
    <row r="13" ht="31" customHeight="1">
      <c r="A13" s="7" t="inlineStr">
        <is>
          <t>D-009</t>
        </is>
      </c>
      <c r="B13" s="5" t="inlineStr">
        <is>
          <t>Typography</t>
        </is>
      </c>
      <c r="C13" s="6" t="inlineStr">
        <is>
          <t>21</t>
        </is>
      </c>
      <c r="D13" s="5" t="inlineStr">
        <is>
          <t>Japanese punctuation handling (、 。 「 」) line-wrapping rules</t>
        </is>
      </c>
      <c r="E13" s="5" t="inlineStr">
        <is>
          <t>1. Render long Japanese sentences with various punctuation
2. Verify 行頭禁則 (no 。 at line start)</t>
        </is>
      </c>
      <c r="F13" s="5" t="inlineStr">
        <is>
          <t>Punctuation follows JIS X 4051 ish convention</t>
        </is>
      </c>
      <c r="G13" s="6" t="inlineStr">
        <is>
          <t>P5</t>
        </is>
      </c>
      <c r="H13" s="6" t="inlineStr">
        <is>
          <t>Minor</t>
        </is>
      </c>
      <c r="I13" s="6" t="inlineStr">
        <is>
          <t>Manual</t>
        </is>
      </c>
      <c r="J13" s="5" t="inlineStr">
        <is>
          <t>No automated check today — manual only.</t>
        </is>
      </c>
      <c r="L13" t="inlineStr">
        <is>
          <t>UI/UX designer</t>
        </is>
      </c>
      <c r="O13" t="inlineStr">
        <is>
          <t>Not Yet Run</t>
        </is>
      </c>
      <c r="R13" t="inlineStr">
        <is>
          <t>0%</t>
        </is>
      </c>
    </row>
    <row r="14" ht="30" customHeight="1">
      <c r="A14" s="7" t="inlineStr">
        <is>
          <t>D-010</t>
        </is>
      </c>
      <c r="B14" s="5" t="inlineStr">
        <is>
          <t>Information architecture</t>
        </is>
      </c>
      <c r="C14" s="6" t="inlineStr">
        <is>
          <t>23</t>
        </is>
      </c>
      <c r="D14" s="5" t="inlineStr">
        <is>
          <t>Module taxonomy clarity (Grammar / Vocab / Kanji / Reading / Listening / Mock)</t>
        </is>
      </c>
      <c r="E14" s="5"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5" t="inlineStr">
        <is>
          <t>≤ 5 seconds to find a module from home</t>
        </is>
      </c>
      <c r="G14" s="6" t="inlineStr">
        <is>
          <t>P3</t>
        </is>
      </c>
      <c r="H14" s="6" t="inlineStr">
        <is>
          <t>Major</t>
        </is>
      </c>
      <c r="I14" s="6" t="inlineStr">
        <is>
          <t>Manual</t>
        </is>
      </c>
      <c r="J14" s="5" t="inlineStr">
        <is>
          <t>UX evaluation method and sample size now specified in Test-steps cell per BUG-031.</t>
        </is>
      </c>
      <c r="L14" t="inlineStr">
        <is>
          <t>UI/UX designer</t>
        </is>
      </c>
      <c r="O14" t="inlineStr">
        <is>
          <t>Not Yet Run</t>
        </is>
      </c>
      <c r="R14" t="inlineStr">
        <is>
          <t>0%</t>
        </is>
      </c>
    </row>
    <row r="15" ht="37" customHeight="1">
      <c r="A15" s="7" t="inlineStr">
        <is>
          <t>D-011</t>
        </is>
      </c>
      <c r="B15" s="5" t="inlineStr">
        <is>
          <t>Information architecture</t>
        </is>
      </c>
      <c r="C15" s="6" t="inlineStr">
        <is>
          <t>23</t>
        </is>
      </c>
      <c r="D15" s="5" t="inlineStr">
        <is>
          <t>Cross-link integrity between vocab and grammar</t>
        </is>
      </c>
      <c r="E15" s="5" t="inlineStr">
        <is>
          <t>1. Open a vocab entry that references a grammar pattern
2. Click the cross-link
3. Verify it navigates correctly</t>
        </is>
      </c>
      <c r="F15" s="5" t="inlineStr">
        <is>
          <t>All cross-links resolve and navigate</t>
        </is>
      </c>
      <c r="G15" s="6" t="inlineStr">
        <is>
          <t>P3</t>
        </is>
      </c>
      <c r="H15" s="6" t="inlineStr">
        <is>
          <t>Major</t>
        </is>
      </c>
      <c r="I15" s="6" t="inlineStr">
        <is>
          <t>Manual</t>
        </is>
      </c>
      <c r="J15" s="5" t="inlineStr">
        <is>
          <t>No automated check today — manual only.</t>
        </is>
      </c>
      <c r="L15" t="inlineStr">
        <is>
          <t>UI/UX designer</t>
        </is>
      </c>
      <c r="O15" t="inlineStr">
        <is>
          <t>Not Yet Run</t>
        </is>
      </c>
      <c r="R15" t="inlineStr">
        <is>
          <t>0%</t>
        </is>
      </c>
    </row>
    <row r="16" ht="30" customHeight="1">
      <c r="A16" s="7" t="inlineStr">
        <is>
          <t>D-012</t>
        </is>
      </c>
      <c r="B16" s="5" t="inlineStr">
        <is>
          <t>Information architecture</t>
        </is>
      </c>
      <c r="C16" s="6" t="inlineStr">
        <is>
          <t>23</t>
        </is>
      </c>
      <c r="D16" s="5" t="inlineStr">
        <is>
          <t>Search / global-find functionality</t>
        </is>
      </c>
      <c r="E16" s="5" t="inlineStr">
        <is>
          <t>1. Search for 'taberu' / 'たべる' / '食べる'
2. Verify all three forms return the same entry</t>
        </is>
      </c>
      <c r="F16" s="5" t="inlineStr">
        <is>
          <t>Cross-script search works</t>
        </is>
      </c>
      <c r="G16" s="6" t="inlineStr">
        <is>
          <t>P3</t>
        </is>
      </c>
      <c r="H16" s="6" t="inlineStr">
        <is>
          <t>Major</t>
        </is>
      </c>
      <c r="I16" s="6" t="inlineStr">
        <is>
          <t>Manual</t>
        </is>
      </c>
      <c r="J16" s="5" t="inlineStr">
        <is>
          <t>No automated check today — manual only.</t>
        </is>
      </c>
      <c r="L16" t="inlineStr">
        <is>
          <t>UI/UX designer</t>
        </is>
      </c>
      <c r="O16" t="inlineStr">
        <is>
          <t>Not Yet Run</t>
        </is>
      </c>
      <c r="R16" t="inlineStr">
        <is>
          <t>0%</t>
        </is>
      </c>
    </row>
    <row r="17" ht="30" customHeight="1">
      <c r="A17" s="7" t="inlineStr">
        <is>
          <t>D-013</t>
        </is>
      </c>
      <c r="B17" s="5" t="inlineStr">
        <is>
          <t>Onboarding</t>
        </is>
      </c>
      <c r="C17" s="6" t="inlineStr">
        <is>
          <t>24</t>
        </is>
      </c>
      <c r="D17" s="5" t="inlineStr">
        <is>
          <t>Day-1 experience for a brand-new learner</t>
        </is>
      </c>
      <c r="E17" s="5" t="inlineStr">
        <is>
          <t>Method: unmoderated remote with task-completion tracking.
Sample: 8 participants (HI-L1 + EN-L2; mix of true beginner + ~5 hours prior Japanese exposure).
Pass criterion: ≥6 of 8 participants complete ≥1 lesson + ≥1 quiz within their first 20-minute session.</t>
        </is>
      </c>
      <c r="F17" s="5" t="inlineStr">
        <is>
          <t>Learner completes ≥1 lesson + ≥1 quiz</t>
        </is>
      </c>
      <c r="G17" s="6" t="inlineStr">
        <is>
          <t>P3</t>
        </is>
      </c>
      <c r="H17" s="6" t="inlineStr">
        <is>
          <t>Major</t>
        </is>
      </c>
      <c r="I17" s="6" t="inlineStr">
        <is>
          <t>Manual</t>
        </is>
      </c>
      <c r="J17" s="5" t="inlineStr">
        <is>
          <t>UX evaluation method and sample size now specified in Test-steps cell per BUG-031.</t>
        </is>
      </c>
      <c r="L17" t="inlineStr">
        <is>
          <t>UI/UX designer</t>
        </is>
      </c>
      <c r="O17" t="inlineStr">
        <is>
          <t>Not Yet Run</t>
        </is>
      </c>
      <c r="R17" t="inlineStr">
        <is>
          <t>0%</t>
        </is>
      </c>
    </row>
    <row r="18" ht="30" customHeight="1">
      <c r="A18" s="7" t="inlineStr">
        <is>
          <t>D-014</t>
        </is>
      </c>
      <c r="B18" s="5" t="inlineStr">
        <is>
          <t>Onboarding</t>
        </is>
      </c>
      <c r="C18" s="6" t="inlineStr">
        <is>
          <t>24</t>
        </is>
      </c>
      <c r="D18" s="5" t="inlineStr">
        <is>
          <t>Self-assessment / placement at start</t>
        </is>
      </c>
      <c r="E18" s="5" t="inlineStr">
        <is>
          <t>1. New user: does app ask 'have you studied before?'
2. Verify pathway adjusts</t>
        </is>
      </c>
      <c r="F18" s="5" t="inlineStr">
        <is>
          <t>App accommodates prior-knowledge variance</t>
        </is>
      </c>
      <c r="G18" s="6" t="inlineStr">
        <is>
          <t>P5</t>
        </is>
      </c>
      <c r="H18" s="6" t="inlineStr">
        <is>
          <t>Minor</t>
        </is>
      </c>
      <c r="I18" s="6" t="inlineStr">
        <is>
          <t>Manual</t>
        </is>
      </c>
      <c r="J18" s="5" t="inlineStr">
        <is>
          <t>No automated check today — manual only.</t>
        </is>
      </c>
      <c r="L18" t="inlineStr">
        <is>
          <t>UI/UX designer</t>
        </is>
      </c>
      <c r="O18" t="inlineStr">
        <is>
          <t>Not Yet Run</t>
        </is>
      </c>
      <c r="R18" t="inlineStr">
        <is>
          <t>0%</t>
        </is>
      </c>
    </row>
    <row r="19" ht="30" customHeight="1">
      <c r="A19" s="7" t="inlineStr">
        <is>
          <t>D-015</t>
        </is>
      </c>
      <c r="B19" s="5" t="inlineStr">
        <is>
          <t>Cognitive load</t>
        </is>
      </c>
      <c r="C19" s="6" t="inlineStr">
        <is>
          <t>25</t>
        </is>
      </c>
      <c r="D19" s="5" t="inlineStr">
        <is>
          <t>Chunk size per grammar lesson (≤ 5 examples?)</t>
        </is>
      </c>
      <c r="E19" s="5" t="inlineStr">
        <is>
          <t>1. Measure example count per pattern
2. Verify ≤ 7 examples per single-screen view</t>
        </is>
      </c>
      <c r="F19" s="5" t="inlineStr">
        <is>
          <t>Per-screen chunk ≤ working-memory budget</t>
        </is>
      </c>
      <c r="G19" s="6" t="inlineStr">
        <is>
          <t>P4</t>
        </is>
      </c>
      <c r="H19" s="6" t="inlineStr">
        <is>
          <t>Minor</t>
        </is>
      </c>
      <c r="I19" s="6" t="inlineStr">
        <is>
          <t>Manual</t>
        </is>
      </c>
      <c r="J19" s="5" t="inlineStr">
        <is>
          <t>No automated check today — manual only.</t>
        </is>
      </c>
      <c r="L19" t="inlineStr">
        <is>
          <t>UI/UX designer</t>
        </is>
      </c>
      <c r="O19" t="inlineStr">
        <is>
          <t>Not Yet Run</t>
        </is>
      </c>
      <c r="R19" t="inlineStr">
        <is>
          <t>0%</t>
        </is>
      </c>
    </row>
    <row r="20" ht="30" customHeight="1">
      <c r="A20" s="7" t="inlineStr">
        <is>
          <t>D-016</t>
        </is>
      </c>
      <c r="B20" s="5" t="inlineStr">
        <is>
          <t>Cognitive load</t>
        </is>
      </c>
      <c r="C20" s="6" t="inlineStr">
        <is>
          <t>25</t>
        </is>
      </c>
      <c r="D20" s="5" t="inlineStr">
        <is>
          <t>Per-session card budget enforcement</t>
        </is>
      </c>
      <c r="E20" s="5" t="inlineStr">
        <is>
          <t>1. Verify SRS module caps daily new-card intake (e.g., 20 new cards/day)</t>
        </is>
      </c>
      <c r="F20" s="5" t="inlineStr">
        <is>
          <t>Daily-cap exists and prevents burnout</t>
        </is>
      </c>
      <c r="G20" s="6" t="inlineStr">
        <is>
          <t>P4</t>
        </is>
      </c>
      <c r="H20" s="6" t="inlineStr">
        <is>
          <t>Minor</t>
        </is>
      </c>
      <c r="I20" s="6" t="inlineStr">
        <is>
          <t>Manual</t>
        </is>
      </c>
      <c r="J20" s="5" t="inlineStr">
        <is>
          <t>No automated check today — manual only.</t>
        </is>
      </c>
      <c r="L20" t="inlineStr">
        <is>
          <t>UI/UX designer</t>
        </is>
      </c>
      <c r="O20" t="inlineStr">
        <is>
          <t>Not Yet Run</t>
        </is>
      </c>
      <c r="R20" t="inlineStr">
        <is>
          <t>0%</t>
        </is>
      </c>
    </row>
    <row r="21" ht="30" customHeight="1">
      <c r="A21" s="7" t="inlineStr">
        <is>
          <t>D-017</t>
        </is>
      </c>
      <c r="B21" s="5" t="inlineStr">
        <is>
          <t>Microinteractions</t>
        </is>
      </c>
      <c r="C21" s="6" t="inlineStr">
        <is>
          <t>22</t>
        </is>
      </c>
      <c r="D21" s="5" t="inlineStr">
        <is>
          <t>Correct-answer animation timing</t>
        </is>
      </c>
      <c r="E21" s="5" t="inlineStr">
        <is>
          <t>1. Submit correct answer
2. Measure feedback animation duration
3. Verify ≤ 1 sec</t>
        </is>
      </c>
      <c r="F21" s="5" t="inlineStr">
        <is>
          <t>Fast feedback (≤ 1s) to maintain flow</t>
        </is>
      </c>
      <c r="G21" s="6" t="inlineStr">
        <is>
          <t>P5</t>
        </is>
      </c>
      <c r="H21" s="6" t="inlineStr">
        <is>
          <t>Minor</t>
        </is>
      </c>
      <c r="I21" s="6" t="inlineStr">
        <is>
          <t>Manual</t>
        </is>
      </c>
      <c r="J21" s="5" t="inlineStr">
        <is>
          <t>No automated check today — manual only.</t>
        </is>
      </c>
      <c r="L21" t="inlineStr">
        <is>
          <t>UI/UX designer</t>
        </is>
      </c>
      <c r="O21" t="inlineStr">
        <is>
          <t>Not Yet Run</t>
        </is>
      </c>
      <c r="R21" t="inlineStr">
        <is>
          <t>0%</t>
        </is>
      </c>
    </row>
    <row r="22" ht="30" customHeight="1">
      <c r="A22" s="7" t="inlineStr">
        <is>
          <t>D-018</t>
        </is>
      </c>
      <c r="B22" s="5" t="inlineStr">
        <is>
          <t>Microinteractions</t>
        </is>
      </c>
      <c r="C22" s="6" t="inlineStr">
        <is>
          <t>22</t>
        </is>
      </c>
      <c r="D22" s="5" t="inlineStr">
        <is>
          <t>Wrong-answer feedback informativeness</t>
        </is>
      </c>
      <c r="E22" s="5" t="inlineStr">
        <is>
          <t>1. Submit wrong answer
2. Verify learner sees: correct answer, why wrong, link to lesson</t>
        </is>
      </c>
      <c r="F22" s="5" t="inlineStr">
        <is>
          <t>Wrong-answer feedback teaches, not just punishes</t>
        </is>
      </c>
      <c r="G22" s="6" t="inlineStr">
        <is>
          <t>P3</t>
        </is>
      </c>
      <c r="H22" s="6" t="inlineStr">
        <is>
          <t>Major</t>
        </is>
      </c>
      <c r="I22" s="6" t="inlineStr">
        <is>
          <t>Manual</t>
        </is>
      </c>
      <c r="J22" s="5" t="inlineStr">
        <is>
          <t>No automated check today — manual only.</t>
        </is>
      </c>
      <c r="L22" t="inlineStr">
        <is>
          <t>UI/UX designer</t>
        </is>
      </c>
      <c r="O22" t="inlineStr">
        <is>
          <t>Not Yet Run</t>
        </is>
      </c>
      <c r="R22" t="inlineStr">
        <is>
          <t>0%</t>
        </is>
      </c>
    </row>
    <row r="23" ht="38" customHeight="1">
      <c r="A23" s="7" t="inlineStr">
        <is>
          <t>D-019</t>
        </is>
      </c>
      <c r="B23" s="5" t="inlineStr">
        <is>
          <t>Form / input</t>
        </is>
      </c>
      <c r="C23" s="6" t="inlineStr">
        <is>
          <t>27</t>
        </is>
      </c>
      <c r="D23" s="5" t="inlineStr">
        <is>
          <t>Japanese IME input for production drills</t>
        </is>
      </c>
      <c r="E23" s="5" t="inlineStr">
        <is>
          <t>1. Open production-type drill (EN→JA typing)
2. Type with IME on Mac / Windows / iOS / Android
3. Verify submission</t>
        </is>
      </c>
      <c r="F23" s="5" t="inlineStr">
        <is>
          <t>IME input works across platforms</t>
        </is>
      </c>
      <c r="G23" s="6" t="inlineStr">
        <is>
          <t>P3</t>
        </is>
      </c>
      <c r="H23" s="6" t="inlineStr">
        <is>
          <t>Major</t>
        </is>
      </c>
      <c r="I23" s="6" t="inlineStr">
        <is>
          <t>Manual</t>
        </is>
      </c>
      <c r="J23" s="5" t="inlineStr">
        <is>
          <t>No automated check today — manual only.</t>
        </is>
      </c>
      <c r="L23" t="inlineStr">
        <is>
          <t>UI/UX designer</t>
        </is>
      </c>
      <c r="O23" t="inlineStr">
        <is>
          <t>Not Yet Run</t>
        </is>
      </c>
      <c r="R23" t="inlineStr">
        <is>
          <t>0%</t>
        </is>
      </c>
    </row>
    <row r="24" ht="30" customHeight="1">
      <c r="A24" s="7" t="inlineStr">
        <is>
          <t>D-020</t>
        </is>
      </c>
      <c r="B24" s="5" t="inlineStr">
        <is>
          <t>Form / input</t>
        </is>
      </c>
      <c r="C24" s="6" t="inlineStr">
        <is>
          <t>27</t>
        </is>
      </c>
      <c r="D24" s="5" t="inlineStr">
        <is>
          <t>Romaji-to-kana auto-conversion for learners without IME</t>
        </is>
      </c>
      <c r="E24" s="5" t="inlineStr">
        <is>
          <t>1. Toggle romaji-input mode
2. Type 'tabemasu'
3. Verify auto-conversion to たべます</t>
        </is>
      </c>
      <c r="F24" s="5" t="inlineStr">
        <is>
          <t>Romaji mode works for IME-less learners</t>
        </is>
      </c>
      <c r="G24" s="6" t="inlineStr">
        <is>
          <t>P3</t>
        </is>
      </c>
      <c r="H24" s="6" t="inlineStr">
        <is>
          <t>Major</t>
        </is>
      </c>
      <c r="I24" s="6" t="inlineStr">
        <is>
          <t>Manual</t>
        </is>
      </c>
      <c r="J24" s="5" t="inlineStr">
        <is>
          <t>No automated check today — manual only.</t>
        </is>
      </c>
      <c r="L24" t="inlineStr">
        <is>
          <t>UI/UX designer</t>
        </is>
      </c>
      <c r="O24" t="inlineStr">
        <is>
          <t>Not Yet Run</t>
        </is>
      </c>
      <c r="R24" t="inlineStr">
        <is>
          <t>0%</t>
        </is>
      </c>
    </row>
    <row r="25" ht="35" customHeight="1">
      <c r="A25" s="7" t="inlineStr">
        <is>
          <t>D-021</t>
        </is>
      </c>
      <c r="B25" s="5" t="inlineStr">
        <is>
          <t>Form / input</t>
        </is>
      </c>
      <c r="C25" s="6" t="inlineStr">
        <is>
          <t>27</t>
        </is>
      </c>
      <c r="D25" s="5" t="inlineStr">
        <is>
          <t>Partial-credit grading on near-miss typing</t>
        </is>
      </c>
      <c r="E25" s="5" t="inlineStr">
        <is>
          <t>1. Submit たべます when correct is 食べます
2. Verify grading accepts kana form for kanji-target (or flags partial)</t>
        </is>
      </c>
      <c r="F25" s="5" t="inlineStr">
        <is>
          <t>Partial-credit policy is consistent</t>
        </is>
      </c>
      <c r="G25" s="6" t="inlineStr">
        <is>
          <t>P3</t>
        </is>
      </c>
      <c r="H25" s="6" t="inlineStr">
        <is>
          <t>Major</t>
        </is>
      </c>
      <c r="I25" s="6" t="inlineStr">
        <is>
          <t>Manual</t>
        </is>
      </c>
      <c r="J25" s="5" t="inlineStr">
        <is>
          <t>Procedure manual references 50% partial-credit (Bunpro-style)</t>
        </is>
      </c>
      <c r="L25" t="inlineStr">
        <is>
          <t>UI/UX designer</t>
        </is>
      </c>
      <c r="O25" t="inlineStr">
        <is>
          <t>Not Yet Run</t>
        </is>
      </c>
      <c r="R25" t="inlineStr">
        <is>
          <t>0%</t>
        </is>
      </c>
    </row>
    <row r="26" ht="31" customHeight="1">
      <c r="A26" s="7" t="inlineStr">
        <is>
          <t>D-022</t>
        </is>
      </c>
      <c r="B26" s="5" t="inlineStr">
        <is>
          <t>Dark mode</t>
        </is>
      </c>
      <c r="C26" s="6" t="inlineStr">
        <is>
          <t>28</t>
        </is>
      </c>
      <c r="D26" s="5" t="inlineStr">
        <is>
          <t>Dark-mode availability + WCAG contrast in dark</t>
        </is>
      </c>
      <c r="E26" s="5" t="inlineStr">
        <is>
          <t>1. Toggle dark mode (if available)
2. Verify all text contrasts ≥ 4.5:1 against dark background</t>
        </is>
      </c>
      <c r="F26" s="5" t="inlineStr">
        <is>
          <t>Dark mode meets WCAG-AA</t>
        </is>
      </c>
      <c r="G26" s="6" t="inlineStr">
        <is>
          <t>P5</t>
        </is>
      </c>
      <c r="H26" s="6" t="inlineStr">
        <is>
          <t>Minor</t>
        </is>
      </c>
      <c r="I26" s="6" t="inlineStr">
        <is>
          <t>Manual</t>
        </is>
      </c>
      <c r="J26" s="5" t="inlineStr">
        <is>
          <t>Not currently implemented</t>
        </is>
      </c>
      <c r="L26" t="inlineStr">
        <is>
          <t>UI/UX designer</t>
        </is>
      </c>
      <c r="O26" t="inlineStr">
        <is>
          <t>Not Yet Run</t>
        </is>
      </c>
      <c r="R26" t="inlineStr">
        <is>
          <t>0%</t>
        </is>
      </c>
    </row>
    <row r="27" ht="34" customHeight="1">
      <c r="A27" s="7" t="inlineStr">
        <is>
          <t>D-023</t>
        </is>
      </c>
      <c r="B27" s="5" t="inlineStr">
        <is>
          <t>Gamification</t>
        </is>
      </c>
      <c r="C27" s="6" t="inlineStr">
        <is>
          <t>26</t>
        </is>
      </c>
      <c r="D27" s="5" t="inlineStr">
        <is>
          <t>Streak / progress visualization motivates returns</t>
        </is>
      </c>
      <c r="E27" s="5" t="inlineStr">
        <is>
          <t>1. Use app daily for 5 days
2. Verify streak counter visible
3. Verify break-in-streak isn't punishing</t>
        </is>
      </c>
      <c r="F27" s="5" t="inlineStr">
        <is>
          <t>Streak motivates without punishing</t>
        </is>
      </c>
      <c r="G27" s="6" t="inlineStr">
        <is>
          <t>P5</t>
        </is>
      </c>
      <c r="H27" s="6" t="inlineStr">
        <is>
          <t>Minor</t>
        </is>
      </c>
      <c r="I27" s="6" t="inlineStr">
        <is>
          <t>Manual</t>
        </is>
      </c>
      <c r="J27" s="5" t="inlineStr">
        <is>
          <t>No automated check today — manual only.</t>
        </is>
      </c>
      <c r="L27" t="inlineStr">
        <is>
          <t>UI/UX designer</t>
        </is>
      </c>
      <c r="O27" t="inlineStr">
        <is>
          <t>Not Yet Run</t>
        </is>
      </c>
      <c r="R27"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17" text="Medium-High">
      <formula>NOT(ISERROR(SEARCH("Medium-High",G5)))</formula>
    </cfRule>
    <cfRule type="containsText" priority="3" operator="containsText" dxfId="31" text="Low-Medium">
      <formula>NOT(ISERROR(SEARCH("Low-Medium",G5)))</formula>
    </cfRule>
    <cfRule type="containsText" priority="4" operator="containsText" dxfId="4" text="High">
      <formula>NOT(ISERROR(SEARCH("High",G5)))</formula>
    </cfRule>
    <cfRule type="containsText" priority="5" operator="containsText" dxfId="3" text="Medium">
      <formula>NOT(ISERROR(SEARCH("Medium",G5)))</formula>
    </cfRule>
    <cfRule type="containsText" priority="6" operator="containsText" dxfId="2" text="Low">
      <formula>NOT(ISERROR(SEARCH("Low",G5)))</formula>
    </cfRule>
    <cfRule type="containsText" priority="7" operator="containsText" dxfId="5" text="P1">
      <formula>NOT(ISERROR(SEARCH("P1",G5)))</formula>
    </cfRule>
    <cfRule type="containsText" priority="8" operator="containsText" dxfId="4" text="P2">
      <formula>NOT(ISERROR(SEARCH("P2",G5)))</formula>
    </cfRule>
    <cfRule type="containsText" priority="9" operator="containsText" dxfId="3" text="P3">
      <formula>NOT(ISERROR(SEARCH("P3",G5)))</formula>
    </cfRule>
    <cfRule type="containsText" priority="10" operator="containsText" dxfId="2" text="P4">
      <formula>NOT(ISERROR(SEARCH("P4",G5)))</formula>
    </cfRule>
    <cfRule type="containsText" priority="11" operator="containsText" dxfId="1" text="P5">
      <formula>NOT(ISERROR(SEARCH("P5",G5)))</formula>
    </cfRule>
  </conditionalFormatting>
  <conditionalFormatting sqref="H5:H27">
    <cfRule type="containsText" priority="12" operator="containsText" dxfId="5" text="Critical">
      <formula>NOT(ISERROR(SEARCH("Critical",H5)))</formula>
    </cfRule>
    <cfRule type="containsText" priority="13" operator="containsText" dxfId="4" text="Major">
      <formula>NOT(ISERROR(SEARCH("Major",H5)))</formula>
    </cfRule>
    <cfRule type="containsText" priority="14" operator="containsText" dxfId="3" text="Minor">
      <formula>NOT(ISERROR(SEARCH("Minor",H5)))</formula>
    </cfRule>
  </conditionalFormatting>
  <conditionalFormatting sqref="I5:I27">
    <cfRule type="containsText" priority="15" operator="containsText" dxfId="18" text="Auto+Manual">
      <formula>NOT(ISERROR(SEARCH("Auto+Manual",I5)))</formula>
    </cfRule>
    <cfRule type="containsText" priority="16" operator="containsText" dxfId="18" text="Hybrid">
      <formula>NOT(ISERROR(SEARCH("Hybrid",I5)))</formula>
    </cfRule>
    <cfRule type="containsText" priority="17" operator="containsText" dxfId="17"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min="1" max="1"/>
    <col width="19.08984375" customWidth="1" min="2" max="2"/>
    <col width="9.08984375" customWidth="1" min="3" max="3"/>
    <col width="43.6328125" customWidth="1" min="4" max="4"/>
    <col width="50.90625" customWidth="1" min="5" max="5"/>
    <col width="40" customWidth="1" min="6" max="6"/>
    <col width="14.54296875" customWidth="1" min="7" max="7"/>
    <col width="16.36328125" customWidth="1" min="8" max="8"/>
    <col width="14.54296875" customWidth="1" min="9" max="9"/>
    <col width="32.7265625" customWidth="1" min="10" max="10"/>
    <col width="16" customWidth="1" min="11" max="11"/>
    <col width="24" customWidth="1" min="12" max="12"/>
    <col width="32" customWidth="1" min="13" max="13"/>
    <col width="14" customWidth="1" min="14" max="14"/>
    <col width="14" customWidth="1" min="15" max="15"/>
    <col width="18" customWidth="1" min="16" max="16"/>
    <col width="16" customWidth="1" min="17" max="17"/>
    <col width="12" customWidth="1" min="18" max="18"/>
  </cols>
  <sheetData>
    <row r="1" ht="28" customHeight="1">
      <c r="A1" s="9" t="inlineStr">
        <is>
          <t>E. Accessibility</t>
        </is>
      </c>
    </row>
    <row r="2" ht="36" customHeight="1">
      <c r="A2" s="10" t="inlineStr">
        <is>
          <t>Perspectives: WCAG-AA reviewer, screen-reader (VoiceOver/NVDA/TalkBack), motor-impairment, cognitive-accessibility, hearing-impaired (perspectives 29-33)</t>
        </is>
      </c>
    </row>
    <row r="4" ht="24" customHeight="1">
      <c r="A4" s="12" t="inlineStr">
        <is>
          <t>ID</t>
        </is>
      </c>
      <c r="B4" s="12" t="inlineStr">
        <is>
          <t>Sub-category</t>
        </is>
      </c>
      <c r="C4" s="12" t="inlineStr">
        <is>
          <t>Persp #</t>
        </is>
      </c>
      <c r="D4" s="12" t="inlineStr">
        <is>
          <t>Scenario</t>
        </is>
      </c>
      <c r="E4" s="12" t="inlineStr">
        <is>
          <t>Test steps</t>
        </is>
      </c>
      <c r="F4" s="12" t="inlineStr">
        <is>
          <t>Expected result</t>
        </is>
      </c>
      <c r="G4" s="12" t="inlineStr">
        <is>
          <t>Priority</t>
        </is>
      </c>
      <c r="H4" s="12" t="inlineStr">
        <is>
          <t>Severity if fails</t>
        </is>
      </c>
      <c r="I4" s="12" t="inlineStr">
        <is>
          <t>Test type</t>
        </is>
      </c>
      <c r="J4" s="12" t="inlineStr">
        <is>
          <t>Notes</t>
        </is>
      </c>
      <c r="K4" s="25" t="inlineStr">
        <is>
          <t>Estimated effort</t>
        </is>
      </c>
      <c r="L4" s="25" t="inlineStr">
        <is>
          <t>Owner / role</t>
        </is>
      </c>
      <c r="M4" s="25" t="inlineStr">
        <is>
          <t>Tools / scripts required</t>
        </is>
      </c>
      <c r="N4" s="25" t="inlineStr">
        <is>
          <t>Last run date</t>
        </is>
      </c>
      <c r="O4" s="25" t="inlineStr">
        <is>
          <t>Last run result</t>
        </is>
      </c>
      <c r="P4" s="25" t="inlineStr">
        <is>
          <t>Tracker link</t>
        </is>
      </c>
      <c r="Q4" s="25" t="inlineStr">
        <is>
          <t>Depends on</t>
        </is>
      </c>
      <c r="R4" s="25" t="inlineStr">
        <is>
          <t>Coverage %</t>
        </is>
      </c>
    </row>
    <row r="5" ht="33" customHeight="1">
      <c r="A5" s="7" t="inlineStr">
        <is>
          <t>E-001</t>
        </is>
      </c>
      <c r="B5" s="5" t="inlineStr">
        <is>
          <t>WCAG-AA</t>
        </is>
      </c>
      <c r="C5" s="6" t="inlineStr">
        <is>
          <t>29</t>
        </is>
      </c>
      <c r="D5" s="5" t="inlineStr">
        <is>
          <t>Color-contrast ratio across all text-on-background combinations</t>
        </is>
      </c>
      <c r="E5" s="5" t="inlineStr">
        <is>
          <t>1. Run automated contrast checker (axe-core / Lighthouse)
2. Verify ≥ 4.5:1 for body, ≥ 3:1 for large</t>
        </is>
      </c>
      <c r="F5" s="5" t="inlineStr">
        <is>
          <t>All combinations pass AA</t>
        </is>
      </c>
      <c r="G5" s="6" t="inlineStr">
        <is>
          <t>P3</t>
        </is>
      </c>
      <c r="H5" s="6" t="inlineStr">
        <is>
          <t>Major</t>
        </is>
      </c>
      <c r="I5" s="6" t="inlineStr">
        <is>
          <t>Auto</t>
        </is>
      </c>
      <c r="J5" s="5" t="inlineStr">
        <is>
          <t>No automated check today — manual only.</t>
        </is>
      </c>
      <c r="L5" t="inlineStr">
        <is>
          <t>WCAG-AA auditor</t>
        </is>
      </c>
      <c r="O5" t="inlineStr">
        <is>
          <t>Not Yet Run</t>
        </is>
      </c>
      <c r="R5" t="inlineStr">
        <is>
          <t>0%</t>
        </is>
      </c>
    </row>
    <row r="6" ht="36" customHeight="1">
      <c r="A6" s="7" t="inlineStr">
        <is>
          <t>E-002</t>
        </is>
      </c>
      <c r="B6" s="5" t="inlineStr">
        <is>
          <t>WCAG-AA</t>
        </is>
      </c>
      <c r="C6" s="6" t="inlineStr">
        <is>
          <t>29</t>
        </is>
      </c>
      <c r="D6" s="5" t="inlineStr">
        <is>
          <t>Semantic HTML: proper heading hierarchy + landmarks</t>
        </is>
      </c>
      <c r="E6" s="5" t="inlineStr">
        <is>
          <t>1. Run axe-core
2. Verify H1→H2→H3 hierarchy (no skips)
3. Verify &lt;main&gt;, &lt;nav&gt;, &lt;header&gt;, &lt;footer&gt; landmarks</t>
        </is>
      </c>
      <c r="F6" s="5" t="inlineStr">
        <is>
          <t>Heading + landmark structure passes axe</t>
        </is>
      </c>
      <c r="G6" s="6" t="inlineStr">
        <is>
          <t>P3</t>
        </is>
      </c>
      <c r="H6" s="6" t="inlineStr">
        <is>
          <t>Major</t>
        </is>
      </c>
      <c r="I6" s="6" t="inlineStr">
        <is>
          <t>Auto</t>
        </is>
      </c>
      <c r="J6" s="5" t="inlineStr">
        <is>
          <t>No automated check today — manual only.</t>
        </is>
      </c>
      <c r="L6" t="inlineStr">
        <is>
          <t>WCAG-AA auditor</t>
        </is>
      </c>
      <c r="O6" t="inlineStr">
        <is>
          <t>Not Yet Run</t>
        </is>
      </c>
      <c r="R6" t="inlineStr">
        <is>
          <t>0%</t>
        </is>
      </c>
    </row>
    <row r="7" ht="30" customHeight="1">
      <c r="A7" s="7" t="inlineStr">
        <is>
          <t>E-003</t>
        </is>
      </c>
      <c r="B7" s="5" t="inlineStr">
        <is>
          <t>WCAG-AA</t>
        </is>
      </c>
      <c r="C7" s="6" t="inlineStr">
        <is>
          <t>29</t>
        </is>
      </c>
      <c r="D7" s="5" t="inlineStr">
        <is>
          <t>ARIA labels on all interactive controls</t>
        </is>
      </c>
      <c r="E7" s="5" t="inlineStr">
        <is>
          <t>1. Inspect all buttons / links / inputs
2. Verify aria-label or visible label</t>
        </is>
      </c>
      <c r="F7" s="5" t="inlineStr">
        <is>
          <t>0 unlabeled interactive controls</t>
        </is>
      </c>
      <c r="G7" s="6" t="inlineStr">
        <is>
          <t>P3</t>
        </is>
      </c>
      <c r="H7" s="6" t="inlineStr">
        <is>
          <t>Major</t>
        </is>
      </c>
      <c r="I7" s="6" t="inlineStr">
        <is>
          <t>Auto</t>
        </is>
      </c>
      <c r="J7" s="5" t="inlineStr">
        <is>
          <t>No automated check today — manual only.</t>
        </is>
      </c>
      <c r="L7" t="inlineStr">
        <is>
          <t>WCAG-AA auditor</t>
        </is>
      </c>
      <c r="O7" t="inlineStr">
        <is>
          <t>Not Yet Run</t>
        </is>
      </c>
      <c r="R7" t="inlineStr">
        <is>
          <t>0%</t>
        </is>
      </c>
    </row>
    <row r="8" ht="30" customHeight="1">
      <c r="A8" s="7" t="inlineStr">
        <is>
          <t>E-004</t>
        </is>
      </c>
      <c r="B8" s="5" t="inlineStr">
        <is>
          <t>WCAG-AA</t>
        </is>
      </c>
      <c r="C8" s="6" t="inlineStr">
        <is>
          <t>29</t>
        </is>
      </c>
      <c r="D8" s="5" t="inlineStr">
        <is>
          <t>Keyboard-only navigation through entire app</t>
        </is>
      </c>
      <c r="E8" s="5" t="inlineStr">
        <is>
          <t>1. Disconnect mouse
2. Tab through all routes
3. Verify all controls reachable + actionable</t>
        </is>
      </c>
      <c r="F8" s="5" t="inlineStr">
        <is>
          <t>Full keyboard navigation possible</t>
        </is>
      </c>
      <c r="G8" s="6" t="inlineStr">
        <is>
          <t>P3</t>
        </is>
      </c>
      <c r="H8" s="6" t="inlineStr">
        <is>
          <t>Major</t>
        </is>
      </c>
      <c r="I8" s="6" t="inlineStr">
        <is>
          <t>Manual</t>
        </is>
      </c>
      <c r="J8" s="5" t="inlineStr">
        <is>
          <t>No automated check today — manual only.</t>
        </is>
      </c>
      <c r="L8" t="inlineStr">
        <is>
          <t>WCAG-AA auditor</t>
        </is>
      </c>
      <c r="O8" t="inlineStr">
        <is>
          <t>Not Yet Run</t>
        </is>
      </c>
      <c r="R8" t="inlineStr">
        <is>
          <t>0%</t>
        </is>
      </c>
    </row>
    <row r="9" ht="30" customHeight="1">
      <c r="A9" s="7" t="inlineStr">
        <is>
          <t>E-005</t>
        </is>
      </c>
      <c r="B9" s="5" t="inlineStr">
        <is>
          <t>WCAG-AA</t>
        </is>
      </c>
      <c r="C9" s="6" t="inlineStr">
        <is>
          <t>29</t>
        </is>
      </c>
      <c r="D9" s="5" t="inlineStr">
        <is>
          <t>Focus-indicator visibility</t>
        </is>
      </c>
      <c r="E9" s="5" t="inlineStr">
        <is>
          <t>1. Tab through controls
2. Verify focus ring is visible (≥3:1 contrast against background)</t>
        </is>
      </c>
      <c r="F9" s="5" t="inlineStr">
        <is>
          <t>Focus indicator always visible</t>
        </is>
      </c>
      <c r="G9" s="6" t="inlineStr">
        <is>
          <t>P3</t>
        </is>
      </c>
      <c r="H9" s="6" t="inlineStr">
        <is>
          <t>Major</t>
        </is>
      </c>
      <c r="I9" s="6" t="inlineStr">
        <is>
          <t>Manual</t>
        </is>
      </c>
      <c r="J9" s="5" t="inlineStr">
        <is>
          <t>No automated check today — manual only.</t>
        </is>
      </c>
      <c r="L9" t="inlineStr">
        <is>
          <t>WCAG-AA auditor</t>
        </is>
      </c>
      <c r="O9" t="inlineStr">
        <is>
          <t>Not Yet Run</t>
        </is>
      </c>
      <c r="R9" t="inlineStr">
        <is>
          <t>0%</t>
        </is>
      </c>
    </row>
    <row r="10" ht="30" customHeight="1">
      <c r="A10" s="7" t="inlineStr">
        <is>
          <t>E-006</t>
        </is>
      </c>
      <c r="B10" s="5" t="inlineStr">
        <is>
          <t>WCAG-AA</t>
        </is>
      </c>
      <c r="C10" s="6" t="inlineStr">
        <is>
          <t>29</t>
        </is>
      </c>
      <c r="D10" s="5" t="inlineStr">
        <is>
          <t>Skip-to-main link at page top</t>
        </is>
      </c>
      <c r="E10" s="5" t="inlineStr">
        <is>
          <t>1. Tab once after page load
2. Verify 'Skip to main content' link appears</t>
        </is>
      </c>
      <c r="F10" s="5" t="inlineStr">
        <is>
          <t>Skip-link present and functional</t>
        </is>
      </c>
      <c r="G10" s="6" t="inlineStr">
        <is>
          <t>P4</t>
        </is>
      </c>
      <c r="H10" s="6" t="inlineStr">
        <is>
          <t>Minor</t>
        </is>
      </c>
      <c r="I10" s="6" t="inlineStr">
        <is>
          <t>Manual</t>
        </is>
      </c>
      <c r="J10" s="5" t="inlineStr">
        <is>
          <t>No automated check today — manual only.</t>
        </is>
      </c>
      <c r="L10" t="inlineStr">
        <is>
          <t>WCAG-AA auditor</t>
        </is>
      </c>
      <c r="O10" t="inlineStr">
        <is>
          <t>Not Yet Run</t>
        </is>
      </c>
      <c r="R10" t="inlineStr">
        <is>
          <t>0%</t>
        </is>
      </c>
    </row>
    <row r="11" ht="40" customHeight="1">
      <c r="A11" s="7" t="inlineStr">
        <is>
          <t>E-007</t>
        </is>
      </c>
      <c r="B11" s="5" t="inlineStr">
        <is>
          <t>Screen reader</t>
        </is>
      </c>
      <c r="C11" s="6" t="inlineStr">
        <is>
          <t>30</t>
        </is>
      </c>
      <c r="D11" s="5" t="inlineStr">
        <is>
          <t>VoiceOver (macOS) reads Japanese text with correct language tag</t>
        </is>
      </c>
      <c r="E11" s="5" t="inlineStr">
        <is>
          <t>1. Enable VoiceOver
2. Navigate Japanese passages
3. Verify reader uses Japanese voice (not English mis-pronouncing kanji)</t>
        </is>
      </c>
      <c r="F11" s="5" t="inlineStr">
        <is>
          <t>Japanese text reads in Japanese voice</t>
        </is>
      </c>
      <c r="G11" s="6" t="inlineStr">
        <is>
          <t>P3</t>
        </is>
      </c>
      <c r="H11" s="6" t="inlineStr">
        <is>
          <t>Major</t>
        </is>
      </c>
      <c r="I11" s="6" t="inlineStr">
        <is>
          <t>Manual</t>
        </is>
      </c>
      <c r="J11" s="5" t="inlineStr">
        <is>
          <t>Needs &lt;span lang='ja'&gt; tags</t>
        </is>
      </c>
      <c r="L11" t="inlineStr">
        <is>
          <t>WCAG-AA auditor</t>
        </is>
      </c>
      <c r="O11" t="inlineStr">
        <is>
          <t>Not Yet Run</t>
        </is>
      </c>
      <c r="R11" t="inlineStr">
        <is>
          <t>0%</t>
        </is>
      </c>
    </row>
    <row r="12" ht="33" customHeight="1">
      <c r="A12" s="7" t="inlineStr">
        <is>
          <t>E-008</t>
        </is>
      </c>
      <c r="B12" s="5" t="inlineStr">
        <is>
          <t>Screen reader</t>
        </is>
      </c>
      <c r="C12" s="6" t="inlineStr">
        <is>
          <t>30</t>
        </is>
      </c>
      <c r="D12" s="5" t="inlineStr">
        <is>
          <t>NVDA (Windows) reads mixed Japanese + Hindi + English correctly</t>
        </is>
      </c>
      <c r="E12" s="5" t="inlineStr">
        <is>
          <t>1. Enable NVDA
2. Navigate quiz with all three locales visible
3. Verify per-language voice switching</t>
        </is>
      </c>
      <c r="F12" s="5" t="inlineStr">
        <is>
          <t>Per-language voices used</t>
        </is>
      </c>
      <c r="G12" s="6" t="inlineStr">
        <is>
          <t>P3</t>
        </is>
      </c>
      <c r="H12" s="6" t="inlineStr">
        <is>
          <t>Major</t>
        </is>
      </c>
      <c r="I12" s="6" t="inlineStr">
        <is>
          <t>Manual</t>
        </is>
      </c>
      <c r="J12" s="5" t="inlineStr">
        <is>
          <t>No automated check today — manual only.</t>
        </is>
      </c>
      <c r="L12" t="inlineStr">
        <is>
          <t>WCAG-AA auditor</t>
        </is>
      </c>
      <c r="O12" t="inlineStr">
        <is>
          <t>Not Yet Run</t>
        </is>
      </c>
      <c r="R12" t="inlineStr">
        <is>
          <t>0%</t>
        </is>
      </c>
    </row>
    <row r="13" ht="30" customHeight="1">
      <c r="A13" s="7" t="inlineStr">
        <is>
          <t>E-009</t>
        </is>
      </c>
      <c r="B13" s="5" t="inlineStr">
        <is>
          <t>Screen reader</t>
        </is>
      </c>
      <c r="C13" s="6" t="inlineStr">
        <is>
          <t>30</t>
        </is>
      </c>
      <c r="D13" s="5" t="inlineStr">
        <is>
          <t>TalkBack (Android) navigation through learn-vocab page</t>
        </is>
      </c>
      <c r="E13" s="5" t="inlineStr">
        <is>
          <t>1. Enable TalkBack
2. Swipe through vocab card
3. Verify each element announces clearly</t>
        </is>
      </c>
      <c r="F13" s="5" t="inlineStr">
        <is>
          <t>All elements announced</t>
        </is>
      </c>
      <c r="G13" s="6" t="inlineStr">
        <is>
          <t>P3</t>
        </is>
      </c>
      <c r="H13" s="6" t="inlineStr">
        <is>
          <t>Major</t>
        </is>
      </c>
      <c r="I13" s="6" t="inlineStr">
        <is>
          <t>Manual</t>
        </is>
      </c>
      <c r="J13" s="5" t="inlineStr">
        <is>
          <t>No automated check today — manual only.</t>
        </is>
      </c>
      <c r="L13" t="inlineStr">
        <is>
          <t>WCAG-AA auditor</t>
        </is>
      </c>
      <c r="O13" t="inlineStr">
        <is>
          <t>Not Yet Run</t>
        </is>
      </c>
      <c r="R13" t="inlineStr">
        <is>
          <t>0%</t>
        </is>
      </c>
    </row>
    <row r="14" ht="31" customHeight="1">
      <c r="A14" s="7" t="inlineStr">
        <is>
          <t>E-010</t>
        </is>
      </c>
      <c r="B14" s="5" t="inlineStr">
        <is>
          <t>Screen reader</t>
        </is>
      </c>
      <c r="C14" s="6" t="inlineStr">
        <is>
          <t>30</t>
        </is>
      </c>
      <c r="D14" s="5" t="inlineStr">
        <is>
          <t>Furigana exposure to screen reader (ruby tag handling)</t>
        </is>
      </c>
      <c r="E14" s="5" t="inlineStr">
        <is>
          <t>1. Enable VoiceOver
2. Read kanji with furigana
3. Verify reader uses ruby reading (not skip)</t>
        </is>
      </c>
      <c r="F14" s="5" t="inlineStr">
        <is>
          <t>Furigana read or kanji read; not silenced</t>
        </is>
      </c>
      <c r="G14" s="6" t="inlineStr">
        <is>
          <t>P3</t>
        </is>
      </c>
      <c r="H14" s="6" t="inlineStr">
        <is>
          <t>Major</t>
        </is>
      </c>
      <c r="I14" s="6" t="inlineStr">
        <is>
          <t>Manual</t>
        </is>
      </c>
      <c r="J14" s="5" t="inlineStr">
        <is>
          <t>No automated check today — manual only.</t>
        </is>
      </c>
      <c r="L14" t="inlineStr">
        <is>
          <t>WCAG-AA auditor</t>
        </is>
      </c>
      <c r="O14" t="inlineStr">
        <is>
          <t>Not Yet Run</t>
        </is>
      </c>
      <c r="R14" t="inlineStr">
        <is>
          <t>0%</t>
        </is>
      </c>
    </row>
    <row r="15" ht="30" customHeight="1">
      <c r="A15" s="7" t="inlineStr">
        <is>
          <t>E-011</t>
        </is>
      </c>
      <c r="B15" s="5" t="inlineStr">
        <is>
          <t>Motor</t>
        </is>
      </c>
      <c r="C15" s="6" t="inlineStr">
        <is>
          <t>31</t>
        </is>
      </c>
      <c r="D15" s="5" t="inlineStr">
        <is>
          <t>Touch-target size ≥ 48x48 px on mobile</t>
        </is>
      </c>
      <c r="E15" s="5" t="inlineStr">
        <is>
          <t>1. Render quiz on 360px wide viewport
2. Measure all tap targets</t>
        </is>
      </c>
      <c r="F15" s="5" t="inlineStr">
        <is>
          <t>All targets ≥ 48x48</t>
        </is>
      </c>
      <c r="G15" s="6" t="inlineStr">
        <is>
          <t>P5</t>
        </is>
      </c>
      <c r="H15" s="6" t="inlineStr">
        <is>
          <t>Minor</t>
        </is>
      </c>
      <c r="I15" s="6" t="inlineStr">
        <is>
          <t>Auto</t>
        </is>
      </c>
      <c r="J15" s="5" t="inlineStr">
        <is>
          <t>No automated check today — manual only.</t>
        </is>
      </c>
      <c r="L15" t="inlineStr">
        <is>
          <t>WCAG-AA auditor</t>
        </is>
      </c>
      <c r="O15" t="inlineStr">
        <is>
          <t>Not Yet Run</t>
        </is>
      </c>
      <c r="R15" t="inlineStr">
        <is>
          <t>0%</t>
        </is>
      </c>
    </row>
    <row r="16" ht="45" customHeight="1">
      <c r="A16" s="7" t="inlineStr">
        <is>
          <t>E-012</t>
        </is>
      </c>
      <c r="B16" s="5" t="inlineStr">
        <is>
          <t>Motor</t>
        </is>
      </c>
      <c r="C16" s="6" t="inlineStr">
        <is>
          <t>31</t>
        </is>
      </c>
      <c r="D16" s="5" t="inlineStr">
        <is>
          <t>Keyboard-shortcut customization for power users</t>
        </is>
      </c>
      <c r="E16" s="5" t="inlineStr">
        <is>
          <t>1. Verify common actions (next question, mark correct, replay audio) have shortcuts
2. Verify shortcuts don't conflict with screen-reader</t>
        </is>
      </c>
      <c r="F16" s="5" t="inlineStr">
        <is>
          <t>Shortcuts exist + don't conflict</t>
        </is>
      </c>
      <c r="G16" s="6" t="inlineStr">
        <is>
          <t>P5</t>
        </is>
      </c>
      <c r="H16" s="6" t="inlineStr">
        <is>
          <t>Minor</t>
        </is>
      </c>
      <c r="I16" s="6" t="inlineStr">
        <is>
          <t>Manual</t>
        </is>
      </c>
      <c r="J16" s="5" t="inlineStr">
        <is>
          <t>No automated check today — manual only.</t>
        </is>
      </c>
      <c r="L16" t="inlineStr">
        <is>
          <t>WCAG-AA auditor</t>
        </is>
      </c>
      <c r="O16" t="inlineStr">
        <is>
          <t>Not Yet Run</t>
        </is>
      </c>
      <c r="R16" t="inlineStr">
        <is>
          <t>0%</t>
        </is>
      </c>
    </row>
    <row r="17" ht="30" customHeight="1">
      <c r="A17" s="7" t="inlineStr">
        <is>
          <t>E-013</t>
        </is>
      </c>
      <c r="B17" s="5" t="inlineStr">
        <is>
          <t>Cognitive accessibility</t>
        </is>
      </c>
      <c r="C17" s="6" t="inlineStr">
        <is>
          <t>32</t>
        </is>
      </c>
      <c r="D17" s="5" t="inlineStr">
        <is>
          <t>Reduced-motion preference respect</t>
        </is>
      </c>
      <c r="E17" s="5" t="inlineStr">
        <is>
          <t>1. Set OS prefers-reduced-motion = true
2. Verify app disables transitions / animations</t>
        </is>
      </c>
      <c r="F17" s="5" t="inlineStr">
        <is>
          <t>Reduced-motion respected</t>
        </is>
      </c>
      <c r="G17" s="6" t="inlineStr">
        <is>
          <t>P5</t>
        </is>
      </c>
      <c r="H17" s="6" t="inlineStr">
        <is>
          <t>Minor</t>
        </is>
      </c>
      <c r="I17" s="6" t="inlineStr">
        <is>
          <t>Manual</t>
        </is>
      </c>
      <c r="J17" s="5" t="inlineStr">
        <is>
          <t>No automated check today — manual only.</t>
        </is>
      </c>
      <c r="L17" t="inlineStr">
        <is>
          <t>WCAG-AA auditor</t>
        </is>
      </c>
      <c r="O17" t="inlineStr">
        <is>
          <t>Not Yet Run</t>
        </is>
      </c>
      <c r="R17" t="inlineStr">
        <is>
          <t>0%</t>
        </is>
      </c>
    </row>
    <row r="18" ht="35" customHeight="1">
      <c r="A18" s="7" t="inlineStr">
        <is>
          <t>E-014</t>
        </is>
      </c>
      <c r="B18" s="5" t="inlineStr">
        <is>
          <t>Cognitive accessibility</t>
        </is>
      </c>
      <c r="C18" s="6" t="inlineStr">
        <is>
          <t>32</t>
        </is>
      </c>
      <c r="D18" s="5" t="inlineStr">
        <is>
          <t>Dyslexia-friendly font option</t>
        </is>
      </c>
      <c r="E18" s="5" t="inlineStr">
        <is>
          <t>1. Verify font is dyslexia-friendly (OpenDyslexic toggle?) OR default font is reasonably dyslexia-friendly</t>
        </is>
      </c>
      <c r="F18" s="5" t="inlineStr">
        <is>
          <t>Decision documented; option exists if needed</t>
        </is>
      </c>
      <c r="G18" s="6" t="inlineStr">
        <is>
          <t>P5</t>
        </is>
      </c>
      <c r="H18" s="6" t="inlineStr">
        <is>
          <t>Minor</t>
        </is>
      </c>
      <c r="I18" s="6" t="inlineStr">
        <is>
          <t>Manual</t>
        </is>
      </c>
      <c r="J18" s="5" t="inlineStr">
        <is>
          <t>No automated check today — manual only.</t>
        </is>
      </c>
      <c r="L18" t="inlineStr">
        <is>
          <t>WCAG-AA auditor</t>
        </is>
      </c>
      <c r="O18" t="inlineStr">
        <is>
          <t>Not Yet Run</t>
        </is>
      </c>
      <c r="R18" t="inlineStr">
        <is>
          <t>0%</t>
        </is>
      </c>
    </row>
    <row r="19" ht="30" customHeight="1">
      <c r="A19" s="7" t="inlineStr">
        <is>
          <t>E-015</t>
        </is>
      </c>
      <c r="B19" s="5" t="inlineStr">
        <is>
          <t>Cognitive accessibility</t>
        </is>
      </c>
      <c r="C19" s="6" t="inlineStr">
        <is>
          <t>32</t>
        </is>
      </c>
      <c r="D19" s="5" t="inlineStr">
        <is>
          <t>Reading-flow predictability (no surprise pop-ups)</t>
        </is>
      </c>
      <c r="E19" s="5" t="inlineStr">
        <is>
          <t>1. Use app for 20 min
2. Note unexpected modals / context changes</t>
        </is>
      </c>
      <c r="F19" s="5" t="inlineStr">
        <is>
          <t>0 surprise context-shifts</t>
        </is>
      </c>
      <c r="G19" s="6" t="inlineStr">
        <is>
          <t>P5</t>
        </is>
      </c>
      <c r="H19" s="6" t="inlineStr">
        <is>
          <t>Minor</t>
        </is>
      </c>
      <c r="I19" s="6" t="inlineStr">
        <is>
          <t>Manual</t>
        </is>
      </c>
      <c r="J19" s="5" t="inlineStr">
        <is>
          <t>No automated check today — manual only.</t>
        </is>
      </c>
      <c r="L19" t="inlineStr">
        <is>
          <t>WCAG-AA auditor</t>
        </is>
      </c>
      <c r="O19" t="inlineStr">
        <is>
          <t>Not Yet Run</t>
        </is>
      </c>
      <c r="R19" t="inlineStr">
        <is>
          <t>0%</t>
        </is>
      </c>
    </row>
    <row r="20" ht="30" customHeight="1">
      <c r="A20" s="7" t="inlineStr">
        <is>
          <t>E-016</t>
        </is>
      </c>
      <c r="B20" s="5" t="inlineStr">
        <is>
          <t>Hearing-impaired</t>
        </is>
      </c>
      <c r="C20" s="6" t="inlineStr">
        <is>
          <t>33</t>
        </is>
      </c>
      <c r="D20" s="5" t="inlineStr">
        <is>
          <t>Audio-dependent items have transcripts visible</t>
        </is>
      </c>
      <c r="E20" s="5" t="inlineStr">
        <is>
          <t>1. Open listening.json items
2. Verify script_ja is visible OR can be revealed</t>
        </is>
      </c>
      <c r="F20" s="5" t="inlineStr">
        <is>
          <t>Transcripts accessible</t>
        </is>
      </c>
      <c r="G20" s="6" t="inlineStr">
        <is>
          <t>P3</t>
        </is>
      </c>
      <c r="H20" s="6" t="inlineStr">
        <is>
          <t>Major</t>
        </is>
      </c>
      <c r="I20" s="6" t="inlineStr">
        <is>
          <t>Manual</t>
        </is>
      </c>
      <c r="J20" s="5" t="inlineStr">
        <is>
          <t>JA-86 ensures script_ja exists</t>
        </is>
      </c>
      <c r="L20" t="inlineStr">
        <is>
          <t>WCAG-AA auditor</t>
        </is>
      </c>
      <c r="O20" t="inlineStr">
        <is>
          <t>Not Yet Run</t>
        </is>
      </c>
      <c r="R20" t="inlineStr">
        <is>
          <t>0%</t>
        </is>
      </c>
    </row>
    <row r="21" ht="30" customHeight="1">
      <c r="A21" s="7" t="inlineStr">
        <is>
          <t>E-017</t>
        </is>
      </c>
      <c r="B21" s="5" t="inlineStr">
        <is>
          <t>Hearing-impaired</t>
        </is>
      </c>
      <c r="C21" s="6" t="inlineStr">
        <is>
          <t>33</t>
        </is>
      </c>
      <c r="D21" s="5" t="inlineStr">
        <is>
          <t>Pitch-accent visual representation</t>
        </is>
      </c>
      <c r="E21" s="5" t="inlineStr">
        <is>
          <t>1. Verify pitch-accent diagram (drop arrow / line graph) is visible</t>
        </is>
      </c>
      <c r="F21" s="5" t="inlineStr">
        <is>
          <t>Visual pitch-accent renders correctly</t>
        </is>
      </c>
      <c r="G21" s="6" t="inlineStr">
        <is>
          <t>P3</t>
        </is>
      </c>
      <c r="H21" s="6" t="inlineStr">
        <is>
          <t>Major</t>
        </is>
      </c>
      <c r="I21" s="6" t="inlineStr">
        <is>
          <t>Manual</t>
        </is>
      </c>
      <c r="J21" s="5" t="inlineStr">
        <is>
          <t>No automated check today — manual only.</t>
        </is>
      </c>
      <c r="L21" t="inlineStr">
        <is>
          <t>WCAG-AA auditor</t>
        </is>
      </c>
      <c r="O21" t="inlineStr">
        <is>
          <t>Not Yet Run</t>
        </is>
      </c>
      <c r="R21" t="inlineStr">
        <is>
          <t>0%</t>
        </is>
      </c>
    </row>
    <row r="22" ht="30" customHeight="1">
      <c r="A22" s="7" t="inlineStr">
        <is>
          <t>E-018</t>
        </is>
      </c>
      <c r="B22" s="5" t="inlineStr">
        <is>
          <t>Hearing-impaired</t>
        </is>
      </c>
      <c r="C22" s="6" t="inlineStr">
        <is>
          <t>33</t>
        </is>
      </c>
      <c r="D22" s="5" t="inlineStr">
        <is>
          <t>Mock-exam listening section has 'reveal-script' button</t>
        </is>
      </c>
      <c r="E22" s="5" t="inlineStr">
        <is>
          <t>1. In mock-exam mode, listen to a question
2. Verify learner can reveal script post-answer</t>
        </is>
      </c>
      <c r="F22" s="5" t="inlineStr">
        <is>
          <t>Script reveal available post-answer</t>
        </is>
      </c>
      <c r="G22" s="6" t="inlineStr">
        <is>
          <t>P3</t>
        </is>
      </c>
      <c r="H22" s="6" t="inlineStr">
        <is>
          <t>Major</t>
        </is>
      </c>
      <c r="I22" s="6" t="inlineStr">
        <is>
          <t>Manual</t>
        </is>
      </c>
      <c r="J22" s="5" t="inlineStr">
        <is>
          <t>No automated check today — manual only.</t>
        </is>
      </c>
      <c r="L22" t="inlineStr">
        <is>
          <t>WCAG-AA auditor</t>
        </is>
      </c>
      <c r="O22" t="inlineStr">
        <is>
          <t>Not Yet Run</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17" text="Medium-High">
      <formula>NOT(ISERROR(SEARCH("Medium-High",G5)))</formula>
    </cfRule>
    <cfRule type="containsText" priority="3" operator="containsText" dxfId="31" text="Low-Medium">
      <formula>NOT(ISERROR(SEARCH("Low-Medium",G5)))</formula>
    </cfRule>
    <cfRule type="containsText" priority="4" operator="containsText" dxfId="4" text="High">
      <formula>NOT(ISERROR(SEARCH("High",G5)))</formula>
    </cfRule>
    <cfRule type="containsText" priority="5" operator="containsText" dxfId="3" text="Medium">
      <formula>NOT(ISERROR(SEARCH("Medium",G5)))</formula>
    </cfRule>
    <cfRule type="containsText" priority="6" operator="containsText" dxfId="2" text="Low">
      <formula>NOT(ISERROR(SEARCH("Low",G5)))</formula>
    </cfRule>
    <cfRule type="containsText" priority="7" operator="containsText" dxfId="5" text="P1">
      <formula>NOT(ISERROR(SEARCH("P1",G5)))</formula>
    </cfRule>
    <cfRule type="containsText" priority="8" operator="containsText" dxfId="4" text="P2">
      <formula>NOT(ISERROR(SEARCH("P2",G5)))</formula>
    </cfRule>
    <cfRule type="containsText" priority="9" operator="containsText" dxfId="3" text="P3">
      <formula>NOT(ISERROR(SEARCH("P3",G5)))</formula>
    </cfRule>
    <cfRule type="containsText" priority="10" operator="containsText" dxfId="2" text="P4">
      <formula>NOT(ISERROR(SEARCH("P4",G5)))</formula>
    </cfRule>
    <cfRule type="containsText" priority="11" operator="containsText" dxfId="1" text="P5">
      <formula>NOT(ISERROR(SEARCH("P5",G5)))</formula>
    </cfRule>
  </conditionalFormatting>
  <conditionalFormatting sqref="H5:H22">
    <cfRule type="containsText" priority="12" operator="containsText" dxfId="5" text="Critical">
      <formula>NOT(ISERROR(SEARCH("Critical",H5)))</formula>
    </cfRule>
    <cfRule type="containsText" priority="13" operator="containsText" dxfId="4" text="Major">
      <formula>NOT(ISERROR(SEARCH("Major",H5)))</formula>
    </cfRule>
    <cfRule type="containsText" priority="14" operator="containsText" dxfId="3" text="Minor">
      <formula>NOT(ISERROR(SEARCH("Minor",H5)))</formula>
    </cfRule>
  </conditionalFormatting>
  <conditionalFormatting sqref="I5:I22">
    <cfRule type="containsText" priority="15" operator="containsText" dxfId="18" text="Auto+Manual">
      <formula>NOT(ISERROR(SEARCH("Auto+Manual",I5)))</formula>
    </cfRule>
    <cfRule type="containsText" priority="16" operator="containsText" dxfId="18" text="Hybrid">
      <formula>NOT(ISERROR(SEARCH("Hybrid",I5)))</formula>
    </cfRule>
    <cfRule type="containsText" priority="17" operator="containsText" dxfId="17"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min="1" max="1"/>
    <col width="19.08984375" customWidth="1" min="2" max="2"/>
    <col width="9.08984375" customWidth="1" min="3" max="3"/>
    <col width="43.6328125" customWidth="1" min="4" max="4"/>
    <col width="50.90625" customWidth="1" min="5" max="5"/>
    <col width="40" customWidth="1" min="6" max="6"/>
    <col width="14.54296875" customWidth="1" min="7" max="7"/>
    <col width="16.36328125" customWidth="1" min="8" max="8"/>
    <col width="14.54296875" customWidth="1" min="9" max="9"/>
    <col width="32.7265625" customWidth="1" min="10" max="10"/>
    <col width="16" customWidth="1" min="11" max="11"/>
    <col width="24" customWidth="1" min="12" max="12"/>
    <col width="32" customWidth="1" min="13" max="13"/>
    <col width="14" customWidth="1" min="14" max="14"/>
    <col width="14" customWidth="1" min="15" max="15"/>
    <col width="18" customWidth="1" min="16" max="16"/>
    <col width="16" customWidth="1" min="17" max="17"/>
    <col width="12" customWidth="1" min="18" max="18"/>
  </cols>
  <sheetData>
    <row r="1" ht="28" customHeight="1">
      <c r="A1" s="9" t="inlineStr">
        <is>
          <t>F. Security</t>
        </is>
      </c>
    </row>
    <row r="2" ht="36" customHeight="1">
      <c r="A2" s="10" t="inlineStr">
        <is>
          <t>Perspectives: OWASP, CSP, supply-chain, secrets, penetration, GitHub Actions security (perspectives 34-39)</t>
        </is>
      </c>
    </row>
    <row r="4" ht="24" customHeight="1">
      <c r="A4" s="12" t="inlineStr">
        <is>
          <t>ID</t>
        </is>
      </c>
      <c r="B4" s="12" t="inlineStr">
        <is>
          <t>Sub-category</t>
        </is>
      </c>
      <c r="C4" s="12" t="inlineStr">
        <is>
          <t>Persp #</t>
        </is>
      </c>
      <c r="D4" s="12" t="inlineStr">
        <is>
          <t>Scenario</t>
        </is>
      </c>
      <c r="E4" s="12" t="inlineStr">
        <is>
          <t>Test steps</t>
        </is>
      </c>
      <c r="F4" s="12" t="inlineStr">
        <is>
          <t>Expected result</t>
        </is>
      </c>
      <c r="G4" s="12" t="inlineStr">
        <is>
          <t>Priority</t>
        </is>
      </c>
      <c r="H4" s="12" t="inlineStr">
        <is>
          <t>Severity if fails</t>
        </is>
      </c>
      <c r="I4" s="12" t="inlineStr">
        <is>
          <t>Test type</t>
        </is>
      </c>
      <c r="J4" s="12" t="inlineStr">
        <is>
          <t>Notes</t>
        </is>
      </c>
      <c r="K4" s="25" t="inlineStr">
        <is>
          <t>Estimated effort</t>
        </is>
      </c>
      <c r="L4" s="25" t="inlineStr">
        <is>
          <t>Owner / role</t>
        </is>
      </c>
      <c r="M4" s="25" t="inlineStr">
        <is>
          <t>Tools / scripts required</t>
        </is>
      </c>
      <c r="N4" s="25" t="inlineStr">
        <is>
          <t>Last run date</t>
        </is>
      </c>
      <c r="O4" s="25" t="inlineStr">
        <is>
          <t>Last run result</t>
        </is>
      </c>
      <c r="P4" s="25" t="inlineStr">
        <is>
          <t>Tracker link</t>
        </is>
      </c>
      <c r="Q4" s="25" t="inlineStr">
        <is>
          <t>Depends on</t>
        </is>
      </c>
      <c r="R4" s="25" t="inlineStr">
        <is>
          <t>Coverage %</t>
        </is>
      </c>
    </row>
    <row r="5" ht="42" customHeight="1">
      <c r="A5" s="7" t="inlineStr">
        <is>
          <t>F-001</t>
        </is>
      </c>
      <c r="B5" s="5" t="inlineStr">
        <is>
          <t>XSS</t>
        </is>
      </c>
      <c r="C5" s="6" t="inlineStr">
        <is>
          <t>34</t>
        </is>
      </c>
      <c r="D5" s="5" t="inlineStr">
        <is>
          <t>Input field XSS payload injection (feedback module if exists)</t>
        </is>
      </c>
      <c r="E5" s="5" t="inlineStr">
        <is>
          <t>1. Identify all input surfaces
2. Submit &lt;script&gt;alert(1)&lt;/script&gt;, &lt;img src=x onerror=alert(1)&gt;
3. Verify no script execution</t>
        </is>
      </c>
      <c r="F5" s="5" t="inlineStr">
        <is>
          <t>All inputs sanitized; no payload executes</t>
        </is>
      </c>
      <c r="G5" s="6" t="inlineStr">
        <is>
          <t>P1</t>
        </is>
      </c>
      <c r="H5" s="6" t="inlineStr">
        <is>
          <t>Critical</t>
        </is>
      </c>
      <c r="I5" s="6" t="inlineStr">
        <is>
          <t>Auto</t>
        </is>
      </c>
      <c r="J5" s="5" t="inlineStr">
        <is>
          <t>No automated check today — manual only.</t>
        </is>
      </c>
      <c r="L5" t="inlineStr">
        <is>
          <t>Security engineer</t>
        </is>
      </c>
      <c r="M5" t="inlineStr">
        <is>
          <t>Lighthouse + npm audit + secrets-scan</t>
        </is>
      </c>
      <c r="O5" t="inlineStr">
        <is>
          <t>Not Yet Run</t>
        </is>
      </c>
      <c r="R5" t="inlineStr">
        <is>
          <t>0%</t>
        </is>
      </c>
    </row>
    <row r="6" ht="30" customHeight="1">
      <c r="A6" s="7" t="inlineStr">
        <is>
          <t>F-002</t>
        </is>
      </c>
      <c r="B6" s="5" t="inlineStr">
        <is>
          <t>XSS</t>
        </is>
      </c>
      <c r="C6" s="6" t="inlineStr">
        <is>
          <t>34</t>
        </is>
      </c>
      <c r="D6" s="5" t="inlineStr">
        <is>
          <t>URL-parameter XSS in route handlers</t>
        </is>
      </c>
      <c r="E6" s="5" t="inlineStr">
        <is>
          <t>1. Identify all URL params parsed by JS
2. Inject XSS payload
3. Verify no execution</t>
        </is>
      </c>
      <c r="F6" s="5" t="inlineStr">
        <is>
          <t>URL params sanitized</t>
        </is>
      </c>
      <c r="G6" s="6" t="inlineStr">
        <is>
          <t>P1</t>
        </is>
      </c>
      <c r="H6" s="6" t="inlineStr">
        <is>
          <t>Critical</t>
        </is>
      </c>
      <c r="I6" s="6" t="inlineStr">
        <is>
          <t>Auto</t>
        </is>
      </c>
      <c r="J6" s="5" t="inlineStr">
        <is>
          <t>No automated check today — manual only.</t>
        </is>
      </c>
      <c r="L6" t="inlineStr">
        <is>
          <t>Security engineer</t>
        </is>
      </c>
      <c r="M6" t="inlineStr">
        <is>
          <t>npm audit / Snyk / Dependabot</t>
        </is>
      </c>
      <c r="O6" t="inlineStr">
        <is>
          <t>Not Yet Run</t>
        </is>
      </c>
      <c r="R6" t="inlineStr">
        <is>
          <t>0%</t>
        </is>
      </c>
    </row>
    <row r="7" ht="34" customHeight="1">
      <c r="A7" s="7" t="inlineStr">
        <is>
          <t>F-003</t>
        </is>
      </c>
      <c r="B7" s="5" t="inlineStr">
        <is>
          <t>XSS</t>
        </is>
      </c>
      <c r="C7" s="6" t="inlineStr">
        <is>
          <t>34</t>
        </is>
      </c>
      <c r="D7" s="5" t="inlineStr">
        <is>
          <t>localStorage payload injection</t>
        </is>
      </c>
      <c r="E7" s="5" t="inlineStr">
        <is>
          <t>1. Manually write XSS payload to known localStorage key
2. Reload page
3. Verify app sanitizes on read</t>
        </is>
      </c>
      <c r="F7" s="5" t="inlineStr">
        <is>
          <t>localStorage values sanitized on read</t>
        </is>
      </c>
      <c r="G7" s="6" t="inlineStr">
        <is>
          <t>P1</t>
        </is>
      </c>
      <c r="H7" s="6" t="inlineStr">
        <is>
          <t>Critical</t>
        </is>
      </c>
      <c r="I7" s="6" t="inlineStr">
        <is>
          <t>Auto</t>
        </is>
      </c>
      <c r="J7" s="5" t="inlineStr">
        <is>
          <t>No automated check today — manual only.</t>
        </is>
      </c>
      <c r="L7" t="inlineStr">
        <is>
          <t>Security engineer</t>
        </is>
      </c>
      <c r="M7" t="inlineStr">
        <is>
          <t>GitGuardian / trufflehog (secrets in tree)</t>
        </is>
      </c>
      <c r="O7" t="inlineStr">
        <is>
          <t>Not Yet Run</t>
        </is>
      </c>
      <c r="R7" t="inlineStr">
        <is>
          <t>0%</t>
        </is>
      </c>
    </row>
    <row r="8" ht="30" customHeight="1">
      <c r="A8" s="7" t="inlineStr">
        <is>
          <t>F-004</t>
        </is>
      </c>
      <c r="B8" s="5" t="inlineStr">
        <is>
          <t>XSS</t>
        </is>
      </c>
      <c r="C8" s="6" t="inlineStr">
        <is>
          <t>34</t>
        </is>
      </c>
      <c r="D8" s="5" t="inlineStr">
        <is>
          <t>JSON-fixture injection (if any user-uploaded JSON path exists)</t>
        </is>
      </c>
      <c r="E8" s="5" t="inlineStr">
        <is>
          <t>1. Verify no user-upload paths
2. If any, test JSON-payload injection</t>
        </is>
      </c>
      <c r="F8" s="5" t="inlineStr">
        <is>
          <t>No user-upload OR uploads sanitized</t>
        </is>
      </c>
      <c r="G8" s="6" t="inlineStr">
        <is>
          <t>P3</t>
        </is>
      </c>
      <c r="H8" s="6" t="inlineStr">
        <is>
          <t>Major</t>
        </is>
      </c>
      <c r="I8" s="6" t="inlineStr">
        <is>
          <t>Auto</t>
        </is>
      </c>
      <c r="J8" s="5" t="inlineStr">
        <is>
          <t>No automated check today — manual only.</t>
        </is>
      </c>
      <c r="L8" t="inlineStr">
        <is>
          <t>Security engineer</t>
        </is>
      </c>
      <c r="M8" t="inlineStr">
        <is>
          <t>Static analysis (eslint-plugin-security)</t>
        </is>
      </c>
      <c r="O8" t="inlineStr">
        <is>
          <t>Not Yet Run</t>
        </is>
      </c>
      <c r="R8" t="inlineStr">
        <is>
          <t>0%</t>
        </is>
      </c>
    </row>
    <row r="9" ht="52" customHeight="1">
      <c r="A9" s="7" t="inlineStr">
        <is>
          <t>F-005</t>
        </is>
      </c>
      <c r="B9" s="5" t="inlineStr">
        <is>
          <t>CSP</t>
        </is>
      </c>
      <c r="C9" s="6" t="inlineStr">
        <is>
          <t>35</t>
        </is>
      </c>
      <c r="D9" s="5" t="inlineStr">
        <is>
          <t>Content-Security-Policy header strictness</t>
        </is>
      </c>
      <c r="E9" s="5" t="inlineStr">
        <is>
          <t>1. Inspect response headers from production deploy
2. Verify CSP includes default-src 'self'; script-src 'self' 'sha256-...'
3. No unsafe-inline / unsafe-eval</t>
        </is>
      </c>
      <c r="F9" s="5" t="inlineStr">
        <is>
          <t>Strict CSP without unsafe-*</t>
        </is>
      </c>
      <c r="G9" s="6" t="inlineStr">
        <is>
          <t>P3</t>
        </is>
      </c>
      <c r="H9" s="6" t="inlineStr">
        <is>
          <t>Major</t>
        </is>
      </c>
      <c r="I9" s="6" t="inlineStr">
        <is>
          <t>Auto</t>
        </is>
      </c>
      <c r="J9" s="5" t="inlineStr">
        <is>
          <t>No automated check today — manual only.</t>
        </is>
      </c>
      <c r="L9" t="inlineStr">
        <is>
          <t>Security engineer</t>
        </is>
      </c>
      <c r="O9" t="inlineStr">
        <is>
          <t>Not Yet Run</t>
        </is>
      </c>
      <c r="R9" t="inlineStr">
        <is>
          <t>0%</t>
        </is>
      </c>
    </row>
    <row r="10" ht="30" customHeight="1">
      <c r="A10" s="7" t="inlineStr">
        <is>
          <t>F-006</t>
        </is>
      </c>
      <c r="B10" s="5" t="inlineStr">
        <is>
          <t>CSP</t>
        </is>
      </c>
      <c r="C10" s="6" t="inlineStr">
        <is>
          <t>35</t>
        </is>
      </c>
      <c r="D10" s="5" t="inlineStr">
        <is>
          <t>frame-ancestors / X-Frame-Options (clickjacking)</t>
        </is>
      </c>
      <c r="E10" s="5" t="inlineStr">
        <is>
          <t>1. Verify CSP frame-ancestors 'none' OR X-Frame-Options DENY</t>
        </is>
      </c>
      <c r="F10" s="5" t="inlineStr">
        <is>
          <t>Embedding prevented</t>
        </is>
      </c>
      <c r="G10" s="6" t="inlineStr">
        <is>
          <t>P3</t>
        </is>
      </c>
      <c r="H10" s="6" t="inlineStr">
        <is>
          <t>Major</t>
        </is>
      </c>
      <c r="I10" s="6" t="inlineStr">
        <is>
          <t>Auto</t>
        </is>
      </c>
      <c r="J10" s="5" t="inlineStr">
        <is>
          <t>No automated check today — manual only.</t>
        </is>
      </c>
      <c r="L10" t="inlineStr">
        <is>
          <t>Security engineer</t>
        </is>
      </c>
      <c r="O10" t="inlineStr">
        <is>
          <t>Not Yet Run</t>
        </is>
      </c>
      <c r="R10" t="inlineStr">
        <is>
          <t>0%</t>
        </is>
      </c>
    </row>
    <row r="11" ht="30" customHeight="1">
      <c r="A11" s="7" t="inlineStr">
        <is>
          <t>F-007</t>
        </is>
      </c>
      <c r="B11" s="5" t="inlineStr">
        <is>
          <t>CSP</t>
        </is>
      </c>
      <c r="C11" s="6" t="inlineStr">
        <is>
          <t>35</t>
        </is>
      </c>
      <c r="D11" s="5" t="inlineStr">
        <is>
          <t>Referrer-Policy header</t>
        </is>
      </c>
      <c r="E11" s="5" t="inlineStr">
        <is>
          <t>1. Verify Referrer-Policy = strict-origin-when-cross-origin or stricter</t>
        </is>
      </c>
      <c r="F11" s="5" t="inlineStr">
        <is>
          <t>Referrer leak prevented</t>
        </is>
      </c>
      <c r="G11" s="6" t="inlineStr">
        <is>
          <t>P5</t>
        </is>
      </c>
      <c r="H11" s="6" t="inlineStr">
        <is>
          <t>Minor</t>
        </is>
      </c>
      <c r="I11" s="6" t="inlineStr">
        <is>
          <t>Auto</t>
        </is>
      </c>
      <c r="J11" s="5" t="inlineStr">
        <is>
          <t>No automated check today — manual only.</t>
        </is>
      </c>
      <c r="L11" t="inlineStr">
        <is>
          <t>Security engineer</t>
        </is>
      </c>
      <c r="O11" t="inlineStr">
        <is>
          <t>Not Yet Run</t>
        </is>
      </c>
      <c r="R11" t="inlineStr">
        <is>
          <t>0%</t>
        </is>
      </c>
    </row>
    <row r="12" ht="30" customHeight="1">
      <c r="A12" s="7" t="inlineStr">
        <is>
          <t>F-008</t>
        </is>
      </c>
      <c r="B12" s="5" t="inlineStr">
        <is>
          <t>CSP</t>
        </is>
      </c>
      <c r="C12" s="6" t="inlineStr">
        <is>
          <t>35</t>
        </is>
      </c>
      <c r="D12" s="5" t="inlineStr">
        <is>
          <t>Permissions-Policy header (mic / camera / geolocation)</t>
        </is>
      </c>
      <c r="E12" s="5" t="inlineStr">
        <is>
          <t>1. Verify Permissions-Policy disables unused features</t>
        </is>
      </c>
      <c r="F12" s="5" t="inlineStr">
        <is>
          <t>Unused features denied</t>
        </is>
      </c>
      <c r="G12" s="6" t="inlineStr">
        <is>
          <t>P5</t>
        </is>
      </c>
      <c r="H12" s="6" t="inlineStr">
        <is>
          <t>Minor</t>
        </is>
      </c>
      <c r="I12" s="6" t="inlineStr">
        <is>
          <t>Auto</t>
        </is>
      </c>
      <c r="J12" s="5" t="inlineStr">
        <is>
          <t>No automated check today — manual only.</t>
        </is>
      </c>
      <c r="L12" t="inlineStr">
        <is>
          <t>Security engineer</t>
        </is>
      </c>
      <c r="O12" t="inlineStr">
        <is>
          <t>Not Yet Run</t>
        </is>
      </c>
      <c r="R12" t="inlineStr">
        <is>
          <t>0%</t>
        </is>
      </c>
    </row>
    <row r="13" ht="30" customHeight="1">
      <c r="A13" s="7" t="inlineStr">
        <is>
          <t>F-009</t>
        </is>
      </c>
      <c r="B13" s="5" t="inlineStr">
        <is>
          <t>Supply chain</t>
        </is>
      </c>
      <c r="C13" s="6" t="inlineStr">
        <is>
          <t>36</t>
        </is>
      </c>
      <c r="D13" s="5" t="inlineStr">
        <is>
          <t>npm dependency CVE scan</t>
        </is>
      </c>
      <c r="E13" s="5" t="inlineStr">
        <is>
          <t>1. Run npm audit
2. Verify 0 high/critical CVEs</t>
        </is>
      </c>
      <c r="F13" s="5" t="inlineStr">
        <is>
          <t>0 high/critical CVEs</t>
        </is>
      </c>
      <c r="G13" s="6" t="inlineStr">
        <is>
          <t>P3</t>
        </is>
      </c>
      <c r="H13" s="6" t="inlineStr">
        <is>
          <t>Major</t>
        </is>
      </c>
      <c r="I13" s="6" t="inlineStr">
        <is>
          <t>Auto</t>
        </is>
      </c>
      <c r="J13" s="5" t="inlineStr">
        <is>
          <t>No automated check today — manual only.</t>
        </is>
      </c>
      <c r="L13" t="inlineStr">
        <is>
          <t>Security engineer</t>
        </is>
      </c>
      <c r="O13" t="inlineStr">
        <is>
          <t>Not Yet Run</t>
        </is>
      </c>
      <c r="R13" t="inlineStr">
        <is>
          <t>0%</t>
        </is>
      </c>
    </row>
    <row r="14" ht="30" customHeight="1">
      <c r="A14" s="7" t="inlineStr">
        <is>
          <t>F-010</t>
        </is>
      </c>
      <c r="B14" s="5" t="inlineStr">
        <is>
          <t>Supply chain</t>
        </is>
      </c>
      <c r="C14" s="6" t="inlineStr">
        <is>
          <t>36</t>
        </is>
      </c>
      <c r="D14" s="5" t="inlineStr">
        <is>
          <t>Python dependency CVE scan (pip-audit / safety)</t>
        </is>
      </c>
      <c r="E14" s="5" t="inlineStr">
        <is>
          <t>1. Run pip-audit on tools/requirements.txt
2. Verify 0 high/critical</t>
        </is>
      </c>
      <c r="F14" s="5" t="inlineStr">
        <is>
          <t>0 high/critical CVEs</t>
        </is>
      </c>
      <c r="G14" s="6" t="inlineStr">
        <is>
          <t>P3</t>
        </is>
      </c>
      <c r="H14" s="6" t="inlineStr">
        <is>
          <t>Major</t>
        </is>
      </c>
      <c r="I14" s="6" t="inlineStr">
        <is>
          <t>Auto</t>
        </is>
      </c>
      <c r="J14" s="5" t="inlineStr">
        <is>
          <t>No automated check today — manual only.</t>
        </is>
      </c>
      <c r="L14" t="inlineStr">
        <is>
          <t>Security engineer</t>
        </is>
      </c>
      <c r="O14" t="inlineStr">
        <is>
          <t>Not Yet Run</t>
        </is>
      </c>
      <c r="R14" t="inlineStr">
        <is>
          <t>0%</t>
        </is>
      </c>
    </row>
    <row r="15" ht="34" customHeight="1">
      <c r="A15" s="7" t="inlineStr">
        <is>
          <t>F-011</t>
        </is>
      </c>
      <c r="B15" s="5" t="inlineStr">
        <is>
          <t>Supply chain</t>
        </is>
      </c>
      <c r="C15" s="6" t="inlineStr">
        <is>
          <t>36</t>
        </is>
      </c>
      <c r="D15" s="5" t="inlineStr">
        <is>
          <t>Transitive-dependency license-compliance scan</t>
        </is>
      </c>
      <c r="E15" s="5" t="inlineStr">
        <is>
          <t>1. Run license-checker / pip-licenses
2. Verify no GPL contamination (project license is MIT or similar)</t>
        </is>
      </c>
      <c r="F15" s="5" t="inlineStr">
        <is>
          <t>License-clean</t>
        </is>
      </c>
      <c r="G15" s="6" t="inlineStr">
        <is>
          <t>P3</t>
        </is>
      </c>
      <c r="H15" s="6" t="inlineStr">
        <is>
          <t>Major</t>
        </is>
      </c>
      <c r="I15" s="6" t="inlineStr">
        <is>
          <t>Auto</t>
        </is>
      </c>
      <c r="J15" s="5" t="inlineStr">
        <is>
          <t>No automated check today — manual only.</t>
        </is>
      </c>
      <c r="L15" t="inlineStr">
        <is>
          <t>Security engineer</t>
        </is>
      </c>
      <c r="O15" t="inlineStr">
        <is>
          <t>Not Yet Run</t>
        </is>
      </c>
      <c r="R15" t="inlineStr">
        <is>
          <t>0%</t>
        </is>
      </c>
    </row>
    <row r="16" ht="30" customHeight="1">
      <c r="A16" s="7" t="inlineStr">
        <is>
          <t>F-012</t>
        </is>
      </c>
      <c r="B16" s="5" t="inlineStr">
        <is>
          <t>Supply chain</t>
        </is>
      </c>
      <c r="C16" s="6" t="inlineStr">
        <is>
          <t>36</t>
        </is>
      </c>
      <c r="D16" s="5" t="inlineStr">
        <is>
          <t>GitHub Actions third-party-action pinning by SHA</t>
        </is>
      </c>
      <c r="E16" s="5" t="inlineStr">
        <is>
          <t>1. Inspect .github/workflows/*.yml
2. Verify external actions pinned by SHA, not tag</t>
        </is>
      </c>
      <c r="F16" s="5" t="inlineStr">
        <is>
          <t>All third-party actions SHA-pinned</t>
        </is>
      </c>
      <c r="G16" s="6" t="inlineStr">
        <is>
          <t>P3</t>
        </is>
      </c>
      <c r="H16" s="6" t="inlineStr">
        <is>
          <t>Major</t>
        </is>
      </c>
      <c r="I16" s="6" t="inlineStr">
        <is>
          <t>Manual</t>
        </is>
      </c>
      <c r="J16" s="5" t="inlineStr">
        <is>
          <t>No automated check today — manual only.</t>
        </is>
      </c>
      <c r="L16" t="inlineStr">
        <is>
          <t>Security engineer</t>
        </is>
      </c>
      <c r="O16" t="inlineStr">
        <is>
          <t>Not Yet Run</t>
        </is>
      </c>
      <c r="R16" t="inlineStr">
        <is>
          <t>0%</t>
        </is>
      </c>
    </row>
    <row r="17" ht="33" customHeight="1">
      <c r="A17" s="7" t="inlineStr">
        <is>
          <t>F-013</t>
        </is>
      </c>
      <c r="B17" s="5" t="inlineStr">
        <is>
          <t>Supply chain</t>
        </is>
      </c>
      <c r="C17" s="6" t="inlineStr">
        <is>
          <t>36</t>
        </is>
      </c>
      <c r="D17" s="5" t="inlineStr">
        <is>
          <t>Subresource Integrity (SRI) for any CDN assets</t>
        </is>
      </c>
      <c r="E17" s="5" t="inlineStr">
        <is>
          <t>1. Inspect any &lt;script src='cdn...'&gt; or &lt;link href='cdn...'&gt;
2. Verify integrity= attribute present</t>
        </is>
      </c>
      <c r="F17" s="5" t="inlineStr">
        <is>
          <t>SRI present where applicable</t>
        </is>
      </c>
      <c r="G17" s="6" t="inlineStr">
        <is>
          <t>P5</t>
        </is>
      </c>
      <c r="H17" s="6" t="inlineStr">
        <is>
          <t>Minor</t>
        </is>
      </c>
      <c r="I17" s="6" t="inlineStr">
        <is>
          <t>Manual</t>
        </is>
      </c>
      <c r="J17" s="5" t="inlineStr">
        <is>
          <t>No automated check today — manual only.</t>
        </is>
      </c>
      <c r="L17" t="inlineStr">
        <is>
          <t>Security engineer</t>
        </is>
      </c>
      <c r="O17" t="inlineStr">
        <is>
          <t>Not Yet Run</t>
        </is>
      </c>
      <c r="R17" t="inlineStr">
        <is>
          <t>0%</t>
        </is>
      </c>
    </row>
    <row r="18" ht="30" customHeight="1">
      <c r="A18" s="7" t="inlineStr">
        <is>
          <t>F-014</t>
        </is>
      </c>
      <c r="B18" s="5" t="inlineStr">
        <is>
          <t>Secrets</t>
        </is>
      </c>
      <c r="C18" s="6" t="inlineStr">
        <is>
          <t>37</t>
        </is>
      </c>
      <c r="D18" s="5" t="inlineStr">
        <is>
          <t>Git-history scan for accidentally-committed tokens</t>
        </is>
      </c>
      <c r="E18" s="5" t="inlineStr">
        <is>
          <t>1. Run trufflehog / git-secrets across full history
2. Verify 0 high-confidence hits</t>
        </is>
      </c>
      <c r="F18" s="5" t="inlineStr">
        <is>
          <t>0 leaked secrets in history</t>
        </is>
      </c>
      <c r="G18" s="6" t="inlineStr">
        <is>
          <t>P1</t>
        </is>
      </c>
      <c r="H18" s="6" t="inlineStr">
        <is>
          <t>Critical</t>
        </is>
      </c>
      <c r="I18" s="6" t="inlineStr">
        <is>
          <t>Auto</t>
        </is>
      </c>
      <c r="J18" s="5" t="inlineStr">
        <is>
          <t>Never formally scanned | [BUG-026] Critical severity (git-history secret leak) → P1 priority post-remap.</t>
        </is>
      </c>
      <c r="L18" t="inlineStr">
        <is>
          <t>Security engineer</t>
        </is>
      </c>
      <c r="O18" t="inlineStr">
        <is>
          <t>Not Yet Run</t>
        </is>
      </c>
      <c r="R18" t="inlineStr">
        <is>
          <t>0%</t>
        </is>
      </c>
    </row>
    <row r="19" ht="32" customHeight="1">
      <c r="A19" s="7" t="inlineStr">
        <is>
          <t>F-015</t>
        </is>
      </c>
      <c r="B19" s="5" t="inlineStr">
        <is>
          <t>Secrets</t>
        </is>
      </c>
      <c r="C19" s="6" t="inlineStr">
        <is>
          <t>37</t>
        </is>
      </c>
      <c r="D19" s="5" t="inlineStr">
        <is>
          <t>.env files / private keys in tree</t>
        </is>
      </c>
      <c r="E19" s="5" t="inlineStr">
        <is>
          <t>1. ls-files for .env / .pem / .key / credentials.json
2. Verify absence + .gitignore covers these</t>
        </is>
      </c>
      <c r="F19" s="5" t="inlineStr">
        <is>
          <t>0 secret files present</t>
        </is>
      </c>
      <c r="G19" s="6" t="inlineStr">
        <is>
          <t>P1</t>
        </is>
      </c>
      <c r="H19" s="6" t="inlineStr">
        <is>
          <t>Critical</t>
        </is>
      </c>
      <c r="I19" s="6" t="inlineStr">
        <is>
          <t>Auto</t>
        </is>
      </c>
      <c r="J19" s="5" t="inlineStr">
        <is>
          <t>[BUG-026] Critical severity (.env / private keys) → P1 priority post-remap.</t>
        </is>
      </c>
      <c r="L19" t="inlineStr">
        <is>
          <t>Security engineer</t>
        </is>
      </c>
      <c r="O19" t="inlineStr">
        <is>
          <t>Not Yet Run</t>
        </is>
      </c>
      <c r="R19" t="inlineStr">
        <is>
          <t>0%</t>
        </is>
      </c>
    </row>
    <row r="20" ht="31" customHeight="1">
      <c r="A20" s="7" t="inlineStr">
        <is>
          <t>F-016</t>
        </is>
      </c>
      <c r="B20" s="5" t="inlineStr">
        <is>
          <t>Penetration</t>
        </is>
      </c>
      <c r="C20" s="6" t="inlineStr">
        <is>
          <t>38</t>
        </is>
      </c>
      <c r="D20" s="5" t="inlineStr">
        <is>
          <t>Static-site dynamic-surface enumeration</t>
        </is>
      </c>
      <c r="E20" s="5" t="inlineStr">
        <is>
          <t>1. Crawl the site
2. Identify any JS-driven dynamic-data writes (localStorage, feedback POSTs)</t>
        </is>
      </c>
      <c r="F20" s="5" t="inlineStr">
        <is>
          <t>Dynamic-surface enumeration documented</t>
        </is>
      </c>
      <c r="G20" s="6" t="inlineStr">
        <is>
          <t>P3</t>
        </is>
      </c>
      <c r="H20" s="6" t="inlineStr">
        <is>
          <t>Major</t>
        </is>
      </c>
      <c r="I20" s="6" t="inlineStr">
        <is>
          <t>Manual</t>
        </is>
      </c>
      <c r="J20" s="5" t="inlineStr">
        <is>
          <t>[BUG-026] ELEVATED: Major severity (static-site dynamic-surface enumeration) — minimal effort, high signal. Elevated from P4 to P3 per BUG-026.</t>
        </is>
      </c>
      <c r="L20" t="inlineStr">
        <is>
          <t>Security engineer</t>
        </is>
      </c>
      <c r="O20" t="inlineStr">
        <is>
          <t>Not Yet Run</t>
        </is>
      </c>
      <c r="R20" t="inlineStr">
        <is>
          <t>0%</t>
        </is>
      </c>
    </row>
    <row r="21" ht="30" customHeight="1">
      <c r="A21" s="7" t="inlineStr">
        <is>
          <t>F-017</t>
        </is>
      </c>
      <c r="B21" s="5" t="inlineStr">
        <is>
          <t>Penetration</t>
        </is>
      </c>
      <c r="C21" s="6" t="inlineStr">
        <is>
          <t>38</t>
        </is>
      </c>
      <c r="D21" s="5" t="inlineStr">
        <is>
          <t>Rate-limit / DoS surface on any POST endpoints</t>
        </is>
      </c>
      <c r="E21" s="5" t="inlineStr">
        <is>
          <t>1. Identify any POST endpoints
2. Verify rate-limit or static-only architecture</t>
        </is>
      </c>
      <c r="F21" s="5" t="inlineStr">
        <is>
          <t>Static-only OR rate-limited</t>
        </is>
      </c>
      <c r="G21" s="6" t="inlineStr">
        <is>
          <t>P3</t>
        </is>
      </c>
      <c r="H21" s="6" t="inlineStr">
        <is>
          <t>Major</t>
        </is>
      </c>
      <c r="I21" s="6" t="inlineStr">
        <is>
          <t>Manual</t>
        </is>
      </c>
      <c r="J21" s="5" t="inlineStr">
        <is>
          <t>[BUG-026] ELEVATED: Major severity (rate-limit on POST endpoints) — even a static-PWA has feedback endpoints. Elevated from P4 to P3 per BUG-026.</t>
        </is>
      </c>
      <c r="L21" t="inlineStr">
        <is>
          <t>Security engineer</t>
        </is>
      </c>
      <c r="O21" t="inlineStr">
        <is>
          <t>Not Yet Run</t>
        </is>
      </c>
      <c r="R21" t="inlineStr">
        <is>
          <t>0%</t>
        </is>
      </c>
    </row>
    <row r="22" ht="37" customHeight="1">
      <c r="A22" s="7" t="inlineStr">
        <is>
          <t>F-018</t>
        </is>
      </c>
      <c r="B22" s="5" t="inlineStr">
        <is>
          <t>GitHub Actions</t>
        </is>
      </c>
      <c r="C22" s="6" t="inlineStr">
        <is>
          <t>39</t>
        </is>
      </c>
      <c r="D22" s="5" t="inlineStr">
        <is>
          <t>Workflow permissions: least-privilege token scopes</t>
        </is>
      </c>
      <c r="E22" s="5" t="inlineStr">
        <is>
          <t>1. Inspect permissions: blocks in workflows
2. Verify least-priv (e.g., contents:read, not write unless needed)</t>
        </is>
      </c>
      <c r="F22" s="5" t="inlineStr">
        <is>
          <t>All workflows least-priv</t>
        </is>
      </c>
      <c r="G22" s="6" t="inlineStr">
        <is>
          <t>P3</t>
        </is>
      </c>
      <c r="H22" s="6" t="inlineStr">
        <is>
          <t>Major</t>
        </is>
      </c>
      <c r="I22" s="6" t="inlineStr">
        <is>
          <t>Manual</t>
        </is>
      </c>
      <c r="J22" s="5" t="inlineStr">
        <is>
          <t>No automated check today — manual only.</t>
        </is>
      </c>
      <c r="L22" t="inlineStr">
        <is>
          <t>Security engineer</t>
        </is>
      </c>
      <c r="O22" t="inlineStr">
        <is>
          <t>Not Yet Run</t>
        </is>
      </c>
      <c r="R22" t="inlineStr">
        <is>
          <t>0%</t>
        </is>
      </c>
    </row>
    <row r="23" ht="30" customHeight="1">
      <c r="A23" s="7" t="inlineStr">
        <is>
          <t>F-019</t>
        </is>
      </c>
      <c r="B23" s="5" t="inlineStr">
        <is>
          <t>GitHub Actions</t>
        </is>
      </c>
      <c r="C23" s="6" t="inlineStr">
        <is>
          <t>39</t>
        </is>
      </c>
      <c r="D23" s="5" t="inlineStr">
        <is>
          <t>Pull-request workflow protection (no secret access on fork PRs)</t>
        </is>
      </c>
      <c r="E23" s="5" t="inlineStr">
        <is>
          <t>1. Verify workflows use pull_request not pull_request_target where appropriate</t>
        </is>
      </c>
      <c r="F23" s="5" t="inlineStr">
        <is>
          <t>Fork PRs can't access secrets</t>
        </is>
      </c>
      <c r="G23" s="6" t="inlineStr">
        <is>
          <t>P1</t>
        </is>
      </c>
      <c r="H23" s="6" t="inlineStr">
        <is>
          <t>Critical</t>
        </is>
      </c>
      <c r="I23" s="6" t="inlineStr">
        <is>
          <t>Manual</t>
        </is>
      </c>
      <c r="J23" s="5" t="inlineStr">
        <is>
          <t>[BUG-026] Critical severity (PR fork attack surface) → P1 priority post-remap.</t>
        </is>
      </c>
      <c r="L23" t="inlineStr">
        <is>
          <t>Security engineer</t>
        </is>
      </c>
      <c r="O23" t="inlineStr">
        <is>
          <t>Not Yet Run</t>
        </is>
      </c>
      <c r="R23"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17" text="Medium-High">
      <formula>NOT(ISERROR(SEARCH("Medium-High",G5)))</formula>
    </cfRule>
    <cfRule type="containsText" priority="3" operator="containsText" dxfId="31" text="Low-Medium">
      <formula>NOT(ISERROR(SEARCH("Low-Medium",G5)))</formula>
    </cfRule>
    <cfRule type="containsText" priority="4" operator="containsText" dxfId="4" text="High">
      <formula>NOT(ISERROR(SEARCH("High",G5)))</formula>
    </cfRule>
    <cfRule type="containsText" priority="5" operator="containsText" dxfId="3" text="Medium">
      <formula>NOT(ISERROR(SEARCH("Medium",G5)))</formula>
    </cfRule>
    <cfRule type="containsText" priority="6" operator="containsText" dxfId="2" text="Low">
      <formula>NOT(ISERROR(SEARCH("Low",G5)))</formula>
    </cfRule>
    <cfRule type="containsText" priority="7" operator="containsText" dxfId="5" text="P1">
      <formula>NOT(ISERROR(SEARCH("P1",G5)))</formula>
    </cfRule>
    <cfRule type="containsText" priority="8" operator="containsText" dxfId="4" text="P2">
      <formula>NOT(ISERROR(SEARCH("P2",G5)))</formula>
    </cfRule>
    <cfRule type="containsText" priority="9" operator="containsText" dxfId="3" text="P3">
      <formula>NOT(ISERROR(SEARCH("P3",G5)))</formula>
    </cfRule>
    <cfRule type="containsText" priority="10" operator="containsText" dxfId="2" text="P4">
      <formula>NOT(ISERROR(SEARCH("P4",G5)))</formula>
    </cfRule>
    <cfRule type="containsText" priority="11" operator="containsText" dxfId="1" text="P5">
      <formula>NOT(ISERROR(SEARCH("P5",G5)))</formula>
    </cfRule>
  </conditionalFormatting>
  <conditionalFormatting sqref="H5:H23">
    <cfRule type="containsText" priority="12" operator="containsText" dxfId="5" text="Critical">
      <formula>NOT(ISERROR(SEARCH("Critical",H5)))</formula>
    </cfRule>
    <cfRule type="containsText" priority="13" operator="containsText" dxfId="4" text="Major">
      <formula>NOT(ISERROR(SEARCH("Major",H5)))</formula>
    </cfRule>
    <cfRule type="containsText" priority="14" operator="containsText" dxfId="3" text="Minor">
      <formula>NOT(ISERROR(SEARCH("Minor",H5)))</formula>
    </cfRule>
  </conditionalFormatting>
  <conditionalFormatting sqref="I5:I23">
    <cfRule type="containsText" priority="15" operator="containsText" dxfId="18" text="Auto+Manual">
      <formula>NOT(ISERROR(SEARCH("Auto+Manual",I5)))</formula>
    </cfRule>
    <cfRule type="containsText" priority="16" operator="containsText" dxfId="18" text="Hybrid">
      <formula>NOT(ISERROR(SEARCH("Hybrid",I5)))</formula>
    </cfRule>
    <cfRule type="containsText" priority="17" operator="containsText" dxfId="17"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9"/>
  <sheetViews>
    <sheetView workbookViewId="0">
      <pane ySplit="4" topLeftCell="A5" activePane="bottomLeft" state="frozen"/>
      <selection pane="bottomLeft" activeCell="H24" sqref="H24"/>
    </sheetView>
  </sheetViews>
  <sheetFormatPr baseColWidth="8" defaultRowHeight="14.5"/>
  <cols>
    <col width="10" customWidth="1" min="1" max="1"/>
    <col width="19.08984375" customWidth="1" min="2" max="2"/>
    <col width="9.08984375" customWidth="1" min="3" max="3"/>
    <col width="43.6328125" customWidth="1" min="4" max="4"/>
    <col width="50.90625" customWidth="1" min="5" max="5"/>
    <col width="40" customWidth="1" min="6" max="6"/>
    <col width="14.54296875" customWidth="1" min="7" max="7"/>
    <col width="16.36328125" customWidth="1" min="8" max="8"/>
    <col width="14.54296875" customWidth="1" min="9" max="9"/>
    <col width="32.7265625" customWidth="1" min="10" max="10"/>
    <col width="16" customWidth="1" min="11" max="11"/>
    <col width="24" customWidth="1" min="12" max="12"/>
    <col width="32" customWidth="1" min="13" max="13"/>
    <col width="14" customWidth="1" min="14" max="14"/>
    <col width="14" customWidth="1" min="15" max="15"/>
    <col width="18" customWidth="1" min="16" max="16"/>
    <col width="16" customWidth="1" min="17" max="17"/>
    <col width="12" customWidth="1" min="18" max="18"/>
  </cols>
  <sheetData>
    <row r="1" ht="28" customHeight="1">
      <c r="A1" s="9" t="inlineStr">
        <is>
          <t>G. Privacy and legal</t>
        </is>
      </c>
    </row>
    <row r="2" ht="36" customHeight="1">
      <c r="A2" s="10" t="inlineStr">
        <is>
          <t>Perspectives: Privacy/GDPR/DPDP, cookie-consent, COPPA, license-compliance, trademark, advertising-claims (perspectives 40-45)</t>
        </is>
      </c>
    </row>
    <row r="4" ht="24" customHeight="1">
      <c r="A4" s="12" t="inlineStr">
        <is>
          <t>ID</t>
        </is>
      </c>
      <c r="B4" s="12" t="inlineStr">
        <is>
          <t>Sub-category</t>
        </is>
      </c>
      <c r="C4" s="12" t="inlineStr">
        <is>
          <t>Persp #</t>
        </is>
      </c>
      <c r="D4" s="12" t="inlineStr">
        <is>
          <t>Scenario</t>
        </is>
      </c>
      <c r="E4" s="12" t="inlineStr">
        <is>
          <t>Test steps</t>
        </is>
      </c>
      <c r="F4" s="12" t="inlineStr">
        <is>
          <t>Expected result</t>
        </is>
      </c>
      <c r="G4" s="12" t="inlineStr">
        <is>
          <t>Priority</t>
        </is>
      </c>
      <c r="H4" s="12" t="inlineStr">
        <is>
          <t>Severity if fails</t>
        </is>
      </c>
      <c r="I4" s="12" t="inlineStr">
        <is>
          <t>Test type</t>
        </is>
      </c>
      <c r="J4" s="12" t="inlineStr">
        <is>
          <t>Notes</t>
        </is>
      </c>
      <c r="K4" s="25" t="inlineStr">
        <is>
          <t>Estimated effort</t>
        </is>
      </c>
      <c r="L4" s="25" t="inlineStr">
        <is>
          <t>Owner / role</t>
        </is>
      </c>
      <c r="M4" s="25" t="inlineStr">
        <is>
          <t>Tools / scripts required</t>
        </is>
      </c>
      <c r="N4" s="25" t="inlineStr">
        <is>
          <t>Last run date</t>
        </is>
      </c>
      <c r="O4" s="25" t="inlineStr">
        <is>
          <t>Last run result</t>
        </is>
      </c>
      <c r="P4" s="25" t="inlineStr">
        <is>
          <t>Tracker link</t>
        </is>
      </c>
      <c r="Q4" s="25" t="inlineStr">
        <is>
          <t>Depends on</t>
        </is>
      </c>
      <c r="R4" s="25" t="inlineStr">
        <is>
          <t>Coverage %</t>
        </is>
      </c>
    </row>
    <row r="5" ht="32" customHeight="1">
      <c r="A5" s="7" t="inlineStr">
        <is>
          <t>G-001</t>
        </is>
      </c>
      <c r="B5" s="5" t="inlineStr">
        <is>
          <t>Privacy</t>
        </is>
      </c>
      <c r="C5" s="6" t="inlineStr">
        <is>
          <t>40</t>
        </is>
      </c>
      <c r="D5" s="5" t="inlineStr">
        <is>
          <t>Telemetry / analytics actually-zero verification</t>
        </is>
      </c>
      <c r="E5" s="5" t="inlineStr">
        <is>
          <t>1. Open app, monitor network tab
2. Verify no analytics POSTs (Google Analytics, Mixpanel, etc.)</t>
        </is>
      </c>
      <c r="F5" s="5" t="inlineStr">
        <is>
          <t>0 outbound analytics traffic</t>
        </is>
      </c>
      <c r="G5" s="6" t="inlineStr">
        <is>
          <t>P3</t>
        </is>
      </c>
      <c r="H5" s="6" t="inlineStr">
        <is>
          <t>Major</t>
        </is>
      </c>
      <c r="I5" s="6" t="inlineStr">
        <is>
          <t>Manual</t>
        </is>
      </c>
      <c r="J5" s="5" t="inlineStr">
        <is>
          <t>Project claims no tracking; verify</t>
        </is>
      </c>
      <c r="L5" t="inlineStr">
        <is>
          <t>Privacy / legal counsel</t>
        </is>
      </c>
      <c r="O5" t="inlineStr">
        <is>
          <t>Not Yet Run</t>
        </is>
      </c>
      <c r="R5" t="inlineStr">
        <is>
          <t>0%</t>
        </is>
      </c>
    </row>
    <row r="6" ht="30" customHeight="1">
      <c r="A6" s="7" t="inlineStr">
        <is>
          <t>G-002</t>
        </is>
      </c>
      <c r="B6" s="5" t="inlineStr">
        <is>
          <t>Privacy</t>
        </is>
      </c>
      <c r="C6" s="6" t="inlineStr">
        <is>
          <t>40</t>
        </is>
      </c>
      <c r="D6" s="5" t="inlineStr">
        <is>
          <t>localStorage content audit (no PII)</t>
        </is>
      </c>
      <c r="E6" s="5" t="inlineStr">
        <is>
          <t>1. Inspect localStorage after typical use
2. Verify only progress + preferences; no PII</t>
        </is>
      </c>
      <c r="F6" s="5" t="inlineStr">
        <is>
          <t>0 PII in localStorage</t>
        </is>
      </c>
      <c r="G6" s="6" t="inlineStr">
        <is>
          <t>P3</t>
        </is>
      </c>
      <c r="H6" s="6" t="inlineStr">
        <is>
          <t>Major</t>
        </is>
      </c>
      <c r="I6" s="6" t="inlineStr">
        <is>
          <t>Auto</t>
        </is>
      </c>
      <c r="J6" s="5" t="inlineStr">
        <is>
          <t>No automated check today — manual only.</t>
        </is>
      </c>
      <c r="L6" t="inlineStr">
        <is>
          <t>Privacy / legal counsel</t>
        </is>
      </c>
      <c r="M6" t="inlineStr">
        <is>
          <t>Custom Python (localStorage namespace scan + PII regex sweep)</t>
        </is>
      </c>
      <c r="O6" t="inlineStr">
        <is>
          <t>Not Yet Run</t>
        </is>
      </c>
      <c r="R6" t="inlineStr">
        <is>
          <t>0%</t>
        </is>
      </c>
    </row>
    <row r="7" ht="30" customHeight="1">
      <c r="A7" s="7" t="inlineStr">
        <is>
          <t>G-003</t>
        </is>
      </c>
      <c r="B7" s="5" t="inlineStr">
        <is>
          <t>Privacy</t>
        </is>
      </c>
      <c r="C7" s="6" t="inlineStr">
        <is>
          <t>40</t>
        </is>
      </c>
      <c r="D7" s="5" t="inlineStr">
        <is>
          <t>Cookie use audit</t>
        </is>
      </c>
      <c r="E7" s="5" t="inlineStr">
        <is>
          <t>1. Inspect cookies after app use
2. Verify essential-only (or zero)</t>
        </is>
      </c>
      <c r="F7" s="5" t="inlineStr">
        <is>
          <t>Essential cookies only</t>
        </is>
      </c>
      <c r="G7" s="6" t="inlineStr">
        <is>
          <t>P4</t>
        </is>
      </c>
      <c r="H7" s="6" t="inlineStr">
        <is>
          <t>Minor</t>
        </is>
      </c>
      <c r="I7" s="6" t="inlineStr">
        <is>
          <t>Manual</t>
        </is>
      </c>
      <c r="J7" s="5" t="inlineStr">
        <is>
          <t>No automated check today — manual only.</t>
        </is>
      </c>
      <c r="L7" t="inlineStr">
        <is>
          <t>Privacy / legal counsel</t>
        </is>
      </c>
      <c r="O7" t="inlineStr">
        <is>
          <t>Not Yet Run</t>
        </is>
      </c>
      <c r="R7" t="inlineStr">
        <is>
          <t>0%</t>
        </is>
      </c>
    </row>
    <row r="8" ht="30" customHeight="1">
      <c r="A8" s="7" t="inlineStr">
        <is>
          <t>G-004</t>
        </is>
      </c>
      <c r="B8" s="5" t="inlineStr">
        <is>
          <t>Privacy</t>
        </is>
      </c>
      <c r="C8" s="6" t="inlineStr">
        <is>
          <t>40</t>
        </is>
      </c>
      <c r="D8" s="5" t="inlineStr">
        <is>
          <t>GDPR Article 13 disclosures (if EU users)</t>
        </is>
      </c>
      <c r="E8" s="5" t="inlineStr">
        <is>
          <t>1. Verify privacy policy exists
2. Check it covers GDPR points if applicable</t>
        </is>
      </c>
      <c r="F8" s="5" t="inlineStr">
        <is>
          <t>Privacy policy present</t>
        </is>
      </c>
      <c r="G8" s="6" t="inlineStr">
        <is>
          <t>P3</t>
        </is>
      </c>
      <c r="H8" s="6" t="inlineStr">
        <is>
          <t>Major</t>
        </is>
      </c>
      <c r="I8" s="6" t="inlineStr">
        <is>
          <t>Manual</t>
        </is>
      </c>
      <c r="J8" s="5" t="inlineStr">
        <is>
          <t>No automated check today — manual only.</t>
        </is>
      </c>
      <c r="L8" t="inlineStr">
        <is>
          <t>Privacy / legal counsel</t>
        </is>
      </c>
      <c r="O8" t="inlineStr">
        <is>
          <t>Not Yet Run</t>
        </is>
      </c>
      <c r="R8" t="inlineStr">
        <is>
          <t>0%</t>
        </is>
      </c>
    </row>
    <row r="9" ht="36" customHeight="1">
      <c r="A9" s="7" t="inlineStr">
        <is>
          <t>G-005</t>
        </is>
      </c>
      <c r="B9" s="5" t="inlineStr">
        <is>
          <t>Privacy</t>
        </is>
      </c>
      <c r="C9" s="6" t="inlineStr">
        <is>
          <t>40</t>
        </is>
      </c>
      <c r="D9" s="5" t="inlineStr">
        <is>
          <t>DPDP Act (India) compliance</t>
        </is>
      </c>
      <c r="E9" s="5" t="inlineStr">
        <is>
          <t>1. Verify Hindi/English privacy disclosure for Indian users
2. Check data-fiduciary registration if required</t>
        </is>
      </c>
      <c r="F9" s="5" t="inlineStr">
        <is>
          <t>DPDP applicable + compliant</t>
        </is>
      </c>
      <c r="G9" s="6" t="inlineStr">
        <is>
          <t>P3</t>
        </is>
      </c>
      <c r="H9" s="6" t="inlineStr">
        <is>
          <t>Major</t>
        </is>
      </c>
      <c r="I9" s="6" t="inlineStr">
        <is>
          <t>Manual</t>
        </is>
      </c>
      <c r="J9" s="5" t="inlineStr">
        <is>
          <t>India-specific</t>
        </is>
      </c>
      <c r="L9" t="inlineStr">
        <is>
          <t>Privacy / legal counsel</t>
        </is>
      </c>
      <c r="O9" t="inlineStr">
        <is>
          <t>Not Yet Run</t>
        </is>
      </c>
      <c r="R9" t="inlineStr">
        <is>
          <t>0%</t>
        </is>
      </c>
    </row>
    <row r="10" ht="32" customHeight="1">
      <c r="A10" s="7" t="inlineStr">
        <is>
          <t>G-006</t>
        </is>
      </c>
      <c r="B10" s="5" t="inlineStr">
        <is>
          <t>Cookies / consent</t>
        </is>
      </c>
      <c r="C10" s="6" t="inlineStr">
        <is>
          <t>41</t>
        </is>
      </c>
      <c r="D10" s="5" t="inlineStr">
        <is>
          <t>Cookie-consent banner if any third-party scripts load</t>
        </is>
      </c>
      <c r="E10" s="5" t="inlineStr">
        <is>
          <t>1. If Google Fonts / CDN / analytics loads, verify consent flow
2. If zero third-party, document</t>
        </is>
      </c>
      <c r="F10" s="5" t="inlineStr">
        <is>
          <t>Consent OR zero-third-party documented</t>
        </is>
      </c>
      <c r="G10" s="6" t="inlineStr">
        <is>
          <t>P5</t>
        </is>
      </c>
      <c r="H10" s="6" t="inlineStr">
        <is>
          <t>Minor</t>
        </is>
      </c>
      <c r="I10" s="6" t="inlineStr">
        <is>
          <t>Manual</t>
        </is>
      </c>
      <c r="J10" s="5" t="inlineStr">
        <is>
          <t>No automated check today — manual only.</t>
        </is>
      </c>
      <c r="L10" t="inlineStr">
        <is>
          <t>Privacy / legal counsel</t>
        </is>
      </c>
      <c r="O10" t="inlineStr">
        <is>
          <t>Not Yet Run</t>
        </is>
      </c>
      <c r="R10" t="inlineStr">
        <is>
          <t>0%</t>
        </is>
      </c>
    </row>
    <row r="11" ht="30" customHeight="1">
      <c r="A11" s="7" t="inlineStr">
        <is>
          <t>G-007</t>
        </is>
      </c>
      <c r="B11" s="5" t="inlineStr">
        <is>
          <t>COPPA</t>
        </is>
      </c>
      <c r="C11" s="6" t="inlineStr">
        <is>
          <t>42</t>
        </is>
      </c>
      <c r="D11" s="5" t="inlineStr">
        <is>
          <t>Minor-user (&lt;13) data-collection check</t>
        </is>
      </c>
      <c r="E11" s="5" t="inlineStr">
        <is>
          <t>1. If app has account system, verify age gate
2. If no accounts, document COPPA-out-of-scope</t>
        </is>
      </c>
      <c r="F11" s="5" t="inlineStr">
        <is>
          <t>Compliant per audience age</t>
        </is>
      </c>
      <c r="G11" s="6" t="inlineStr">
        <is>
          <t>P5</t>
        </is>
      </c>
      <c r="H11" s="6" t="inlineStr">
        <is>
          <t>Minor</t>
        </is>
      </c>
      <c r="I11" s="6" t="inlineStr">
        <is>
          <t>Manual</t>
        </is>
      </c>
      <c r="J11" s="5" t="inlineStr">
        <is>
          <t>No automated check today — manual only.</t>
        </is>
      </c>
      <c r="L11" t="inlineStr">
        <is>
          <t>Privacy / legal counsel</t>
        </is>
      </c>
      <c r="O11" t="inlineStr">
        <is>
          <t>Not Yet Run</t>
        </is>
      </c>
      <c r="R11" t="inlineStr">
        <is>
          <t>0%</t>
        </is>
      </c>
    </row>
    <row r="12" ht="30" customHeight="1">
      <c r="A12" s="7" t="inlineStr">
        <is>
          <t>G-008</t>
        </is>
      </c>
      <c r="B12" s="5" t="inlineStr">
        <is>
          <t>License compliance</t>
        </is>
      </c>
      <c r="C12" s="6" t="inlineStr">
        <is>
          <t>43</t>
        </is>
      </c>
      <c r="D12" s="5" t="inlineStr">
        <is>
          <t>kanjium CC-BY-SA 4.0 attribution surface visibility</t>
        </is>
      </c>
      <c r="E12" s="5" t="inlineStr">
        <is>
          <t>1. Open app
2. Find pitch-accent data attribution
3. Verify visible per CC-BY-SA terms</t>
        </is>
      </c>
      <c r="F12" s="5" t="inlineStr">
        <is>
          <t>Attribution clearly visible</t>
        </is>
      </c>
      <c r="G12" s="6" t="inlineStr">
        <is>
          <t>P3</t>
        </is>
      </c>
      <c r="H12" s="6" t="inlineStr">
        <is>
          <t>Major</t>
        </is>
      </c>
      <c r="I12" s="6" t="inlineStr">
        <is>
          <t>Manual</t>
        </is>
      </c>
      <c r="J12" s="5" t="inlineStr">
        <is>
          <t>Currently in data/_meta; UI exposure?</t>
        </is>
      </c>
      <c r="L12" t="inlineStr">
        <is>
          <t>Privacy / legal counsel</t>
        </is>
      </c>
      <c r="O12" t="inlineStr">
        <is>
          <t>Not Yet Run</t>
        </is>
      </c>
      <c r="R12" t="inlineStr">
        <is>
          <t>0%</t>
        </is>
      </c>
    </row>
    <row r="13" ht="33" customHeight="1">
      <c r="A13" s="7" t="inlineStr">
        <is>
          <t>G-009</t>
        </is>
      </c>
      <c r="B13" s="5" t="inlineStr">
        <is>
          <t>License compliance</t>
        </is>
      </c>
      <c r="C13" s="6" t="inlineStr">
        <is>
          <t>43</t>
        </is>
      </c>
      <c r="D13" s="5" t="inlineStr">
        <is>
          <t>Audio-source licensing (VOICEVOX, speaker voice)</t>
        </is>
      </c>
      <c r="E13" s="5" t="inlineStr">
        <is>
          <t>1. Verify VOICEVOX usage complies with its license
2. Verify Tsumugi (speaker 8) voice usage rights</t>
        </is>
      </c>
      <c r="F13" s="5" t="inlineStr">
        <is>
          <t>VOICEVOX + voice licensing compliant</t>
        </is>
      </c>
      <c r="G13" s="6" t="inlineStr">
        <is>
          <t>P3</t>
        </is>
      </c>
      <c r="H13" s="6" t="inlineStr">
        <is>
          <t>Major</t>
        </is>
      </c>
      <c r="I13" s="6" t="inlineStr">
        <is>
          <t>Manual</t>
        </is>
      </c>
      <c r="J13" s="5" t="inlineStr">
        <is>
          <t>No automated check today — manual only.</t>
        </is>
      </c>
      <c r="L13" t="inlineStr">
        <is>
          <t>Privacy / legal counsel</t>
        </is>
      </c>
      <c r="O13" t="inlineStr">
        <is>
          <t>Not Yet Run</t>
        </is>
      </c>
      <c r="R13" t="inlineStr">
        <is>
          <t>0%</t>
        </is>
      </c>
    </row>
    <row r="14" ht="37" customHeight="1">
      <c r="A14" s="7" t="inlineStr">
        <is>
          <t>G-010</t>
        </is>
      </c>
      <c r="B14" s="5" t="inlineStr">
        <is>
          <t>License compliance</t>
        </is>
      </c>
      <c r="C14" s="6" t="inlineStr">
        <is>
          <t>43</t>
        </is>
      </c>
      <c r="D14" s="5" t="inlineStr">
        <is>
          <t>Open-source LICENSE file accurate to repo content</t>
        </is>
      </c>
      <c r="E14" s="5" t="inlineStr">
        <is>
          <t>1. Verify LICENSE file matches actual license intent
2. Verify content-license is distinguished from code-license</t>
        </is>
      </c>
      <c r="F14" s="5" t="inlineStr">
        <is>
          <t>LICENSE accurate; CONTENT-LICENSE.md handles content</t>
        </is>
      </c>
      <c r="G14" s="6" t="inlineStr">
        <is>
          <t>P3</t>
        </is>
      </c>
      <c r="H14" s="6" t="inlineStr">
        <is>
          <t>Major</t>
        </is>
      </c>
      <c r="I14" s="6" t="inlineStr">
        <is>
          <t>Manual</t>
        </is>
      </c>
      <c r="J14" s="5" t="inlineStr">
        <is>
          <t>CONTENT-LICENSE.md mentioned in N5Improvement.txt</t>
        </is>
      </c>
      <c r="L14" t="inlineStr">
        <is>
          <t>Privacy / legal counsel</t>
        </is>
      </c>
      <c r="O14" t="inlineStr">
        <is>
          <t>Not Yet Run</t>
        </is>
      </c>
      <c r="R14" t="inlineStr">
        <is>
          <t>0%</t>
        </is>
      </c>
    </row>
    <row r="15" ht="30" customHeight="1">
      <c r="A15" s="7" t="inlineStr">
        <is>
          <t>G-011</t>
        </is>
      </c>
      <c r="B15" s="5" t="inlineStr">
        <is>
          <t>License compliance</t>
        </is>
      </c>
      <c r="C15" s="6" t="inlineStr">
        <is>
          <t>43</t>
        </is>
      </c>
      <c r="D15" s="5" t="inlineStr">
        <is>
          <t>Transitive npm-license compatibility</t>
        </is>
      </c>
      <c r="E15" s="5" t="inlineStr">
        <is>
          <t>1. license-checker scan
2. Verify no GPL / AGPL contamination if project is MIT/Apache</t>
        </is>
      </c>
      <c r="F15" s="5" t="inlineStr">
        <is>
          <t>License-clean</t>
        </is>
      </c>
      <c r="G15" s="6" t="inlineStr">
        <is>
          <t>P3</t>
        </is>
      </c>
      <c r="H15" s="6" t="inlineStr">
        <is>
          <t>Major</t>
        </is>
      </c>
      <c r="I15" s="6" t="inlineStr">
        <is>
          <t>Auto</t>
        </is>
      </c>
      <c r="J15" s="5" t="inlineStr">
        <is>
          <t>[BUG-030 cross-ref] DUPLICATE of F-011 (transitive-dependency license-compliance). Canonical home: F tab.</t>
        </is>
      </c>
      <c r="L15" t="inlineStr">
        <is>
          <t>Privacy / legal counsel</t>
        </is>
      </c>
      <c r="O15" t="inlineStr">
        <is>
          <t>Not Yet Run</t>
        </is>
      </c>
      <c r="R15" t="inlineStr">
        <is>
          <t>0%</t>
        </is>
      </c>
    </row>
    <row r="16" ht="44" customHeight="1">
      <c r="A16" s="7" t="inlineStr">
        <is>
          <t>G-012</t>
        </is>
      </c>
      <c r="B16" s="5" t="inlineStr">
        <is>
          <t>Brand / trademark</t>
        </is>
      </c>
      <c r="C16" s="6" t="inlineStr">
        <is>
          <t>44</t>
        </is>
      </c>
      <c r="D16" s="5" t="inlineStr">
        <is>
          <t>'JLPT' trademark usage compliance</t>
        </is>
      </c>
      <c r="E16" s="5" t="inlineStr">
        <is>
          <t>1. Verify any 'JLPT' references include 'JLPT is a registered trademark of...' disclaimer
2. Verify app doesn't imply JEES affiliation</t>
        </is>
      </c>
      <c r="F16" s="5" t="inlineStr">
        <is>
          <t>Trademark disclaimer present + no affiliation implied</t>
        </is>
      </c>
      <c r="G16" s="6" t="inlineStr">
        <is>
          <t>P5</t>
        </is>
      </c>
      <c r="H16" s="6" t="inlineStr">
        <is>
          <t>Minor</t>
        </is>
      </c>
      <c r="I16" s="6" t="inlineStr">
        <is>
          <t>Manual</t>
        </is>
      </c>
      <c r="J16" s="5" t="inlineStr">
        <is>
          <t>No automated check today — manual only.</t>
        </is>
      </c>
      <c r="L16" t="inlineStr">
        <is>
          <t>Privacy / legal counsel</t>
        </is>
      </c>
      <c r="O16" t="inlineStr">
        <is>
          <t>Not Yet Run</t>
        </is>
      </c>
      <c r="R16" t="inlineStr">
        <is>
          <t>0%</t>
        </is>
      </c>
    </row>
    <row r="17" ht="30" customHeight="1">
      <c r="A17" s="7" t="inlineStr">
        <is>
          <t>G-013</t>
        </is>
      </c>
      <c r="B17" s="5" t="inlineStr">
        <is>
          <t>Brand / trademark</t>
        </is>
      </c>
      <c r="C17" s="6" t="inlineStr">
        <is>
          <t>44</t>
        </is>
      </c>
      <c r="D17" s="5" t="inlineStr">
        <is>
          <t>App-name trademark search (JLPT N5 Tutor / JLPTSuccess)</t>
        </is>
      </c>
      <c r="E17" s="5" t="inlineStr">
        <is>
          <t>1. Trademark search in India + Japan + US
2. Verify no conflict</t>
        </is>
      </c>
      <c r="F17" s="5" t="inlineStr">
        <is>
          <t>No trademark conflict</t>
        </is>
      </c>
      <c r="G17" s="6" t="inlineStr">
        <is>
          <t>P5</t>
        </is>
      </c>
      <c r="H17" s="6" t="inlineStr">
        <is>
          <t>Minor</t>
        </is>
      </c>
      <c r="I17" s="6" t="inlineStr">
        <is>
          <t>Manual</t>
        </is>
      </c>
      <c r="J17" s="5" t="inlineStr">
        <is>
          <t>No automated check today — manual only.</t>
        </is>
      </c>
      <c r="L17" t="inlineStr">
        <is>
          <t>Privacy / legal counsel</t>
        </is>
      </c>
      <c r="O17" t="inlineStr">
        <is>
          <t>Not Yet Run</t>
        </is>
      </c>
      <c r="R17" t="inlineStr">
        <is>
          <t>0%</t>
        </is>
      </c>
    </row>
    <row r="18" ht="30" customHeight="1">
      <c r="A18" s="7" t="inlineStr">
        <is>
          <t>G-014</t>
        </is>
      </c>
      <c r="B18" s="5" t="inlineStr">
        <is>
          <t>Advertising / claims</t>
        </is>
      </c>
      <c r="C18" s="6" t="inlineStr">
        <is>
          <t>45</t>
        </is>
      </c>
      <c r="D18" s="5" t="inlineStr">
        <is>
          <t>Claim accuracy: 'free, complete, local-audio, no-tracking'</t>
        </is>
      </c>
      <c r="E18" s="5" t="inlineStr">
        <is>
          <t>1. Verify each claim against actual app state
2. Flag any false claim</t>
        </is>
      </c>
      <c r="F18" s="5" t="inlineStr">
        <is>
          <t>All claims accurate</t>
        </is>
      </c>
      <c r="G18" s="6" t="inlineStr">
        <is>
          <t>P3</t>
        </is>
      </c>
      <c r="H18" s="6" t="inlineStr">
        <is>
          <t>Major</t>
        </is>
      </c>
      <c r="I18" s="6" t="inlineStr">
        <is>
          <t>Manual</t>
        </is>
      </c>
      <c r="J18" s="5" t="inlineStr">
        <is>
          <t>From N5Improvement.txt strategic framing</t>
        </is>
      </c>
      <c r="L18" t="inlineStr">
        <is>
          <t>Privacy / legal counsel</t>
        </is>
      </c>
      <c r="O18" t="inlineStr">
        <is>
          <t>Not Yet Run</t>
        </is>
      </c>
      <c r="R18" t="inlineStr">
        <is>
          <t>0%</t>
        </is>
      </c>
    </row>
    <row r="19" ht="30" customHeight="1">
      <c r="A19" s="7" t="inlineStr">
        <is>
          <t>G-015</t>
        </is>
      </c>
      <c r="B19" s="5" t="inlineStr">
        <is>
          <t>Advertising / claims</t>
        </is>
      </c>
      <c r="C19" s="6" t="inlineStr">
        <is>
          <t>45</t>
        </is>
      </c>
      <c r="D19" s="5" t="inlineStr">
        <is>
          <t>'Pass the JLPT N5' or similar outcome claim</t>
        </is>
      </c>
      <c r="E19" s="5" t="inlineStr">
        <is>
          <t>1. Search marketing copy for outcome claims
2. Verify backed by data OR softened</t>
        </is>
      </c>
      <c r="F19" s="5" t="inlineStr">
        <is>
          <t>Outcome claims backed or removed</t>
        </is>
      </c>
      <c r="G19" s="6" t="inlineStr">
        <is>
          <t>P5</t>
        </is>
      </c>
      <c r="H19" s="6" t="inlineStr">
        <is>
          <t>Minor</t>
        </is>
      </c>
      <c r="I19" s="6" t="inlineStr">
        <is>
          <t>Manual</t>
        </is>
      </c>
      <c r="J19" s="5" t="inlineStr">
        <is>
          <t>No automated check today — manual only.</t>
        </is>
      </c>
      <c r="L19" t="inlineStr">
        <is>
          <t>Privacy / legal counsel</t>
        </is>
      </c>
      <c r="O19" t="inlineStr">
        <is>
          <t>Not Yet Run</t>
        </is>
      </c>
      <c r="R19"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17" text="Medium-High">
      <formula>NOT(ISERROR(SEARCH("Medium-High",G5)))</formula>
    </cfRule>
    <cfRule type="containsText" priority="3" operator="containsText" dxfId="31" text="Low-Medium">
      <formula>NOT(ISERROR(SEARCH("Low-Medium",G5)))</formula>
    </cfRule>
    <cfRule type="containsText" priority="4" operator="containsText" dxfId="4" text="High">
      <formula>NOT(ISERROR(SEARCH("High",G5)))</formula>
    </cfRule>
    <cfRule type="containsText" priority="5" operator="containsText" dxfId="3" text="Medium">
      <formula>NOT(ISERROR(SEARCH("Medium",G5)))</formula>
    </cfRule>
    <cfRule type="containsText" priority="6" operator="containsText" dxfId="2" text="Low">
      <formula>NOT(ISERROR(SEARCH("Low",G5)))</formula>
    </cfRule>
    <cfRule type="containsText" priority="7" operator="containsText" dxfId="5" text="P1">
      <formula>NOT(ISERROR(SEARCH("P1",G5)))</formula>
    </cfRule>
    <cfRule type="containsText" priority="8" operator="containsText" dxfId="4" text="P2">
      <formula>NOT(ISERROR(SEARCH("P2",G5)))</formula>
    </cfRule>
    <cfRule type="containsText" priority="9" operator="containsText" dxfId="3" text="P3">
      <formula>NOT(ISERROR(SEARCH("P3",G5)))</formula>
    </cfRule>
    <cfRule type="containsText" priority="10" operator="containsText" dxfId="2" text="P4">
      <formula>NOT(ISERROR(SEARCH("P4",G5)))</formula>
    </cfRule>
    <cfRule type="containsText" priority="11" operator="containsText" dxfId="1" text="P5">
      <formula>NOT(ISERROR(SEARCH("P5",G5)))</formula>
    </cfRule>
  </conditionalFormatting>
  <conditionalFormatting sqref="H5:H19">
    <cfRule type="containsText" priority="12" operator="containsText" dxfId="5" text="Critical">
      <formula>NOT(ISERROR(SEARCH("Critical",H5)))</formula>
    </cfRule>
    <cfRule type="containsText" priority="13" operator="containsText" dxfId="4" text="Major">
      <formula>NOT(ISERROR(SEARCH("Major",H5)))</formula>
    </cfRule>
    <cfRule type="containsText" priority="14" operator="containsText" dxfId="3" text="Minor">
      <formula>NOT(ISERROR(SEARCH("Minor",H5)))</formula>
    </cfRule>
  </conditionalFormatting>
  <conditionalFormatting sqref="I5:I19">
    <cfRule type="containsText" priority="15" operator="containsText" dxfId="18" text="Auto+Manual">
      <formula>NOT(ISERROR(SEARCH("Auto+Manual",I5)))</formula>
    </cfRule>
    <cfRule type="containsText" priority="16" operator="containsText" dxfId="18" text="Hybrid">
      <formula>NOT(ISERROR(SEARCH("Hybrid",I5)))</formula>
    </cfRule>
    <cfRule type="containsText" priority="17" operator="containsText" dxfId="17"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min="1" max="1"/>
    <col width="19.08984375" customWidth="1" min="2" max="2"/>
    <col width="9.08984375" customWidth="1" min="3" max="3"/>
    <col width="43.6328125" customWidth="1" min="4" max="4"/>
    <col width="50.90625" customWidth="1" min="5" max="5"/>
    <col width="40" customWidth="1" min="6" max="6"/>
    <col width="14.54296875" customWidth="1" min="7" max="7"/>
    <col width="16.36328125" customWidth="1" min="8" max="8"/>
    <col width="14.54296875" customWidth="1" min="9" max="9"/>
    <col width="32.7265625" customWidth="1" min="10" max="10"/>
    <col width="16" customWidth="1" min="11" max="11"/>
    <col width="24" customWidth="1" min="12" max="12"/>
    <col width="32" customWidth="1" min="13" max="13"/>
    <col width="14" customWidth="1" min="14" max="14"/>
    <col width="14" customWidth="1" min="15" max="15"/>
    <col width="18" customWidth="1" min="16" max="16"/>
    <col width="16" customWidth="1" min="17" max="17"/>
    <col width="12" customWidth="1" min="18" max="18"/>
  </cols>
  <sheetData>
    <row r="1" ht="28" customHeight="1">
      <c r="A1" s="9" t="inlineStr">
        <is>
          <t>H. Performance</t>
        </is>
      </c>
    </row>
    <row r="2" ht="36" customHeight="1">
      <c r="A2" s="10" t="inlineStr">
        <is>
          <t>Perspectives: Web-performance, audio-cache, PWA, cross-browser, mobile-responsive, font-rendering, i18n, SEO (perspectives 46-53)</t>
        </is>
      </c>
    </row>
    <row r="4" ht="24" customHeight="1">
      <c r="A4" s="12" t="inlineStr">
        <is>
          <t>ID</t>
        </is>
      </c>
      <c r="B4" s="12" t="inlineStr">
        <is>
          <t>Sub-category</t>
        </is>
      </c>
      <c r="C4" s="12" t="inlineStr">
        <is>
          <t>Persp #</t>
        </is>
      </c>
      <c r="D4" s="12" t="inlineStr">
        <is>
          <t>Scenario</t>
        </is>
      </c>
      <c r="E4" s="12" t="inlineStr">
        <is>
          <t>Test steps</t>
        </is>
      </c>
      <c r="F4" s="12" t="inlineStr">
        <is>
          <t>Expected result</t>
        </is>
      </c>
      <c r="G4" s="12" t="inlineStr">
        <is>
          <t>Priority</t>
        </is>
      </c>
      <c r="H4" s="12" t="inlineStr">
        <is>
          <t>Severity if fails</t>
        </is>
      </c>
      <c r="I4" s="12" t="inlineStr">
        <is>
          <t>Test type</t>
        </is>
      </c>
      <c r="J4" s="12" t="inlineStr">
        <is>
          <t>Notes</t>
        </is>
      </c>
      <c r="K4" s="25" t="inlineStr">
        <is>
          <t>Estimated effort</t>
        </is>
      </c>
      <c r="L4" s="25" t="inlineStr">
        <is>
          <t>Owner / role</t>
        </is>
      </c>
      <c r="M4" s="25" t="inlineStr">
        <is>
          <t>Tools / scripts required</t>
        </is>
      </c>
      <c r="N4" s="25" t="inlineStr">
        <is>
          <t>Last run date</t>
        </is>
      </c>
      <c r="O4" s="25" t="inlineStr">
        <is>
          <t>Last run result</t>
        </is>
      </c>
      <c r="P4" s="25" t="inlineStr">
        <is>
          <t>Tracker link</t>
        </is>
      </c>
      <c r="Q4" s="25" t="inlineStr">
        <is>
          <t>Depends on</t>
        </is>
      </c>
      <c r="R4" s="25" t="inlineStr">
        <is>
          <t>Coverage %</t>
        </is>
      </c>
    </row>
    <row r="5" ht="30" customHeight="1">
      <c r="A5" s="7" t="inlineStr">
        <is>
          <t>H-001</t>
        </is>
      </c>
      <c r="B5" s="5" t="inlineStr">
        <is>
          <t>Core Web Vitals</t>
        </is>
      </c>
      <c r="C5" s="6" t="inlineStr">
        <is>
          <t>46</t>
        </is>
      </c>
      <c r="D5" s="5" t="inlineStr">
        <is>
          <t>LCP (Largest Contentful Paint) &lt; 2.5s on 3G</t>
        </is>
      </c>
      <c r="E5" s="5" t="inlineStr">
        <is>
          <t>1. Throttle to slow 3G
2. Load homepage
3. Measure LCP</t>
        </is>
      </c>
      <c r="F5" s="5" t="inlineStr">
        <is>
          <t>LCP &lt; 2.5s</t>
        </is>
      </c>
      <c r="G5" s="6" t="inlineStr">
        <is>
          <t>P3</t>
        </is>
      </c>
      <c r="H5" s="6" t="inlineStr">
        <is>
          <t>Major</t>
        </is>
      </c>
      <c r="I5" s="6" t="inlineStr">
        <is>
          <t>Auto</t>
        </is>
      </c>
      <c r="J5" s="5" t="inlineStr">
        <is>
          <t>Lighthouse</t>
        </is>
      </c>
      <c r="L5" t="inlineStr">
        <is>
          <t>Web-performance engineer</t>
        </is>
      </c>
      <c r="O5" t="inlineStr">
        <is>
          <t>Not Yet Run</t>
        </is>
      </c>
      <c r="R5" t="inlineStr">
        <is>
          <t>0%</t>
        </is>
      </c>
    </row>
    <row r="6" ht="30" customHeight="1">
      <c r="A6" s="7" t="inlineStr">
        <is>
          <t>H-002</t>
        </is>
      </c>
      <c r="B6" s="5" t="inlineStr">
        <is>
          <t>Core Web Vitals</t>
        </is>
      </c>
      <c r="C6" s="6" t="inlineStr">
        <is>
          <t>46</t>
        </is>
      </c>
      <c r="D6" s="5" t="inlineStr">
        <is>
          <t>FID / INP &lt; 100ms</t>
        </is>
      </c>
      <c r="E6" s="5" t="inlineStr">
        <is>
          <t>1. Load app, interact within 1s of load
2. Measure FID/INP</t>
        </is>
      </c>
      <c r="F6" s="5" t="inlineStr">
        <is>
          <t>FID/INP &lt; 100ms</t>
        </is>
      </c>
      <c r="G6" s="6" t="inlineStr">
        <is>
          <t>P3</t>
        </is>
      </c>
      <c r="H6" s="6" t="inlineStr">
        <is>
          <t>Major</t>
        </is>
      </c>
      <c r="I6" s="6" t="inlineStr">
        <is>
          <t>Auto</t>
        </is>
      </c>
      <c r="J6" s="5" t="inlineStr">
        <is>
          <t>No automated check today — manual only.</t>
        </is>
      </c>
      <c r="L6" t="inlineStr">
        <is>
          <t>Web-performance engineer</t>
        </is>
      </c>
      <c r="O6" t="inlineStr">
        <is>
          <t>Not Yet Run</t>
        </is>
      </c>
      <c r="R6" t="inlineStr">
        <is>
          <t>0%</t>
        </is>
      </c>
    </row>
    <row r="7" ht="30" customHeight="1">
      <c r="A7" s="7" t="inlineStr">
        <is>
          <t>H-003</t>
        </is>
      </c>
      <c r="B7" s="5" t="inlineStr">
        <is>
          <t>Core Web Vitals</t>
        </is>
      </c>
      <c r="C7" s="6" t="inlineStr">
        <is>
          <t>46</t>
        </is>
      </c>
      <c r="D7" s="5" t="inlineStr">
        <is>
          <t>CLS &lt; 0.1</t>
        </is>
      </c>
      <c r="E7" s="5" t="inlineStr">
        <is>
          <t>1. Load app
2. Observe layout shifts during load
3. Measure CLS</t>
        </is>
      </c>
      <c r="F7" s="5" t="inlineStr">
        <is>
          <t>CLS &lt; 0.1</t>
        </is>
      </c>
      <c r="G7" s="6" t="inlineStr">
        <is>
          <t>P3</t>
        </is>
      </c>
      <c r="H7" s="6" t="inlineStr">
        <is>
          <t>Major</t>
        </is>
      </c>
      <c r="I7" s="6" t="inlineStr">
        <is>
          <t>Auto</t>
        </is>
      </c>
      <c r="J7" s="5" t="inlineStr">
        <is>
          <t>No automated check today — manual only.</t>
        </is>
      </c>
      <c r="L7" t="inlineStr">
        <is>
          <t>Web-performance engineer</t>
        </is>
      </c>
      <c r="O7" t="inlineStr">
        <is>
          <t>Not Yet Run</t>
        </is>
      </c>
      <c r="R7" t="inlineStr">
        <is>
          <t>0%</t>
        </is>
      </c>
    </row>
    <row r="8" ht="30" customHeight="1">
      <c r="A8" s="7" t="inlineStr">
        <is>
          <t>H-004</t>
        </is>
      </c>
      <c r="B8" s="5" t="inlineStr">
        <is>
          <t>Bundle size</t>
        </is>
      </c>
      <c r="C8" s="6" t="inlineStr">
        <is>
          <t>46</t>
        </is>
      </c>
      <c r="D8" s="5" t="inlineStr">
        <is>
          <t>Total JS bundle size on initial load</t>
        </is>
      </c>
      <c r="E8" s="5" t="inlineStr">
        <is>
          <t>1. Measure first-load JS
2. Verify &lt; 300KB compressed</t>
        </is>
      </c>
      <c r="F8" s="5" t="inlineStr">
        <is>
          <t>JS budget met</t>
        </is>
      </c>
      <c r="G8" s="6" t="inlineStr">
        <is>
          <t>P3</t>
        </is>
      </c>
      <c r="H8" s="6" t="inlineStr">
        <is>
          <t>Major</t>
        </is>
      </c>
      <c r="I8" s="6" t="inlineStr">
        <is>
          <t>Auto</t>
        </is>
      </c>
      <c r="J8" s="5" t="inlineStr">
        <is>
          <t>No automated check today — manual only.</t>
        </is>
      </c>
      <c r="L8" t="inlineStr">
        <is>
          <t>Web-performance engineer</t>
        </is>
      </c>
      <c r="O8" t="inlineStr">
        <is>
          <t>Not Yet Run</t>
        </is>
      </c>
      <c r="R8" t="inlineStr">
        <is>
          <t>0%</t>
        </is>
      </c>
    </row>
    <row r="9" ht="30" customHeight="1">
      <c r="A9" s="7" t="inlineStr">
        <is>
          <t>H-005</t>
        </is>
      </c>
      <c r="B9" s="5" t="inlineStr">
        <is>
          <t>Bundle size</t>
        </is>
      </c>
      <c r="C9" s="6" t="inlineStr">
        <is>
          <t>46</t>
        </is>
      </c>
      <c r="D9" s="5" t="inlineStr">
        <is>
          <t>Per-route code-splitting effectiveness</t>
        </is>
      </c>
      <c r="E9" s="5" t="inlineStr">
        <is>
          <t>1. Verify each module loads its own chunk
2. Verify shared bundle doesn't bloat</t>
        </is>
      </c>
      <c r="F9" s="5" t="inlineStr">
        <is>
          <t>Code-splitting works</t>
        </is>
      </c>
      <c r="G9" s="6" t="inlineStr">
        <is>
          <t>P5</t>
        </is>
      </c>
      <c r="H9" s="6" t="inlineStr">
        <is>
          <t>Minor</t>
        </is>
      </c>
      <c r="I9" s="6" t="inlineStr">
        <is>
          <t>Auto</t>
        </is>
      </c>
      <c r="J9" s="5" t="inlineStr">
        <is>
          <t>No automated check today — manual only.</t>
        </is>
      </c>
      <c r="L9" t="inlineStr">
        <is>
          <t>Web-performance engineer</t>
        </is>
      </c>
      <c r="O9" t="inlineStr">
        <is>
          <t>Not Yet Run</t>
        </is>
      </c>
      <c r="R9" t="inlineStr">
        <is>
          <t>0%</t>
        </is>
      </c>
    </row>
    <row r="10" ht="30" customHeight="1">
      <c r="A10" s="7" t="inlineStr">
        <is>
          <t>H-006</t>
        </is>
      </c>
      <c r="B10" s="5" t="inlineStr">
        <is>
          <t>Audio cache</t>
        </is>
      </c>
      <c r="C10" s="6" t="inlineStr">
        <is>
          <t>47</t>
        </is>
      </c>
      <c r="D10" s="5" t="inlineStr">
        <is>
          <t>Service-worker audio precache strategy</t>
        </is>
      </c>
      <c r="E10" s="5" t="inlineStr">
        <is>
          <t>1. Inspect sw.js precache list
2. Verify per-module audio precached on first visit</t>
        </is>
      </c>
      <c r="F10" s="5" t="inlineStr">
        <is>
          <t>Per-module audio cached</t>
        </is>
      </c>
      <c r="G10" s="6" t="inlineStr">
        <is>
          <t>P3</t>
        </is>
      </c>
      <c r="H10" s="6" t="inlineStr">
        <is>
          <t>Major</t>
        </is>
      </c>
      <c r="I10" s="6" t="inlineStr">
        <is>
          <t>Manual</t>
        </is>
      </c>
      <c r="J10" s="5" t="inlineStr">
        <is>
          <t>No automated check today — manual only.</t>
        </is>
      </c>
      <c r="L10" t="inlineStr">
        <is>
          <t>Web-performance engineer</t>
        </is>
      </c>
      <c r="O10" t="inlineStr">
        <is>
          <t>Not Yet Run</t>
        </is>
      </c>
      <c r="R10" t="inlineStr">
        <is>
          <t>0%</t>
        </is>
      </c>
    </row>
    <row r="11" ht="30" customHeight="1">
      <c r="A11" s="7" t="inlineStr">
        <is>
          <t>H-007</t>
        </is>
      </c>
      <c r="B11" s="5" t="inlineStr">
        <is>
          <t>Audio cache</t>
        </is>
      </c>
      <c r="C11" s="6" t="inlineStr">
        <is>
          <t>47</t>
        </is>
      </c>
      <c r="D11" s="5" t="inlineStr">
        <is>
          <t>Storage-quota management for 1782 grammar MP3s + others</t>
        </is>
      </c>
      <c r="E11" s="5" t="inlineStr">
        <is>
          <t>1. Estimate total audio size (~100MB+)
2. Verify cache eviction policy</t>
        </is>
      </c>
      <c r="F11" s="5" t="inlineStr">
        <is>
          <t>Quota managed; eviction policy documented</t>
        </is>
      </c>
      <c r="G11" s="6" t="inlineStr">
        <is>
          <t>P3</t>
        </is>
      </c>
      <c r="H11" s="6" t="inlineStr">
        <is>
          <t>Major</t>
        </is>
      </c>
      <c r="I11" s="6" t="inlineStr">
        <is>
          <t>Manual</t>
        </is>
      </c>
      <c r="J11" s="5" t="inlineStr">
        <is>
          <t>No automated check today — manual only.</t>
        </is>
      </c>
      <c r="L11" t="inlineStr">
        <is>
          <t>Web-performance engineer</t>
        </is>
      </c>
      <c r="O11" t="inlineStr">
        <is>
          <t>Not Yet Run</t>
        </is>
      </c>
      <c r="R11" t="inlineStr">
        <is>
          <t>0%</t>
        </is>
      </c>
    </row>
    <row r="12" ht="30" customHeight="1">
      <c r="A12" s="7" t="inlineStr">
        <is>
          <t>H-008</t>
        </is>
      </c>
      <c r="B12" s="5" t="inlineStr">
        <is>
          <t>Audio cache</t>
        </is>
      </c>
      <c r="C12" s="6" t="inlineStr">
        <is>
          <t>47</t>
        </is>
      </c>
      <c r="D12" s="5" t="inlineStr">
        <is>
          <t>Offline-mode availability per module</t>
        </is>
      </c>
      <c r="E12" s="5" t="inlineStr">
        <is>
          <t>1. Load module while online
2. Disconnect
3. Verify module fully functional offline</t>
        </is>
      </c>
      <c r="F12" s="5" t="inlineStr">
        <is>
          <t>Modules work offline post-first-visit</t>
        </is>
      </c>
      <c r="G12" s="6" t="inlineStr">
        <is>
          <t>P3</t>
        </is>
      </c>
      <c r="H12" s="6" t="inlineStr">
        <is>
          <t>Major</t>
        </is>
      </c>
      <c r="I12" s="6" t="inlineStr">
        <is>
          <t>Manual</t>
        </is>
      </c>
      <c r="J12" s="5" t="inlineStr">
        <is>
          <t>No automated check today — manual only.</t>
        </is>
      </c>
      <c r="L12" t="inlineStr">
        <is>
          <t>Web-performance engineer</t>
        </is>
      </c>
      <c r="O12" t="inlineStr">
        <is>
          <t>Not Yet Run</t>
        </is>
      </c>
      <c r="R12" t="inlineStr">
        <is>
          <t>0%</t>
        </is>
      </c>
    </row>
    <row r="13" ht="30" customHeight="1">
      <c r="A13" s="7" t="inlineStr">
        <is>
          <t>H-009</t>
        </is>
      </c>
      <c r="B13" s="5" t="inlineStr">
        <is>
          <t>PWA</t>
        </is>
      </c>
      <c r="C13" s="6" t="inlineStr">
        <is>
          <t>48</t>
        </is>
      </c>
      <c r="D13" s="5" t="inlineStr">
        <is>
          <t>Installability on iOS Safari / Android Chrome / desktop Chrome</t>
        </is>
      </c>
      <c r="E13" s="5" t="inlineStr">
        <is>
          <t>1. Open app on each
2. Verify 'Add to Home Screen' / install prompt</t>
        </is>
      </c>
      <c r="F13" s="5" t="inlineStr">
        <is>
          <t>Installable everywhere</t>
        </is>
      </c>
      <c r="G13" s="6" t="inlineStr">
        <is>
          <t>P3</t>
        </is>
      </c>
      <c r="H13" s="6" t="inlineStr">
        <is>
          <t>Major</t>
        </is>
      </c>
      <c r="I13" s="6" t="inlineStr">
        <is>
          <t>Manual</t>
        </is>
      </c>
      <c r="J13" s="5" t="inlineStr">
        <is>
          <t>No automated check today — manual only.</t>
        </is>
      </c>
      <c r="L13" t="inlineStr">
        <is>
          <t>Web-performance engineer</t>
        </is>
      </c>
      <c r="O13" t="inlineStr">
        <is>
          <t>Not Yet Run</t>
        </is>
      </c>
      <c r="R13" t="inlineStr">
        <is>
          <t>0%</t>
        </is>
      </c>
    </row>
    <row r="14" ht="34" customHeight="1">
      <c r="A14" s="7" t="inlineStr">
        <is>
          <t>H-010</t>
        </is>
      </c>
      <c r="B14" s="5" t="inlineStr">
        <is>
          <t>PWA</t>
        </is>
      </c>
      <c r="C14" s="6" t="inlineStr">
        <is>
          <t>48</t>
        </is>
      </c>
      <c r="D14" s="5" t="inlineStr">
        <is>
          <t>Service-worker update strategy (cache-busting on deploy)</t>
        </is>
      </c>
      <c r="E14" s="5" t="inlineStr">
        <is>
          <t>1. Deploy new version with CACHE_VERSION bump
2. Verify existing users get new version within 1 reload</t>
        </is>
      </c>
      <c r="F14" s="5" t="inlineStr">
        <is>
          <t>Update propagates in ≤ 1 reload</t>
        </is>
      </c>
      <c r="G14" s="6" t="inlineStr">
        <is>
          <t>P3</t>
        </is>
      </c>
      <c r="H14" s="6" t="inlineStr">
        <is>
          <t>Major</t>
        </is>
      </c>
      <c r="I14" s="6" t="inlineStr">
        <is>
          <t>Manual</t>
        </is>
      </c>
      <c r="J14" s="5" t="inlineStr">
        <is>
          <t>Procedure manual references CACHE_VERSION discipline</t>
        </is>
      </c>
      <c r="L14" t="inlineStr">
        <is>
          <t>Web-performance engineer</t>
        </is>
      </c>
      <c r="O14" t="inlineStr">
        <is>
          <t>Not Yet Run</t>
        </is>
      </c>
      <c r="R14" t="inlineStr">
        <is>
          <t>0%</t>
        </is>
      </c>
    </row>
    <row r="15" ht="30" customHeight="1">
      <c r="A15" s="7" t="inlineStr">
        <is>
          <t>H-011</t>
        </is>
      </c>
      <c r="B15" s="5" t="inlineStr">
        <is>
          <t>PWA</t>
        </is>
      </c>
      <c r="C15" s="6" t="inlineStr">
        <is>
          <t>48</t>
        </is>
      </c>
      <c r="D15" s="5" t="inlineStr">
        <is>
          <t>Offline-error UX (no-connection scenario)</t>
        </is>
      </c>
      <c r="E15" s="5" t="inlineStr">
        <is>
          <t>1. Disconnect
2. Open uncached route
3. Verify graceful error + retry</t>
        </is>
      </c>
      <c r="F15" s="5" t="inlineStr">
        <is>
          <t>Offline error is informative</t>
        </is>
      </c>
      <c r="G15" s="6" t="inlineStr">
        <is>
          <t>P3</t>
        </is>
      </c>
      <c r="H15" s="6" t="inlineStr">
        <is>
          <t>Major</t>
        </is>
      </c>
      <c r="I15" s="6" t="inlineStr">
        <is>
          <t>Manual</t>
        </is>
      </c>
      <c r="J15" s="5" t="inlineStr">
        <is>
          <t>No automated check today — manual only.</t>
        </is>
      </c>
      <c r="L15" t="inlineStr">
        <is>
          <t>Web-performance engineer</t>
        </is>
      </c>
      <c r="O15" t="inlineStr">
        <is>
          <t>Not Yet Run</t>
        </is>
      </c>
      <c r="R15" t="inlineStr">
        <is>
          <t>0%</t>
        </is>
      </c>
    </row>
    <row r="16" ht="34" customHeight="1">
      <c r="A16" s="7" t="inlineStr">
        <is>
          <t>H-012</t>
        </is>
      </c>
      <c r="B16" s="5" t="inlineStr">
        <is>
          <t>Cross-browser</t>
        </is>
      </c>
      <c r="C16" s="6" t="inlineStr">
        <is>
          <t>49</t>
        </is>
      </c>
      <c r="D16" s="5" t="inlineStr">
        <is>
          <t>Safari iOS audio autoplay restriction handling</t>
        </is>
      </c>
      <c r="E16" s="5" t="inlineStr">
        <is>
          <t>1. Open audio drill on iOS Safari
2. Verify play requires user gesture
3. Verify subsequent plays don't</t>
        </is>
      </c>
      <c r="F16" s="5" t="inlineStr">
        <is>
          <t>Audio works post-first-tap</t>
        </is>
      </c>
      <c r="G16" s="6" t="inlineStr">
        <is>
          <t>P3</t>
        </is>
      </c>
      <c r="H16" s="6" t="inlineStr">
        <is>
          <t>Major</t>
        </is>
      </c>
      <c r="I16" s="6" t="inlineStr">
        <is>
          <t>Manual</t>
        </is>
      </c>
      <c r="J16" s="5" t="inlineStr">
        <is>
          <t>No automated check today — manual only.</t>
        </is>
      </c>
      <c r="L16" t="inlineStr">
        <is>
          <t>Web-performance engineer</t>
        </is>
      </c>
      <c r="O16" t="inlineStr">
        <is>
          <t>Not Yet Run</t>
        </is>
      </c>
      <c r="R16" t="inlineStr">
        <is>
          <t>0%</t>
        </is>
      </c>
    </row>
    <row r="17" ht="30" customHeight="1">
      <c r="A17" s="7" t="inlineStr">
        <is>
          <t>H-013</t>
        </is>
      </c>
      <c r="B17" s="5" t="inlineStr">
        <is>
          <t>Cross-browser</t>
        </is>
      </c>
      <c r="C17" s="6" t="inlineStr">
        <is>
          <t>49</t>
        </is>
      </c>
      <c r="D17" s="5" t="inlineStr">
        <is>
          <t>Firefox MP3 decoder behavior</t>
        </is>
      </c>
      <c r="E17" s="5" t="inlineStr">
        <is>
          <t>1. Play all 1782 MP3s on Firefox
2. Verify no decode failures</t>
        </is>
      </c>
      <c r="F17" s="5" t="inlineStr">
        <is>
          <t>All MP3s decode in Firefox</t>
        </is>
      </c>
      <c r="G17" s="6" t="inlineStr">
        <is>
          <t>P5</t>
        </is>
      </c>
      <c r="H17" s="6" t="inlineStr">
        <is>
          <t>Minor</t>
        </is>
      </c>
      <c r="I17" s="6" t="inlineStr">
        <is>
          <t>Manual</t>
        </is>
      </c>
      <c r="J17" s="5" t="inlineStr">
        <is>
          <t>No automated check today — manual only.</t>
        </is>
      </c>
      <c r="L17" t="inlineStr">
        <is>
          <t>Web-performance engineer</t>
        </is>
      </c>
      <c r="O17" t="inlineStr">
        <is>
          <t>Not Yet Run</t>
        </is>
      </c>
      <c r="R17" t="inlineStr">
        <is>
          <t>0%</t>
        </is>
      </c>
    </row>
    <row r="18" ht="30" customHeight="1">
      <c r="A18" s="7" t="inlineStr">
        <is>
          <t>H-014</t>
        </is>
      </c>
      <c r="B18" s="5" t="inlineStr">
        <is>
          <t>Cross-browser</t>
        </is>
      </c>
      <c r="C18" s="6" t="inlineStr">
        <is>
          <t>49</t>
        </is>
      </c>
      <c r="D18" s="5" t="inlineStr">
        <is>
          <t>Older-Android Chrome (≤ Chrome 90) rendering</t>
        </is>
      </c>
      <c r="E18" s="5" t="inlineStr">
        <is>
          <t>1. Test on Android 8/9 with Chrome 90
2. Verify app loads + functions</t>
        </is>
      </c>
      <c r="F18" s="5" t="inlineStr">
        <is>
          <t>Functional on older Chrome</t>
        </is>
      </c>
      <c r="G18" s="6" t="inlineStr">
        <is>
          <t>P5</t>
        </is>
      </c>
      <c r="H18" s="6" t="inlineStr">
        <is>
          <t>Minor</t>
        </is>
      </c>
      <c r="I18" s="6" t="inlineStr">
        <is>
          <t>Manual</t>
        </is>
      </c>
      <c r="J18" s="5" t="inlineStr">
        <is>
          <t>No automated check today — manual only.</t>
        </is>
      </c>
      <c r="L18" t="inlineStr">
        <is>
          <t>Web-performance engineer</t>
        </is>
      </c>
      <c r="O18" t="inlineStr">
        <is>
          <t>Not Yet Run</t>
        </is>
      </c>
      <c r="R18" t="inlineStr">
        <is>
          <t>0%</t>
        </is>
      </c>
    </row>
    <row r="19" ht="30" customHeight="1">
      <c r="A19" s="7" t="inlineStr">
        <is>
          <t>H-015</t>
        </is>
      </c>
      <c r="B19" s="5" t="inlineStr">
        <is>
          <t>Mobile-responsive</t>
        </is>
      </c>
      <c r="C19" s="6" t="inlineStr">
        <is>
          <t>50</t>
        </is>
      </c>
      <c r="D19" s="5" t="inlineStr">
        <is>
          <t>Sub-360px viewport rendering</t>
        </is>
      </c>
      <c r="E19" s="5" t="inlineStr">
        <is>
          <t>1. Set viewport to 320px wide
2. Verify no horizontal scroll, no overflow</t>
        </is>
      </c>
      <c r="F19" s="5" t="inlineStr">
        <is>
          <t>No horizontal scroll at 320px</t>
        </is>
      </c>
      <c r="G19" s="6" t="inlineStr">
        <is>
          <t>P3</t>
        </is>
      </c>
      <c r="H19" s="6" t="inlineStr">
        <is>
          <t>Major</t>
        </is>
      </c>
      <c r="I19" s="6" t="inlineStr">
        <is>
          <t>Auto</t>
        </is>
      </c>
      <c r="J19" s="5" t="inlineStr">
        <is>
          <t>No automated check today — manual only.</t>
        </is>
      </c>
      <c r="L19" t="inlineStr">
        <is>
          <t>Web-performance engineer</t>
        </is>
      </c>
      <c r="O19" t="inlineStr">
        <is>
          <t>Not Yet Run</t>
        </is>
      </c>
      <c r="R19" t="inlineStr">
        <is>
          <t>0%</t>
        </is>
      </c>
    </row>
    <row r="20" ht="30" customHeight="1">
      <c r="A20" s="7" t="inlineStr">
        <is>
          <t>H-016</t>
        </is>
      </c>
      <c r="B20" s="5" t="inlineStr">
        <is>
          <t>Mobile-responsive</t>
        </is>
      </c>
      <c r="C20" s="6" t="inlineStr">
        <is>
          <t>50</t>
        </is>
      </c>
      <c r="D20" s="5" t="inlineStr">
        <is>
          <t>Portrait vs landscape orientation</t>
        </is>
      </c>
      <c r="E20" s="5" t="inlineStr">
        <is>
          <t>1. Rotate device during quiz
2. Verify state preserved + layout adapts</t>
        </is>
      </c>
      <c r="F20" s="5" t="inlineStr">
        <is>
          <t>Orientation change non-destructive</t>
        </is>
      </c>
      <c r="G20" s="6" t="inlineStr">
        <is>
          <t>P3</t>
        </is>
      </c>
      <c r="H20" s="6" t="inlineStr">
        <is>
          <t>Major</t>
        </is>
      </c>
      <c r="I20" s="6" t="inlineStr">
        <is>
          <t>Manual</t>
        </is>
      </c>
      <c r="J20" s="5" t="inlineStr">
        <is>
          <t>No automated check today — manual only.</t>
        </is>
      </c>
      <c r="L20" t="inlineStr">
        <is>
          <t>Web-performance engineer</t>
        </is>
      </c>
      <c r="O20" t="inlineStr">
        <is>
          <t>Not Yet Run</t>
        </is>
      </c>
      <c r="R20" t="inlineStr">
        <is>
          <t>0%</t>
        </is>
      </c>
    </row>
    <row r="21" ht="30" customHeight="1">
      <c r="A21" s="7" t="inlineStr">
        <is>
          <t>H-017</t>
        </is>
      </c>
      <c r="B21" s="5" t="inlineStr">
        <is>
          <t>Mobile-responsive</t>
        </is>
      </c>
      <c r="C21" s="6" t="inlineStr">
        <is>
          <t>50</t>
        </is>
      </c>
      <c r="D21" s="5" t="inlineStr">
        <is>
          <t>Notched-device safe-area handling (iPhone X+)</t>
        </is>
      </c>
      <c r="E21" s="5" t="inlineStr">
        <is>
          <t>1. Render on iPhone X simulator
2. Verify no content under notch / home indicator</t>
        </is>
      </c>
      <c r="F21" s="5" t="inlineStr">
        <is>
          <t>Safe-area respected</t>
        </is>
      </c>
      <c r="G21" s="6" t="inlineStr">
        <is>
          <t>P5</t>
        </is>
      </c>
      <c r="H21" s="6" t="inlineStr">
        <is>
          <t>Minor</t>
        </is>
      </c>
      <c r="I21" s="6" t="inlineStr">
        <is>
          <t>Manual</t>
        </is>
      </c>
      <c r="J21" s="5" t="inlineStr">
        <is>
          <t>No automated check today — manual only.</t>
        </is>
      </c>
      <c r="L21" t="inlineStr">
        <is>
          <t>Web-performance engineer</t>
        </is>
      </c>
      <c r="O21" t="inlineStr">
        <is>
          <t>Not Yet Run</t>
        </is>
      </c>
      <c r="R21" t="inlineStr">
        <is>
          <t>0%</t>
        </is>
      </c>
    </row>
    <row r="22" ht="30" customHeight="1">
      <c r="A22" s="7" t="inlineStr">
        <is>
          <t>H-018</t>
        </is>
      </c>
      <c r="B22" s="5" t="inlineStr">
        <is>
          <t>Font rendering</t>
        </is>
      </c>
      <c r="C22" s="6" t="inlineStr">
        <is>
          <t>51</t>
        </is>
      </c>
      <c r="D22" s="5" t="inlineStr">
        <is>
          <t>Noto Sans CJK availability fallback</t>
        </is>
      </c>
      <c r="E22" s="5" t="inlineStr">
        <is>
          <t>1. Simulate user without Noto fonts
2. Verify graceful fallback</t>
        </is>
      </c>
      <c r="F22" s="5" t="inlineStr">
        <is>
          <t>Fallback acceptable</t>
        </is>
      </c>
      <c r="G22" s="6" t="inlineStr">
        <is>
          <t>P5</t>
        </is>
      </c>
      <c r="H22" s="6" t="inlineStr">
        <is>
          <t>Minor</t>
        </is>
      </c>
      <c r="I22" s="6" t="inlineStr">
        <is>
          <t>Manual</t>
        </is>
      </c>
      <c r="J22" s="5" t="inlineStr">
        <is>
          <t>No automated check today — manual only.</t>
        </is>
      </c>
      <c r="L22" t="inlineStr">
        <is>
          <t>Web-performance engineer</t>
        </is>
      </c>
      <c r="O22" t="inlineStr">
        <is>
          <t>Not Yet Run</t>
        </is>
      </c>
      <c r="R22" t="inlineStr">
        <is>
          <t>0%</t>
        </is>
      </c>
    </row>
    <row r="23" ht="30" customHeight="1">
      <c r="A23" s="7" t="inlineStr">
        <is>
          <t>H-019</t>
        </is>
      </c>
      <c r="B23" s="5" t="inlineStr">
        <is>
          <t>Font rendering</t>
        </is>
      </c>
      <c r="C23" s="6" t="inlineStr">
        <is>
          <t>51</t>
        </is>
      </c>
      <c r="D23" s="5" t="inlineStr">
        <is>
          <t>Mixed-script line-height consistency</t>
        </is>
      </c>
      <c r="E23" s="5" t="inlineStr">
        <is>
          <t>1. Render lines with JA + HI + EN
2. Measure line-height variance</t>
        </is>
      </c>
      <c r="F23" s="5" t="inlineStr">
        <is>
          <t>Line-height consistent</t>
        </is>
      </c>
      <c r="G23" s="6" t="inlineStr">
        <is>
          <t>P5</t>
        </is>
      </c>
      <c r="H23" s="6" t="inlineStr">
        <is>
          <t>Minor</t>
        </is>
      </c>
      <c r="I23" s="6" t="inlineStr">
        <is>
          <t>Manual</t>
        </is>
      </c>
      <c r="J23" s="5" t="inlineStr">
        <is>
          <t>No automated check today — manual only.</t>
        </is>
      </c>
      <c r="L23" t="inlineStr">
        <is>
          <t>Web-performance engineer</t>
        </is>
      </c>
      <c r="O23" t="inlineStr">
        <is>
          <t>Not Yet Run</t>
        </is>
      </c>
      <c r="R23" t="inlineStr">
        <is>
          <t>0%</t>
        </is>
      </c>
    </row>
    <row r="24" ht="30" customHeight="1">
      <c r="A24" s="7" t="inlineStr">
        <is>
          <t>H-020</t>
        </is>
      </c>
      <c r="B24" s="5" t="inlineStr">
        <is>
          <t>i18n</t>
        </is>
      </c>
      <c r="C24" s="6" t="inlineStr">
        <is>
          <t>52</t>
        </is>
      </c>
      <c r="D24" s="5" t="inlineStr">
        <is>
          <t>Locale-switch state retention</t>
        </is>
      </c>
      <c r="E24" s="5" t="inlineStr">
        <is>
          <t>1. Mid-session HI ↔ EN toggle
2. Verify learner progress preserved</t>
        </is>
      </c>
      <c r="F24" s="5" t="inlineStr">
        <is>
          <t>State persists across toggle</t>
        </is>
      </c>
      <c r="G24" s="6" t="inlineStr">
        <is>
          <t>P3</t>
        </is>
      </c>
      <c r="H24" s="6" t="inlineStr">
        <is>
          <t>Major</t>
        </is>
      </c>
      <c r="I24" s="6" t="inlineStr">
        <is>
          <t>Manual</t>
        </is>
      </c>
      <c r="J24" s="5" t="inlineStr">
        <is>
          <t>No automated check today — manual only.</t>
        </is>
      </c>
      <c r="L24" t="inlineStr">
        <is>
          <t>Web-performance engineer</t>
        </is>
      </c>
      <c r="O24" t="inlineStr">
        <is>
          <t>Not Yet Run</t>
        </is>
      </c>
      <c r="R24" t="inlineStr">
        <is>
          <t>0%</t>
        </is>
      </c>
    </row>
    <row r="25" ht="30" customHeight="1">
      <c r="A25" s="7" t="inlineStr">
        <is>
          <t>H-021</t>
        </is>
      </c>
      <c r="B25" s="5" t="inlineStr">
        <is>
          <t>i18n</t>
        </is>
      </c>
      <c r="C25" s="6" t="inlineStr">
        <is>
          <t>52</t>
        </is>
      </c>
      <c r="D25" s="5" t="inlineStr">
        <is>
          <t>Text-expansion handling for Hindi (often 30% longer)</t>
        </is>
      </c>
      <c r="E25" s="5" t="inlineStr">
        <is>
          <t>1. Render UI in HI
2. Verify no truncation / overflow in buttons / labels</t>
        </is>
      </c>
      <c r="F25" s="5" t="inlineStr">
        <is>
          <t>0 truncated HI labels</t>
        </is>
      </c>
      <c r="G25" s="6" t="inlineStr">
        <is>
          <t>P3</t>
        </is>
      </c>
      <c r="H25" s="6" t="inlineStr">
        <is>
          <t>Major</t>
        </is>
      </c>
      <c r="I25" s="6" t="inlineStr">
        <is>
          <t>Manual</t>
        </is>
      </c>
      <c r="J25" s="5" t="inlineStr">
        <is>
          <t>No automated check today — manual only.</t>
        </is>
      </c>
      <c r="L25" t="inlineStr">
        <is>
          <t>Web-performance engineer</t>
        </is>
      </c>
      <c r="O25" t="inlineStr">
        <is>
          <t>Not Yet Run</t>
        </is>
      </c>
      <c r="R25" t="inlineStr">
        <is>
          <t>0%</t>
        </is>
      </c>
    </row>
    <row r="26" ht="30" customHeight="1">
      <c r="A26" s="7" t="inlineStr">
        <is>
          <t>H-022</t>
        </is>
      </c>
      <c r="B26" s="5" t="inlineStr">
        <is>
          <t>SEO</t>
        </is>
      </c>
      <c r="C26" s="6" t="inlineStr">
        <is>
          <t>53</t>
        </is>
      </c>
      <c r="D26" s="5" t="inlineStr">
        <is>
          <t>Sitemap.xml presence + accuracy</t>
        </is>
      </c>
      <c r="E26" s="5" t="inlineStr">
        <is>
          <t>1. Verify /sitemap.xml exists
2. Verify it includes all routes</t>
        </is>
      </c>
      <c r="F26" s="5" t="inlineStr">
        <is>
          <t>Sitemap accurate</t>
        </is>
      </c>
      <c r="G26" s="6" t="inlineStr">
        <is>
          <t>P5</t>
        </is>
      </c>
      <c r="H26" s="6" t="inlineStr">
        <is>
          <t>Minor</t>
        </is>
      </c>
      <c r="I26" s="6" t="inlineStr">
        <is>
          <t>Auto</t>
        </is>
      </c>
      <c r="J26" s="5" t="inlineStr">
        <is>
          <t>No automated check today — manual only.</t>
        </is>
      </c>
      <c r="L26" t="inlineStr">
        <is>
          <t>Web-performance engineer</t>
        </is>
      </c>
      <c r="O26" t="inlineStr">
        <is>
          <t>Not Yet Run</t>
        </is>
      </c>
      <c r="R26" t="inlineStr">
        <is>
          <t>0%</t>
        </is>
      </c>
    </row>
    <row r="27" ht="30" customHeight="1">
      <c r="A27" s="7" t="inlineStr">
        <is>
          <t>H-023</t>
        </is>
      </c>
      <c r="B27" s="5" t="inlineStr">
        <is>
          <t>SEO</t>
        </is>
      </c>
      <c r="C27" s="6" t="inlineStr">
        <is>
          <t>53</t>
        </is>
      </c>
      <c r="D27" s="5" t="inlineStr">
        <is>
          <t>Per-page meta-description + Open Graph tags</t>
        </is>
      </c>
      <c r="E27" s="5" t="inlineStr">
        <is>
          <t>1. Inspect each route's &lt;head&gt;
2. Verify unique meta-description + og:title / og:image</t>
        </is>
      </c>
      <c r="F27" s="5" t="inlineStr">
        <is>
          <t>Meta complete per route</t>
        </is>
      </c>
      <c r="G27" s="6" t="inlineStr">
        <is>
          <t>P5</t>
        </is>
      </c>
      <c r="H27" s="6" t="inlineStr">
        <is>
          <t>Minor</t>
        </is>
      </c>
      <c r="I27" s="6" t="inlineStr">
        <is>
          <t>Auto</t>
        </is>
      </c>
      <c r="J27" s="5" t="inlineStr">
        <is>
          <t>No automated check today — manual only.</t>
        </is>
      </c>
      <c r="L27" t="inlineStr">
        <is>
          <t>Web-performance engineer</t>
        </is>
      </c>
      <c r="O27" t="inlineStr">
        <is>
          <t>Not Yet Run</t>
        </is>
      </c>
      <c r="R27" t="inlineStr">
        <is>
          <t>0%</t>
        </is>
      </c>
    </row>
    <row r="28" ht="30" customHeight="1">
      <c r="A28" s="7" t="inlineStr">
        <is>
          <t>H-024</t>
        </is>
      </c>
      <c r="B28" s="5" t="inlineStr">
        <is>
          <t>SEO</t>
        </is>
      </c>
      <c r="C28" s="6" t="inlineStr">
        <is>
          <t>53</t>
        </is>
      </c>
      <c r="D28" s="5" t="inlineStr">
        <is>
          <t>Canonical-URL handling</t>
        </is>
      </c>
      <c r="E28" s="5" t="inlineStr">
        <is>
          <t>1. Verify &lt;link rel='canonical'&gt; on each route
2. Verify trailing-slash handling</t>
        </is>
      </c>
      <c r="F28" s="5" t="inlineStr">
        <is>
          <t>Canonical URLs correct</t>
        </is>
      </c>
      <c r="G28" s="6" t="inlineStr">
        <is>
          <t>P5</t>
        </is>
      </c>
      <c r="H28" s="6" t="inlineStr">
        <is>
          <t>Minor</t>
        </is>
      </c>
      <c r="I28" s="6" t="inlineStr">
        <is>
          <t>Auto</t>
        </is>
      </c>
      <c r="J28" s="5" t="inlineStr">
        <is>
          <t>No automated check today — manual only.</t>
        </is>
      </c>
      <c r="L28" t="inlineStr">
        <is>
          <t>Web-performance engineer</t>
        </is>
      </c>
      <c r="O28" t="inlineStr">
        <is>
          <t>Not Yet Run</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17" text="Medium-High">
      <formula>NOT(ISERROR(SEARCH("Medium-High",G5)))</formula>
    </cfRule>
    <cfRule type="containsText" priority="3" operator="containsText" dxfId="31" text="Low-Medium">
      <formula>NOT(ISERROR(SEARCH("Low-Medium",G5)))</formula>
    </cfRule>
    <cfRule type="containsText" priority="4" operator="containsText" dxfId="4" text="High">
      <formula>NOT(ISERROR(SEARCH("High",G5)))</formula>
    </cfRule>
    <cfRule type="containsText" priority="5" operator="containsText" dxfId="3" text="Medium">
      <formula>NOT(ISERROR(SEARCH("Medium",G5)))</formula>
    </cfRule>
    <cfRule type="containsText" priority="6" operator="containsText" dxfId="2" text="Low">
      <formula>NOT(ISERROR(SEARCH("Low",G5)))</formula>
    </cfRule>
    <cfRule type="containsText" priority="7" operator="containsText" dxfId="5" text="P1">
      <formula>NOT(ISERROR(SEARCH("P1",G5)))</formula>
    </cfRule>
    <cfRule type="containsText" priority="8" operator="containsText" dxfId="4" text="P2">
      <formula>NOT(ISERROR(SEARCH("P2",G5)))</formula>
    </cfRule>
    <cfRule type="containsText" priority="9" operator="containsText" dxfId="3" text="P3">
      <formula>NOT(ISERROR(SEARCH("P3",G5)))</formula>
    </cfRule>
    <cfRule type="containsText" priority="10" operator="containsText" dxfId="2" text="P4">
      <formula>NOT(ISERROR(SEARCH("P4",G5)))</formula>
    </cfRule>
    <cfRule type="containsText" priority="11" operator="containsText" dxfId="1" text="P5">
      <formula>NOT(ISERROR(SEARCH("P5",G5)))</formula>
    </cfRule>
  </conditionalFormatting>
  <conditionalFormatting sqref="H5:H28">
    <cfRule type="containsText" priority="12" operator="containsText" dxfId="5" text="Critical">
      <formula>NOT(ISERROR(SEARCH("Critical",H5)))</formula>
    </cfRule>
    <cfRule type="containsText" priority="13" operator="containsText" dxfId="4" text="Major">
      <formula>NOT(ISERROR(SEARCH("Major",H5)))</formula>
    </cfRule>
    <cfRule type="containsText" priority="14" operator="containsText" dxfId="3" text="Minor">
      <formula>NOT(ISERROR(SEARCH("Minor",H5)))</formula>
    </cfRule>
  </conditionalFormatting>
  <conditionalFormatting sqref="I5:I28">
    <cfRule type="containsText" priority="15" operator="containsText" dxfId="18" text="Auto+Manual">
      <formula>NOT(ISERROR(SEARCH("Auto+Manual",I5)))</formula>
    </cfRule>
    <cfRule type="containsText" priority="16" operator="containsText" dxfId="18" text="Hybrid">
      <formula>NOT(ISERROR(SEARCH("Hybrid",I5)))</formula>
    </cfRule>
    <cfRule type="containsText" priority="17" operator="containsText" dxfId="17"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17"/>
  <sheetViews>
    <sheetView workbookViewId="0">
      <pane ySplit="4" topLeftCell="A5" activePane="bottomLeft" state="frozen"/>
      <selection pane="bottomLeft" activeCell="H24" sqref="H24"/>
    </sheetView>
  </sheetViews>
  <sheetFormatPr baseColWidth="8" defaultRowHeight="14.5"/>
  <cols>
    <col width="10" customWidth="1" min="1" max="1"/>
    <col width="19.08984375" customWidth="1" min="2" max="2"/>
    <col width="9.08984375" customWidth="1" min="3" max="3"/>
    <col width="43.6328125" customWidth="1" min="4" max="4"/>
    <col width="50.90625" customWidth="1" min="5" max="5"/>
    <col width="40" customWidth="1" min="6" max="6"/>
    <col width="14.54296875" customWidth="1" min="7" max="7"/>
    <col width="16.36328125" customWidth="1" min="8" max="8"/>
    <col width="14.54296875" customWidth="1" min="9" max="9"/>
    <col width="32.7265625" customWidth="1" min="10" max="10"/>
    <col width="16" customWidth="1" min="11" max="11"/>
    <col width="24" customWidth="1" min="12" max="12"/>
    <col width="32" customWidth="1" min="13" max="13"/>
    <col width="14" customWidth="1" min="14" max="14"/>
    <col width="14" customWidth="1" min="15" max="15"/>
    <col width="18" customWidth="1" min="16" max="16"/>
    <col width="16" customWidth="1" min="17" max="17"/>
    <col width="12" customWidth="1" min="18" max="18"/>
  </cols>
  <sheetData>
    <row r="1" ht="28" customHeight="1">
      <c r="A1" s="9" t="inlineStr">
        <is>
          <t>I. Data engineering</t>
        </is>
      </c>
    </row>
    <row r="2" ht="36" customHeight="1">
      <c r="A2" s="10" t="inlineStr">
        <is>
          <t>Perspectives: Schema validation, schema versioning, CACHE_VERSION, backup, build/CI (perspectives 54-57)</t>
        </is>
      </c>
    </row>
    <row r="4" ht="24" customHeight="1">
      <c r="A4" s="12" t="inlineStr">
        <is>
          <t>ID</t>
        </is>
      </c>
      <c r="B4" s="12" t="inlineStr">
        <is>
          <t>Sub-category</t>
        </is>
      </c>
      <c r="C4" s="12" t="inlineStr">
        <is>
          <t>Persp #</t>
        </is>
      </c>
      <c r="D4" s="12" t="inlineStr">
        <is>
          <t>Scenario</t>
        </is>
      </c>
      <c r="E4" s="12" t="inlineStr">
        <is>
          <t>Test steps</t>
        </is>
      </c>
      <c r="F4" s="12" t="inlineStr">
        <is>
          <t>Expected result</t>
        </is>
      </c>
      <c r="G4" s="12" t="inlineStr">
        <is>
          <t>Priority</t>
        </is>
      </c>
      <c r="H4" s="12" t="inlineStr">
        <is>
          <t>Severity if fails</t>
        </is>
      </c>
      <c r="I4" s="12" t="inlineStr">
        <is>
          <t>Test type</t>
        </is>
      </c>
      <c r="J4" s="12" t="inlineStr">
        <is>
          <t>Notes</t>
        </is>
      </c>
      <c r="K4" s="25" t="inlineStr">
        <is>
          <t>Estimated effort</t>
        </is>
      </c>
      <c r="L4" s="25" t="inlineStr">
        <is>
          <t>Owner / role</t>
        </is>
      </c>
      <c r="M4" s="25" t="inlineStr">
        <is>
          <t>Tools / scripts required</t>
        </is>
      </c>
      <c r="N4" s="25" t="inlineStr">
        <is>
          <t>Last run date</t>
        </is>
      </c>
      <c r="O4" s="25" t="inlineStr">
        <is>
          <t>Last run result</t>
        </is>
      </c>
      <c r="P4" s="25" t="inlineStr">
        <is>
          <t>Tracker link</t>
        </is>
      </c>
      <c r="Q4" s="25" t="inlineStr">
        <is>
          <t>Depends on</t>
        </is>
      </c>
      <c r="R4" s="25" t="inlineStr">
        <is>
          <t>Coverage %</t>
        </is>
      </c>
    </row>
    <row r="5" ht="30" customHeight="1">
      <c r="A5" s="7" t="inlineStr">
        <is>
          <t>I-001</t>
        </is>
      </c>
      <c r="B5" s="5" t="inlineStr">
        <is>
          <t>Schema validation</t>
        </is>
      </c>
      <c r="C5" s="6" t="inlineStr">
        <is>
          <t>54</t>
        </is>
      </c>
      <c r="D5" s="5" t="inlineStr">
        <is>
          <t>JSON-schema validation for all data/*.json beyond CI invariants</t>
        </is>
      </c>
      <c r="E5" s="5" t="inlineStr">
        <is>
          <t>1. Write formal JSON-schema for each file
2. Run validator on every release</t>
        </is>
      </c>
      <c r="F5" s="5" t="inlineStr">
        <is>
          <t>All files validate</t>
        </is>
      </c>
      <c r="G5" s="6" t="inlineStr">
        <is>
          <t>P3</t>
        </is>
      </c>
      <c r="H5" s="6" t="inlineStr">
        <is>
          <t>Major</t>
        </is>
      </c>
      <c r="I5" s="6" t="inlineStr">
        <is>
          <t>Auto</t>
        </is>
      </c>
      <c r="J5" s="5" t="inlineStr">
        <is>
          <t>93 invariants cover most fields; schema is sharper</t>
        </is>
      </c>
      <c r="L5" t="inlineStr">
        <is>
          <t>Data engineer</t>
        </is>
      </c>
      <c r="O5" t="inlineStr">
        <is>
          <t>Not Yet Run</t>
        </is>
      </c>
      <c r="R5" t="inlineStr">
        <is>
          <t>0%</t>
        </is>
      </c>
    </row>
    <row r="6" ht="30" customHeight="1">
      <c r="A6" s="7" t="inlineStr">
        <is>
          <t>I-002</t>
        </is>
      </c>
      <c r="B6" s="5" t="inlineStr">
        <is>
          <t>Schema validation</t>
        </is>
      </c>
      <c r="C6" s="6" t="inlineStr">
        <is>
          <t>54</t>
        </is>
      </c>
      <c r="D6" s="5" t="inlineStr">
        <is>
          <t>Field-presence invariants for new fields</t>
        </is>
      </c>
      <c r="E6" s="5" t="inlineStr">
        <is>
          <t>1. When new field added, ensure presence-check invariant in tools/check_content_integrity.py</t>
        </is>
      </c>
      <c r="F6" s="5" t="inlineStr">
        <is>
          <t>New fields locked</t>
        </is>
      </c>
      <c r="G6" s="6" t="inlineStr">
        <is>
          <t>P3</t>
        </is>
      </c>
      <c r="H6" s="6" t="inlineStr">
        <is>
          <t>Major</t>
        </is>
      </c>
      <c r="I6" s="6" t="inlineStr">
        <is>
          <t>Manual</t>
        </is>
      </c>
      <c r="J6" s="5" t="inlineStr">
        <is>
          <t>Discipline check</t>
        </is>
      </c>
      <c r="L6" t="inlineStr">
        <is>
          <t>Data engineer</t>
        </is>
      </c>
      <c r="O6" t="inlineStr">
        <is>
          <t>Not Yet Run</t>
        </is>
      </c>
      <c r="R6" t="inlineStr">
        <is>
          <t>0%</t>
        </is>
      </c>
    </row>
    <row r="7" ht="30" customHeight="1">
      <c r="A7" s="7" t="inlineStr">
        <is>
          <t>I-003</t>
        </is>
      </c>
      <c r="B7" s="5" t="inlineStr">
        <is>
          <t>Schema validation</t>
        </is>
      </c>
      <c r="C7" s="6" t="inlineStr">
        <is>
          <t>54</t>
        </is>
      </c>
      <c r="D7" s="5" t="inlineStr">
        <is>
          <t>Cross-corpus FK integrity (vocab_id, grammarPatternId, kbSourceId)</t>
        </is>
      </c>
      <c r="E7" s="5" t="inlineStr">
        <is>
          <t>1. Wave-1 covers vocab_id + grammarPatternId
2. Add kbSourceId check</t>
        </is>
      </c>
      <c r="F7" s="5" t="inlineStr">
        <is>
          <t>All FKs resolve</t>
        </is>
      </c>
      <c r="G7" s="6" t="inlineStr">
        <is>
          <t>P3</t>
        </is>
      </c>
      <c r="H7" s="6" t="inlineStr">
        <is>
          <t>Major</t>
        </is>
      </c>
      <c r="I7" s="6" t="inlineStr">
        <is>
          <t>Auto</t>
        </is>
      </c>
      <c r="J7" s="5" t="inlineStr">
        <is>
          <t>AUDIT-COVERAGE lists kbSourceId as not-yet-CI-enforced</t>
        </is>
      </c>
      <c r="L7" t="inlineStr">
        <is>
          <t>Data engineer</t>
        </is>
      </c>
      <c r="O7" t="inlineStr">
        <is>
          <t>Not Yet Run</t>
        </is>
      </c>
      <c r="R7" t="inlineStr">
        <is>
          <t>0%</t>
        </is>
      </c>
    </row>
    <row r="8" ht="30" customHeight="1">
      <c r="A8" s="7" t="inlineStr">
        <is>
          <t>I-004</t>
        </is>
      </c>
      <c r="B8" s="5" t="inlineStr">
        <is>
          <t>Schema versioning</t>
        </is>
      </c>
      <c r="C8" s="6" t="inlineStr">
        <is>
          <t>55</t>
        </is>
      </c>
      <c r="D8" s="5" t="inlineStr">
        <is>
          <t>Schema-version field per data file</t>
        </is>
      </c>
      <c r="E8" s="5" t="inlineStr">
        <is>
          <t>1. Add `_meta.schema_version` to each data/*.json
2. Bump on migration</t>
        </is>
      </c>
      <c r="F8" s="5" t="inlineStr">
        <is>
          <t>All files versioned</t>
        </is>
      </c>
      <c r="G8" s="6" t="inlineStr">
        <is>
          <t>P3</t>
        </is>
      </c>
      <c r="H8" s="6" t="inlineStr">
        <is>
          <t>Major</t>
        </is>
      </c>
      <c r="I8" s="6" t="inlineStr">
        <is>
          <t>Manual</t>
        </is>
      </c>
      <c r="J8" s="5" t="inlineStr">
        <is>
          <t>No automated check today — manual only.</t>
        </is>
      </c>
      <c r="L8" t="inlineStr">
        <is>
          <t>Data engineer</t>
        </is>
      </c>
      <c r="O8" t="inlineStr">
        <is>
          <t>Not Yet Run</t>
        </is>
      </c>
      <c r="R8" t="inlineStr">
        <is>
          <t>0%</t>
        </is>
      </c>
    </row>
    <row r="9" ht="30" customHeight="1">
      <c r="A9" s="7" t="inlineStr">
        <is>
          <t>I-005</t>
        </is>
      </c>
      <c r="B9" s="5" t="inlineStr">
        <is>
          <t>Schema versioning</t>
        </is>
      </c>
      <c r="C9" s="6" t="inlineStr">
        <is>
          <t>55</t>
        </is>
      </c>
      <c r="D9" s="5" t="inlineStr">
        <is>
          <t>Migration script presence for past version bumps</t>
        </is>
      </c>
      <c r="E9" s="5" t="inlineStr">
        <is>
          <t>1. Audit any past migration
2. Verify reversible migration script exists</t>
        </is>
      </c>
      <c r="F9" s="5" t="inlineStr">
        <is>
          <t>Migrations documented + reversible</t>
        </is>
      </c>
      <c r="G9" s="6" t="inlineStr">
        <is>
          <t>P4</t>
        </is>
      </c>
      <c r="H9" s="6" t="inlineStr">
        <is>
          <t>Minor</t>
        </is>
      </c>
      <c r="I9" s="6" t="inlineStr">
        <is>
          <t>Manual</t>
        </is>
      </c>
      <c r="J9" s="5" t="inlineStr">
        <is>
          <t>No automated check today — manual only.</t>
        </is>
      </c>
      <c r="L9" t="inlineStr">
        <is>
          <t>Data engineer</t>
        </is>
      </c>
      <c r="O9" t="inlineStr">
        <is>
          <t>Not Yet Run</t>
        </is>
      </c>
      <c r="R9" t="inlineStr">
        <is>
          <t>0%</t>
        </is>
      </c>
    </row>
    <row r="10" ht="30" customHeight="1">
      <c r="A10" s="7" t="inlineStr">
        <is>
          <t>I-006</t>
        </is>
      </c>
      <c r="B10" s="5" t="inlineStr">
        <is>
          <t>CACHE_VERSION</t>
        </is>
      </c>
      <c r="C10" s="6" t="inlineStr">
        <is>
          <t>55</t>
        </is>
      </c>
      <c r="D10" s="5" t="inlineStr">
        <is>
          <t>CACHE_VERSION bump discipline</t>
        </is>
      </c>
      <c r="E10" s="5" t="inlineStr">
        <is>
          <t>1. On any data/*.json change, verify CACHE_VERSION bumped
2. Verify version.json updated</t>
        </is>
      </c>
      <c r="F10" s="5" t="inlineStr">
        <is>
          <t>Cache-bust on data changes</t>
        </is>
      </c>
      <c r="G10" s="6" t="inlineStr">
        <is>
          <t>P3</t>
        </is>
      </c>
      <c r="H10" s="6" t="inlineStr">
        <is>
          <t>Major</t>
        </is>
      </c>
      <c r="I10" s="6" t="inlineStr">
        <is>
          <t>Manual</t>
        </is>
      </c>
      <c r="J10" s="5" t="inlineStr">
        <is>
          <t>Procedure manual codifies this</t>
        </is>
      </c>
      <c r="L10" t="inlineStr">
        <is>
          <t>Data engineer</t>
        </is>
      </c>
      <c r="O10" t="inlineStr">
        <is>
          <t>Not Yet Run</t>
        </is>
      </c>
      <c r="R10" t="inlineStr">
        <is>
          <t>0%</t>
        </is>
      </c>
    </row>
    <row r="11" ht="35" customHeight="1">
      <c r="A11" s="7" t="inlineStr">
        <is>
          <t>I-007</t>
        </is>
      </c>
      <c r="B11" s="5" t="inlineStr">
        <is>
          <t>Backup</t>
        </is>
      </c>
      <c r="C11" s="6" t="inlineStr">
        <is>
          <t>56</t>
        </is>
      </c>
      <c r="D11" s="5" t="inlineStr">
        <is>
          <t>data/*.json.bak_* policy adherence</t>
        </is>
      </c>
      <c r="E11" s="5" t="inlineStr">
        <is>
          <t>1. Verify backup files never overwritten (versioned _v2, _v3)
2. Verify backup naming convention enforced</t>
        </is>
      </c>
      <c r="F11" s="5" t="inlineStr">
        <is>
          <t>Backup discipline followed</t>
        </is>
      </c>
      <c r="G11" s="6" t="inlineStr">
        <is>
          <t>P3</t>
        </is>
      </c>
      <c r="H11" s="6" t="inlineStr">
        <is>
          <t>Major</t>
        </is>
      </c>
      <c r="I11" s="6" t="inlineStr">
        <is>
          <t>Manual</t>
        </is>
      </c>
      <c r="J11" s="5" t="inlineStr">
        <is>
          <t>Project-CLAUDE.md backup policy</t>
        </is>
      </c>
      <c r="L11" t="inlineStr">
        <is>
          <t>Data engineer</t>
        </is>
      </c>
      <c r="O11" t="inlineStr">
        <is>
          <t>Not Yet Run</t>
        </is>
      </c>
      <c r="R11" t="inlineStr">
        <is>
          <t>0%</t>
        </is>
      </c>
    </row>
    <row r="12" ht="30" customHeight="1">
      <c r="A12" s="7" t="inlineStr">
        <is>
          <t>I-008</t>
        </is>
      </c>
      <c r="B12" s="5" t="inlineStr">
        <is>
          <t>Backup</t>
        </is>
      </c>
      <c r="C12" s="6" t="inlineStr">
        <is>
          <t>56</t>
        </is>
      </c>
      <c r="D12" s="5" t="inlineStr">
        <is>
          <t>Repo-level disaster recovery (release-bundle workaround)</t>
        </is>
      </c>
      <c r="E12" s="5" t="inlineStr">
        <is>
          <t>1. Verify backup-bundle release exists
2. Verify it can restore the repo</t>
        </is>
      </c>
      <c r="F12" s="5" t="inlineStr">
        <is>
          <t>DR procedure works</t>
        </is>
      </c>
      <c r="G12" s="6" t="inlineStr">
        <is>
          <t>P4</t>
        </is>
      </c>
      <c r="H12" s="6" t="inlineStr">
        <is>
          <t>Major</t>
        </is>
      </c>
      <c r="I12" s="6" t="inlineStr">
        <is>
          <t>Manual</t>
        </is>
      </c>
      <c r="J12" s="5" t="inlineStr">
        <is>
          <t>No automated check today — manual only.</t>
        </is>
      </c>
      <c r="L12" t="inlineStr">
        <is>
          <t>Data engineer</t>
        </is>
      </c>
      <c r="O12" t="inlineStr">
        <is>
          <t>Not Yet Run</t>
        </is>
      </c>
      <c r="R12" t="inlineStr">
        <is>
          <t>0%</t>
        </is>
      </c>
    </row>
    <row r="13" ht="30" customHeight="1">
      <c r="A13" s="7" t="inlineStr">
        <is>
          <t>I-009</t>
        </is>
      </c>
      <c r="B13" s="5" t="inlineStr">
        <is>
          <t>Build / CI</t>
        </is>
      </c>
      <c r="C13" s="6" t="inlineStr">
        <is>
          <t>57</t>
        </is>
      </c>
      <c r="D13" s="5" t="inlineStr">
        <is>
          <t>tools/check_content_integrity.py runs in CI on every PR</t>
        </is>
      </c>
      <c r="E13" s="5" t="inlineStr">
        <is>
          <t>1. Inspect .github/workflows/
2. Verify CI runs the script</t>
        </is>
      </c>
      <c r="F13" s="5" t="inlineStr">
        <is>
          <t>CI runs integrity check</t>
        </is>
      </c>
      <c r="G13" s="6" t="inlineStr">
        <is>
          <t>P1</t>
        </is>
      </c>
      <c r="H13" s="6" t="inlineStr">
        <is>
          <t>Critical</t>
        </is>
      </c>
      <c r="I13" s="6" t="inlineStr">
        <is>
          <t>Auto</t>
        </is>
      </c>
      <c r="J13" s="5" t="inlineStr">
        <is>
          <t>[BUG-026] Critical severity (CI on every PR) → P1 priority post-remap.</t>
        </is>
      </c>
      <c r="L13" t="inlineStr">
        <is>
          <t>Data engineer</t>
        </is>
      </c>
      <c r="O13" t="inlineStr">
        <is>
          <t>Not Yet Run</t>
        </is>
      </c>
      <c r="R13" t="inlineStr">
        <is>
          <t>0%</t>
        </is>
      </c>
    </row>
    <row r="14" ht="30" customHeight="1">
      <c r="A14" s="7" t="inlineStr">
        <is>
          <t>I-010</t>
        </is>
      </c>
      <c r="B14" s="5" t="inlineStr">
        <is>
          <t>Build / CI</t>
        </is>
      </c>
      <c r="C14" s="6" t="inlineStr">
        <is>
          <t>57</t>
        </is>
      </c>
      <c r="D14" s="5" t="inlineStr">
        <is>
          <t>Determinism: same input → same output across machines</t>
        </is>
      </c>
      <c r="E14" s="5" t="inlineStr">
        <is>
          <t>1. Run build on two machines
2. Verify byte-identical output</t>
        </is>
      </c>
      <c r="F14" s="5" t="inlineStr">
        <is>
          <t>Deterministic build</t>
        </is>
      </c>
      <c r="G14" s="6" t="inlineStr">
        <is>
          <t>P5</t>
        </is>
      </c>
      <c r="H14" s="6" t="inlineStr">
        <is>
          <t>Minor</t>
        </is>
      </c>
      <c r="I14" s="6" t="inlineStr">
        <is>
          <t>Manual</t>
        </is>
      </c>
      <c r="J14" s="5" t="inlineStr">
        <is>
          <t>No automated check today — manual only.</t>
        </is>
      </c>
      <c r="L14" t="inlineStr">
        <is>
          <t>Data engineer</t>
        </is>
      </c>
      <c r="O14" t="inlineStr">
        <is>
          <t>Not Yet Run</t>
        </is>
      </c>
      <c r="R14" t="inlineStr">
        <is>
          <t>0%</t>
        </is>
      </c>
    </row>
    <row r="15" ht="30" customHeight="1">
      <c r="A15" s="7" t="inlineStr">
        <is>
          <t>I-011</t>
        </is>
      </c>
      <c r="B15" s="5" t="inlineStr">
        <is>
          <t>Build / CI</t>
        </is>
      </c>
      <c r="C15" s="6" t="inlineStr">
        <is>
          <t>57</t>
        </is>
      </c>
      <c r="D15" s="5" t="inlineStr">
        <is>
          <t>CI runtime budget (build + tests &lt; 5 min)</t>
        </is>
      </c>
      <c r="E15" s="5" t="inlineStr">
        <is>
          <t>1. Measure CI duration
2. Verify under budget</t>
        </is>
      </c>
      <c r="F15" s="5" t="inlineStr">
        <is>
          <t>CI fast</t>
        </is>
      </c>
      <c r="G15" s="6" t="inlineStr">
        <is>
          <t>P5</t>
        </is>
      </c>
      <c r="H15" s="6" t="inlineStr">
        <is>
          <t>Minor</t>
        </is>
      </c>
      <c r="I15" s="6" t="inlineStr">
        <is>
          <t>Auto</t>
        </is>
      </c>
      <c r="J15" s="5" t="inlineStr">
        <is>
          <t>No automated check today — manual only.</t>
        </is>
      </c>
      <c r="L15" t="inlineStr">
        <is>
          <t>Data engineer</t>
        </is>
      </c>
      <c r="O15" t="inlineStr">
        <is>
          <t>Not Yet Run</t>
        </is>
      </c>
      <c r="R15" t="inlineStr">
        <is>
          <t>0%</t>
        </is>
      </c>
    </row>
    <row r="16" ht="30" customHeight="1">
      <c r="A16" s="7" t="inlineStr">
        <is>
          <t>I-012</t>
        </is>
      </c>
      <c r="B16" s="5" t="inlineStr">
        <is>
          <t>Versioning</t>
        </is>
      </c>
      <c r="C16" s="6" t="inlineStr">
        <is>
          <t>55</t>
        </is>
      </c>
      <c r="D16" s="5" t="inlineStr">
        <is>
          <t>Audit-coverage doc dated correctly + reflecting current commit</t>
        </is>
      </c>
      <c r="E16" s="5" t="inlineStr">
        <is>
          <t>1. Open AUDIT-COVERAGE-YYYY-MM-DD.md
2. Verify date matches last data-change commit</t>
        </is>
      </c>
      <c r="F16" s="5" t="inlineStr">
        <is>
          <t>Coverage doc current</t>
        </is>
      </c>
      <c r="G16" s="6" t="inlineStr">
        <is>
          <t>P4</t>
        </is>
      </c>
      <c r="H16" s="6" t="inlineStr">
        <is>
          <t>Minor</t>
        </is>
      </c>
      <c r="I16" s="6" t="inlineStr">
        <is>
          <t>Manual</t>
        </is>
      </c>
      <c r="J16" s="5" t="inlineStr">
        <is>
          <t>Data-engineering check; complements JA-82 (`_meta` resolution). No automated check beyond JA-82 today.</t>
        </is>
      </c>
      <c r="L16" t="inlineStr">
        <is>
          <t>Data engineer</t>
        </is>
      </c>
      <c r="O16" t="inlineStr">
        <is>
          <t>Not Yet Run</t>
        </is>
      </c>
      <c r="R16" t="inlineStr">
        <is>
          <t>0%</t>
        </is>
      </c>
    </row>
    <row r="17">
      <c r="A17" s="26" t="inlineStr">
        <is>
          <t>I-016</t>
        </is>
      </c>
      <c r="B17" s="26" t="inlineStr">
        <is>
          <t>Restore drill</t>
        </is>
      </c>
      <c r="C17" s="26" t="inlineStr">
        <is>
          <t>2</t>
        </is>
      </c>
      <c r="D17" s="26" t="inlineStr">
        <is>
          <t>Restore drill — corrupt or wipe localStorage / IndexedDB, verify recovery / non-fatality</t>
        </is>
      </c>
      <c r="E17" s="26" t="inlineStr">
        <is>
          <t>1. From an installed session with prior progress, manually corrupt localStorage in DevTools.
2. Reload app.
3. Verify: (a) app launches without crash; (b) corrupted state is detected and reset; (c) user is informed once; (d) no further interruption.</t>
        </is>
      </c>
      <c r="F17" s="26" t="inlineStr">
        <is>
          <t>App recovers gracefully; corruption is detected and reset; user sees a one-time notice.</t>
        </is>
      </c>
      <c r="G17" s="26" t="inlineStr">
        <is>
          <t>P3</t>
        </is>
      </c>
      <c r="H17" s="26" t="inlineStr">
        <is>
          <t>Major</t>
        </is>
      </c>
      <c r="I17" s="26" t="inlineStr">
        <is>
          <t>Manual</t>
        </is>
      </c>
      <c r="J17" s="26" t="inlineStr">
        <is>
          <t>[BUG-032 new] Coverage gap. Same class as service-worker stale-cache recovery.</t>
        </is>
      </c>
      <c r="K17" s="26" t="inlineStr"/>
      <c r="L17" s="26" t="inlineStr">
        <is>
          <t>Data engineer + QA tester</t>
        </is>
      </c>
      <c r="M17" s="26" t="inlineStr">
        <is>
          <t>Browser DevTools + manual interaction</t>
        </is>
      </c>
      <c r="N17" s="26" t="n"/>
      <c r="O17" s="26" t="inlineStr">
        <is>
          <t>Not Yet Run</t>
        </is>
      </c>
      <c r="P17" s="26" t="n"/>
      <c r="Q17" s="26" t="n"/>
      <c r="R17" s="26"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17" text="Medium-High">
      <formula>NOT(ISERROR(SEARCH("Medium-High",G5)))</formula>
    </cfRule>
    <cfRule type="containsText" priority="3" operator="containsText" dxfId="31" text="Low-Medium">
      <formula>NOT(ISERROR(SEARCH("Low-Medium",G5)))</formula>
    </cfRule>
    <cfRule type="containsText" priority="4" operator="containsText" dxfId="4" text="High">
      <formula>NOT(ISERROR(SEARCH("High",G5)))</formula>
    </cfRule>
    <cfRule type="containsText" priority="5" operator="containsText" dxfId="3" text="Medium">
      <formula>NOT(ISERROR(SEARCH("Medium",G5)))</formula>
    </cfRule>
    <cfRule type="containsText" priority="6" operator="containsText" dxfId="2" text="Low">
      <formula>NOT(ISERROR(SEARCH("Low",G5)))</formula>
    </cfRule>
    <cfRule type="containsText" priority="7" operator="containsText" dxfId="5" text="P1">
      <formula>NOT(ISERROR(SEARCH("P1",G5)))</formula>
    </cfRule>
    <cfRule type="containsText" priority="8" operator="containsText" dxfId="4" text="P2">
      <formula>NOT(ISERROR(SEARCH("P2",G5)))</formula>
    </cfRule>
    <cfRule type="containsText" priority="9" operator="containsText" dxfId="3" text="P3">
      <formula>NOT(ISERROR(SEARCH("P3",G5)))</formula>
    </cfRule>
    <cfRule type="containsText" priority="10" operator="containsText" dxfId="2" text="P4">
      <formula>NOT(ISERROR(SEARCH("P4",G5)))</formula>
    </cfRule>
    <cfRule type="containsText" priority="11" operator="containsText" dxfId="1" text="P5">
      <formula>NOT(ISERROR(SEARCH("P5",G5)))</formula>
    </cfRule>
  </conditionalFormatting>
  <conditionalFormatting sqref="H5:H16">
    <cfRule type="containsText" priority="12" operator="containsText" dxfId="5" text="Critical">
      <formula>NOT(ISERROR(SEARCH("Critical",H5)))</formula>
    </cfRule>
    <cfRule type="containsText" priority="13" operator="containsText" dxfId="4" text="Major">
      <formula>NOT(ISERROR(SEARCH("Major",H5)))</formula>
    </cfRule>
    <cfRule type="containsText" priority="14" operator="containsText" dxfId="3" text="Minor">
      <formula>NOT(ISERROR(SEARCH("Minor",H5)))</formula>
    </cfRule>
  </conditionalFormatting>
  <conditionalFormatting sqref="I5:I16">
    <cfRule type="containsText" priority="15" operator="containsText" dxfId="18" text="Auto+Manual">
      <formula>NOT(ISERROR(SEARCH("Auto+Manual",I5)))</formula>
    </cfRule>
    <cfRule type="containsText" priority="16" operator="containsText" dxfId="18" text="Hybrid">
      <formula>NOT(ISERROR(SEARCH("Hybrid",I5)))</formula>
    </cfRule>
    <cfRule type="containsText" priority="17" operator="containsText" dxfId="17"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min="1" max="1"/>
    <col width="19.08984375" customWidth="1" min="2" max="2"/>
    <col width="9.08984375" customWidth="1" min="3" max="3"/>
    <col width="43.6328125" customWidth="1" min="4" max="4"/>
    <col width="50.90625" customWidth="1" min="5" max="5"/>
    <col width="40" customWidth="1" min="6" max="6"/>
    <col width="14.54296875" customWidth="1" min="7" max="7"/>
    <col width="16.36328125" customWidth="1" min="8" max="8"/>
    <col width="14.54296875" customWidth="1" min="9" max="9"/>
    <col width="32.7265625" customWidth="1" min="10" max="10"/>
    <col width="16" customWidth="1" min="11" max="11"/>
    <col width="24" customWidth="1" min="12" max="12"/>
    <col width="32" customWidth="1" min="13" max="13"/>
    <col width="14" customWidth="1" min="14" max="14"/>
    <col width="14" customWidth="1" min="15" max="15"/>
    <col width="18" customWidth="1" min="16" max="16"/>
    <col width="16" customWidth="1" min="17" max="17"/>
    <col width="12" customWidth="1" min="18" max="18"/>
  </cols>
  <sheetData>
    <row r="1" ht="28" customHeight="1">
      <c r="A1" s="9" t="inlineStr">
        <is>
          <t>J. Pedagogy</t>
        </is>
      </c>
    </row>
    <row r="2" ht="36" customHeight="1">
      <c r="A2" s="10" t="inlineStr">
        <is>
          <t>Perspectives: SLA researcher, SRS algorithm, curriculum designer, assessment validity, comparative pedagogy, HI-L1 error anticipation (perspectives 58-63)</t>
        </is>
      </c>
    </row>
    <row r="4" ht="24" customHeight="1">
      <c r="A4" s="12" t="inlineStr">
        <is>
          <t>ID</t>
        </is>
      </c>
      <c r="B4" s="12" t="inlineStr">
        <is>
          <t>Sub-category</t>
        </is>
      </c>
      <c r="C4" s="12" t="inlineStr">
        <is>
          <t>Persp #</t>
        </is>
      </c>
      <c r="D4" s="12" t="inlineStr">
        <is>
          <t>Scenario</t>
        </is>
      </c>
      <c r="E4" s="12" t="inlineStr">
        <is>
          <t>Test steps</t>
        </is>
      </c>
      <c r="F4" s="12" t="inlineStr">
        <is>
          <t>Expected result</t>
        </is>
      </c>
      <c r="G4" s="12" t="inlineStr">
        <is>
          <t>Priority</t>
        </is>
      </c>
      <c r="H4" s="12" t="inlineStr">
        <is>
          <t>Severity if fails</t>
        </is>
      </c>
      <c r="I4" s="12" t="inlineStr">
        <is>
          <t>Test type</t>
        </is>
      </c>
      <c r="J4" s="12" t="inlineStr">
        <is>
          <t>Notes</t>
        </is>
      </c>
      <c r="K4" s="25" t="inlineStr">
        <is>
          <t>Estimated effort</t>
        </is>
      </c>
      <c r="L4" s="25" t="inlineStr">
        <is>
          <t>Owner / role</t>
        </is>
      </c>
      <c r="M4" s="25" t="inlineStr">
        <is>
          <t>Tools / scripts required</t>
        </is>
      </c>
      <c r="N4" s="25" t="inlineStr">
        <is>
          <t>Last run date</t>
        </is>
      </c>
      <c r="O4" s="25" t="inlineStr">
        <is>
          <t>Last run result</t>
        </is>
      </c>
      <c r="P4" s="25" t="inlineStr">
        <is>
          <t>Tracker link</t>
        </is>
      </c>
      <c r="Q4" s="25" t="inlineStr">
        <is>
          <t>Depends on</t>
        </is>
      </c>
      <c r="R4" s="25" t="inlineStr">
        <is>
          <t>Coverage %</t>
        </is>
      </c>
    </row>
    <row r="5" ht="38" customHeight="1">
      <c r="A5" s="7" t="inlineStr">
        <is>
          <t>J-001</t>
        </is>
      </c>
      <c r="B5" s="5" t="inlineStr">
        <is>
          <t>SLA</t>
        </is>
      </c>
      <c r="C5" s="6" t="inlineStr">
        <is>
          <t>58</t>
        </is>
      </c>
      <c r="D5" s="5" t="inlineStr">
        <is>
          <t>Curriculum dependency graph: ≥80% of vocab used in lesson L's example sentences must appear in lessons ≤L</t>
        </is>
      </c>
      <c r="E5" s="5"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5" t="inlineStr">
        <is>
          <t>≥80% known-vocab fraction per lesson; lessons below threshold flagged for example rewrite or vocab reordering.</t>
        </is>
      </c>
      <c r="G5" s="6" t="inlineStr">
        <is>
          <t>P3</t>
        </is>
      </c>
      <c r="H5" s="6" t="inlineStr">
        <is>
          <t>Major</t>
        </is>
      </c>
      <c r="I5" s="6" t="inlineStr">
        <is>
          <t>Auto</t>
        </is>
      </c>
      <c r="J5" s="5"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L5" t="inlineStr">
        <is>
          <t>SLA pedagogy researcher</t>
        </is>
      </c>
      <c r="M5" t="inlineStr">
        <is>
          <t>Custom Python (curriculum-graph + token-membership check)</t>
        </is>
      </c>
      <c r="O5" t="inlineStr">
        <is>
          <t>Not Yet Run</t>
        </is>
      </c>
      <c r="R5" t="inlineStr">
        <is>
          <t>0%</t>
        </is>
      </c>
    </row>
    <row r="6" ht="30" customHeight="1">
      <c r="A6" s="7" t="inlineStr">
        <is>
          <t>J-002</t>
        </is>
      </c>
      <c r="B6" s="5" t="inlineStr">
        <is>
          <t>SLA</t>
        </is>
      </c>
      <c r="C6" s="6" t="inlineStr">
        <is>
          <t>58</t>
        </is>
      </c>
      <c r="D6" s="5" t="inlineStr">
        <is>
          <t>Output-hypothesis adherence: each lesson has ≥1 production drill prompting the learner to use the new pattern</t>
        </is>
      </c>
      <c r="E6" s="5" t="inlineStr">
        <is>
          <t>1. For each grammar pattern P, check whether drills_auto.json has ≥1 production-type drill referencing P.id.
2. Output: list of patterns lacking production drills.
3. Pass: every core_n5 pattern has ≥1 production drill.</t>
        </is>
      </c>
      <c r="F6" s="5" t="inlineStr">
        <is>
          <t>0 core_n5 patterns lacking production drills.</t>
        </is>
      </c>
      <c r="G6" s="6" t="inlineStr">
        <is>
          <t>P3</t>
        </is>
      </c>
      <c r="H6" s="6" t="inlineStr">
        <is>
          <t>Major</t>
        </is>
      </c>
      <c r="I6" s="6" t="inlineStr">
        <is>
          <t>Auto</t>
        </is>
      </c>
      <c r="J6" s="5" t="inlineStr">
        <is>
          <t>No automated check today — manual only. | [BUG-033 rewrite] Rewritten from research-question form to testable item with deterministic input + pass criterion.</t>
        </is>
      </c>
      <c r="L6" t="inlineStr">
        <is>
          <t>SLA pedagogy researcher</t>
        </is>
      </c>
      <c r="M6" t="inlineStr">
        <is>
          <t>tools/check_content_integrity.py (extend or new check)</t>
        </is>
      </c>
      <c r="O6" t="inlineStr">
        <is>
          <t>Not Yet Run</t>
        </is>
      </c>
      <c r="R6" t="inlineStr">
        <is>
          <t>0%</t>
        </is>
      </c>
    </row>
    <row r="7" ht="33" customHeight="1">
      <c r="A7" s="7" t="inlineStr">
        <is>
          <t>J-003</t>
        </is>
      </c>
      <c r="B7" s="5" t="inlineStr">
        <is>
          <t>SLA</t>
        </is>
      </c>
      <c r="C7" s="6" t="inlineStr">
        <is>
          <t>58</t>
        </is>
      </c>
      <c r="D7" s="5" t="inlineStr">
        <is>
          <t>Spaced-repetition interval validation: SRS algorithm produces intervals within ±20% of SuperMemo SM-2 reference</t>
        </is>
      </c>
      <c r="E7" s="5" t="inlineStr">
        <is>
          <t>1. Simulate 100-card SRS trajectories with synthetic Pass/Fail sequences.
2. Compare interval growth against SM-2 reference (1-day → 3 → 7 → 14 → 30 → 90 days, with quality scaling).
3. Report any interval deviating &gt;20% from reference.</t>
        </is>
      </c>
      <c r="F7" s="5" t="inlineStr">
        <is>
          <t>100% of intervals within ±20% of SM-2 reference at quality=4 (good recall).</t>
        </is>
      </c>
      <c r="G7" s="6" t="inlineStr">
        <is>
          <t>P5</t>
        </is>
      </c>
      <c r="H7" s="6" t="inlineStr">
        <is>
          <t>Minor</t>
        </is>
      </c>
      <c r="I7" s="6" t="inlineStr">
        <is>
          <t>Auto</t>
        </is>
      </c>
      <c r="J7" s="5" t="inlineStr">
        <is>
          <t>No automated check today — manual only. | [BUG-033 rewrite] Rewritten from research-question form to testable item with deterministic input + pass criterion.</t>
        </is>
      </c>
      <c r="L7" t="inlineStr">
        <is>
          <t>SLA pedagogy researcher</t>
        </is>
      </c>
      <c r="M7" t="inlineStr">
        <is>
          <t>Custom Python (SRS trajectory simulation)</t>
        </is>
      </c>
      <c r="O7" t="inlineStr">
        <is>
          <t>Not Yet Run</t>
        </is>
      </c>
      <c r="R7" t="inlineStr">
        <is>
          <t>0%</t>
        </is>
      </c>
    </row>
    <row r="8" ht="30" customHeight="1">
      <c r="A8" s="7" t="inlineStr">
        <is>
          <t>J-004</t>
        </is>
      </c>
      <c r="B8" s="5" t="inlineStr">
        <is>
          <t>SRS</t>
        </is>
      </c>
      <c r="C8" s="6" t="inlineStr">
        <is>
          <t>59</t>
        </is>
      </c>
      <c r="D8" s="5" t="inlineStr">
        <is>
          <t>Lesson-to-test alignment: every test item ID in questions.json references a vocab/grammar item from a lesson ≤ the test's target lesson</t>
        </is>
      </c>
      <c r="E8" s="5" t="inlineStr">
        <is>
          <t>1. For each test item, look up the referenced vocab/grammar IDs.
2. Verify each is from a lesson ≤ test target lesson.
3. Flag any out-of-sequence references.</t>
        </is>
      </c>
      <c r="F8" s="5" t="inlineStr">
        <is>
          <t>0 test items reference items from later lessons.</t>
        </is>
      </c>
      <c r="G8" s="6" t="inlineStr">
        <is>
          <t>P3</t>
        </is>
      </c>
      <c r="H8" s="6" t="inlineStr">
        <is>
          <t>Major</t>
        </is>
      </c>
      <c r="I8" s="6" t="inlineStr">
        <is>
          <t>Auto</t>
        </is>
      </c>
      <c r="J8" s="5" t="inlineStr">
        <is>
          <t>No automated check today — manual only. | [BUG-033 rewrite] Rewritten from research-question form to testable item with deterministic input + pass criterion.</t>
        </is>
      </c>
      <c r="L8" t="inlineStr">
        <is>
          <t>SLA pedagogy researcher</t>
        </is>
      </c>
      <c r="M8" t="inlineStr">
        <is>
          <t>tools/check_content_integrity.py (new check)</t>
        </is>
      </c>
      <c r="O8" t="inlineStr">
        <is>
          <t>Not Yet Run</t>
        </is>
      </c>
      <c r="R8" t="inlineStr">
        <is>
          <t>0%</t>
        </is>
      </c>
    </row>
    <row r="9" ht="30" customHeight="1">
      <c r="A9" s="7" t="inlineStr">
        <is>
          <t>J-005</t>
        </is>
      </c>
      <c r="B9" s="5" t="inlineStr">
        <is>
          <t>SRS</t>
        </is>
      </c>
      <c r="C9" s="6" t="inlineStr">
        <is>
          <t>59</t>
        </is>
      </c>
      <c r="D9" s="5" t="inlineStr">
        <is>
          <t>Distractor cognitive load: MCQ distractors are not so close to the correct answer that the test becomes a recognition test rather than a recall test</t>
        </is>
      </c>
      <c r="E9" s="5" t="inlineStr">
        <is>
          <t>1. For each MCQ, compute Levenshtein distance between correct answer and each distractor.
2. Flag MCQs where all 3 distractors have Lev ≤1 from correct (likely too close).
3. Manual review of flagged items by JLPT exam expert.</t>
        </is>
      </c>
      <c r="F9" s="5" t="inlineStr">
        <is>
          <t>&lt;5% of MCQs flagged with all-distractors-too-close.</t>
        </is>
      </c>
      <c r="G9" s="6" t="inlineStr">
        <is>
          <t>P3</t>
        </is>
      </c>
      <c r="H9" s="6" t="inlineStr">
        <is>
          <t>Major</t>
        </is>
      </c>
      <c r="I9" s="6" t="inlineStr">
        <is>
          <t>Auto+Manual</t>
        </is>
      </c>
      <c r="J9" s="5" t="inlineStr">
        <is>
          <t>No automated check today — manual only. | [BUG-033 rewrite] Rewritten from research-question form to testable item with deterministic input + pass criterion.</t>
        </is>
      </c>
      <c r="L9" t="inlineStr">
        <is>
          <t>SLA pedagogy researcher</t>
        </is>
      </c>
      <c r="M9" t="inlineStr">
        <is>
          <t>Custom Python (Lev distance) + manual review</t>
        </is>
      </c>
      <c r="O9" t="inlineStr">
        <is>
          <t>Not Yet Run</t>
        </is>
      </c>
      <c r="R9" t="inlineStr">
        <is>
          <t>0%</t>
        </is>
      </c>
    </row>
    <row r="10" ht="30" customHeight="1">
      <c r="A10" s="7" t="inlineStr">
        <is>
          <t>J-006</t>
        </is>
      </c>
      <c r="B10" s="5" t="inlineStr">
        <is>
          <t>SRS</t>
        </is>
      </c>
      <c r="C10" s="6" t="inlineStr">
        <is>
          <t>59</t>
        </is>
      </c>
      <c r="D10" s="5" t="inlineStr">
        <is>
          <t>Productive-vs-receptive balance: total drill count is ≥30% production (output) drills, not just MCQ (recognition)</t>
        </is>
      </c>
      <c r="E10" s="5" t="inlineStr">
        <is>
          <t>1. Count drills by type in drills_auto.json + questions.json.
2. Compute production-drill share.
3. Pass: ≥30%.</t>
        </is>
      </c>
      <c r="F10" s="5" t="inlineStr">
        <is>
          <t>Production-drill share ≥30% of total drills.</t>
        </is>
      </c>
      <c r="G10" s="6" t="inlineStr">
        <is>
          <t>P4</t>
        </is>
      </c>
      <c r="H10" s="6" t="inlineStr">
        <is>
          <t>Minor</t>
        </is>
      </c>
      <c r="I10" s="6" t="inlineStr">
        <is>
          <t>Auto</t>
        </is>
      </c>
      <c r="J10" s="5" t="inlineStr">
        <is>
          <t>No automated check today — manual only. | [BUG-033 rewrite] Rewritten from research-question form to testable item with deterministic input + pass criterion.</t>
        </is>
      </c>
      <c r="L10" t="inlineStr">
        <is>
          <t>SLA pedagogy researcher</t>
        </is>
      </c>
      <c r="M10" t="inlineStr">
        <is>
          <t>Custom Python (drill-type tally)</t>
        </is>
      </c>
      <c r="O10" t="inlineStr">
        <is>
          <t>Not Yet Run</t>
        </is>
      </c>
      <c r="R10" t="inlineStr">
        <is>
          <t>0%</t>
        </is>
      </c>
    </row>
    <row r="11" ht="30" customHeight="1">
      <c r="A11" s="7" t="inlineStr">
        <is>
          <t>J-007</t>
        </is>
      </c>
      <c r="B11" s="5" t="inlineStr">
        <is>
          <t>Curriculum</t>
        </is>
      </c>
      <c r="C11" s="6" t="inlineStr">
        <is>
          <t>60</t>
        </is>
      </c>
      <c r="D11" s="5" t="inlineStr">
        <is>
          <t>Mnemonic coverage: ≥80% of kanji.json entries have a non-trivial mnemonic field</t>
        </is>
      </c>
      <c r="E11" s="5" t="inlineStr">
        <is>
          <t>1. For each kanji, check mnemonic.en or mnemonic.hi length ≥30 chars.
2. Compute coverage.
3. Pass: ≥80%.</t>
        </is>
      </c>
      <c r="F11" s="5" t="inlineStr">
        <is>
          <t>≥80% of 106 kanji have a non-trivial mnemonic.</t>
        </is>
      </c>
      <c r="G11" s="6" t="inlineStr">
        <is>
          <t>P3</t>
        </is>
      </c>
      <c r="H11" s="6" t="inlineStr">
        <is>
          <t>Major</t>
        </is>
      </c>
      <c r="I11" s="6" t="inlineStr">
        <is>
          <t>Auto</t>
        </is>
      </c>
      <c r="J11" s="5" t="inlineStr">
        <is>
          <t>No automated check today — manual only. | [BUG-033 rewrite] Rewritten from research-question form to testable item with deterministic input + pass criterion.</t>
        </is>
      </c>
      <c r="L11" t="inlineStr">
        <is>
          <t>SLA pedagogy researcher</t>
        </is>
      </c>
      <c r="M11" t="inlineStr">
        <is>
          <t>Custom Python</t>
        </is>
      </c>
      <c r="O11" t="inlineStr">
        <is>
          <t>Not Yet Run</t>
        </is>
      </c>
      <c r="R11" t="inlineStr">
        <is>
          <t>0%</t>
        </is>
      </c>
    </row>
    <row r="12" ht="31" customHeight="1">
      <c r="A12" s="7" t="inlineStr">
        <is>
          <t>J-008</t>
        </is>
      </c>
      <c r="B12" s="5" t="inlineStr">
        <is>
          <t>Curriculum</t>
        </is>
      </c>
      <c r="C12" s="6" t="inlineStr">
        <is>
          <t>60</t>
        </is>
      </c>
      <c r="D12" s="5" t="inlineStr">
        <is>
          <t>Hindi-L1 transfer-error coverage: common HI-L1 errors (postposition mapping, word order) have explicit common_mistakes entries</t>
        </is>
      </c>
      <c r="E12" s="5" t="inlineStr">
        <is>
          <t>1. Reference list of HI-L1 transfer errors (postposition mapping: का → が/に/で; से → から/で/に; को → を/に).
2. For each, verify ≥1 common_mistakes entry across grammar.json catches it.
3. Report uncovered transfer errors.</t>
        </is>
      </c>
      <c r="F12" s="5" t="inlineStr">
        <is>
          <t>All 10 documented HI-L1 transfer-error classes have ≥1 catching common_mistakes entry.</t>
        </is>
      </c>
      <c r="G12" s="6" t="inlineStr">
        <is>
          <t>P3</t>
        </is>
      </c>
      <c r="H12" s="6" t="inlineStr">
        <is>
          <t>Major</t>
        </is>
      </c>
      <c r="I12" s="6" t="inlineStr">
        <is>
          <t>Auto</t>
        </is>
      </c>
      <c r="J12" s="5" t="inlineStr">
        <is>
          <t>No automated check today — manual only. | [BUG-033 rewrite] Rewritten from research-question form to testable item with deterministic input + pass criterion.</t>
        </is>
      </c>
      <c r="L12" t="inlineStr">
        <is>
          <t>SLA pedagogy researcher</t>
        </is>
      </c>
      <c r="M12" t="inlineStr">
        <is>
          <t>Custom Python (grep grammar.json common_mistakes for transfer-error keywords)</t>
        </is>
      </c>
      <c r="O12" t="inlineStr">
        <is>
          <t>Not Yet Run</t>
        </is>
      </c>
      <c r="R12" t="inlineStr">
        <is>
          <t>0%</t>
        </is>
      </c>
    </row>
    <row r="13" ht="36" customHeight="1">
      <c r="A13" s="7" t="inlineStr">
        <is>
          <t>J-009</t>
        </is>
      </c>
      <c r="B13" s="5" t="inlineStr">
        <is>
          <t>Curriculum</t>
        </is>
      </c>
      <c r="C13" s="6" t="inlineStr">
        <is>
          <t>60</t>
        </is>
      </c>
      <c r="D13" s="5" t="inlineStr">
        <is>
          <t>Spiral-review density: every kanji introduced in lesson L appears in ≥3 examples in lessons L+1..L+10</t>
        </is>
      </c>
      <c r="E13" s="5" t="inlineStr">
        <is>
          <t>1. For each kanji, find introduction lesson L.
2. Count example appearances in lessons L+1..L+10.
3. Pass: ≥3.</t>
        </is>
      </c>
      <c r="F13" s="5" t="inlineStr">
        <is>
          <t>≥95% of kanji have ≥3 spiral-review appearances; report exceptions.</t>
        </is>
      </c>
      <c r="G13" s="6" t="inlineStr">
        <is>
          <t>P3</t>
        </is>
      </c>
      <c r="H13" s="6" t="inlineStr">
        <is>
          <t>Major</t>
        </is>
      </c>
      <c r="I13" s="6" t="inlineStr">
        <is>
          <t>Auto</t>
        </is>
      </c>
      <c r="J13" s="5" t="inlineStr">
        <is>
          <t>No automated check today — manual only. | [BUG-033 rewrite] Rewritten from research-question form to testable item with deterministic input + pass criterion.</t>
        </is>
      </c>
      <c r="L13" t="inlineStr">
        <is>
          <t>SLA pedagogy researcher</t>
        </is>
      </c>
      <c r="M13" t="inlineStr">
        <is>
          <t>Custom Python (kanji × lesson grid)</t>
        </is>
      </c>
      <c r="O13" t="inlineStr">
        <is>
          <t>Not Yet Run</t>
        </is>
      </c>
      <c r="R13" t="inlineStr">
        <is>
          <t>0%</t>
        </is>
      </c>
    </row>
    <row r="14" ht="30" customHeight="1">
      <c r="A14" s="7" t="inlineStr">
        <is>
          <t>J-010</t>
        </is>
      </c>
      <c r="B14" s="5" t="inlineStr">
        <is>
          <t>Assessment</t>
        </is>
      </c>
      <c r="C14" s="6" t="inlineStr">
        <is>
          <t>61</t>
        </is>
      </c>
      <c r="D14" s="5" t="inlineStr">
        <is>
          <t>Lesson-completion time budget: each lesson takes 30–60 min for a HI-L1 learner; measured by content volume × reading speed</t>
        </is>
      </c>
      <c r="E14" s="5" t="inlineStr">
        <is>
          <t>1. Compute reading-time estimate per lesson: words / reading-speed-WPM × 60.
2. Add audio-listen time (audio duration) + drill time (15 min default).
3. Pass: 30 ≤ total ≤ 60 min per lesson.</t>
        </is>
      </c>
      <c r="F14" s="5" t="inlineStr">
        <is>
          <t>All lessons within [30, 60] min estimate; outliers flagged for content trim or split.</t>
        </is>
      </c>
      <c r="G14" s="6" t="inlineStr">
        <is>
          <t>P4</t>
        </is>
      </c>
      <c r="H14" s="6" t="inlineStr">
        <is>
          <t>Major</t>
        </is>
      </c>
      <c r="I14" s="6" t="inlineStr">
        <is>
          <t>Auto</t>
        </is>
      </c>
      <c r="J14" s="5" t="inlineStr">
        <is>
          <t>No automated check today — manual only. | [BUG-033 rewrite] Rewritten from research-question form to testable item with deterministic input + pass criterion.</t>
        </is>
      </c>
      <c r="L14" t="inlineStr">
        <is>
          <t>SLA pedagogy researcher</t>
        </is>
      </c>
      <c r="M14" t="inlineStr">
        <is>
          <t>Custom Python (lesson-budget calc)</t>
        </is>
      </c>
      <c r="O14" t="inlineStr">
        <is>
          <t>Not Yet Run</t>
        </is>
      </c>
      <c r="R14" t="inlineStr">
        <is>
          <t>0%</t>
        </is>
      </c>
    </row>
    <row r="15" ht="35" customHeight="1">
      <c r="A15" s="7" t="inlineStr">
        <is>
          <t>J-011</t>
        </is>
      </c>
      <c r="B15" s="5" t="inlineStr">
        <is>
          <t>Assessment</t>
        </is>
      </c>
      <c r="C15" s="6" t="inlineStr">
        <is>
          <t>61</t>
        </is>
      </c>
      <c r="D15" s="5" t="inlineStr">
        <is>
          <t>Difficulty progression monotonicity: lesson N is no easier than lesson N-1 by a measurable proxy (vocab frequency-rank floor, kanji-stroke-count avg)</t>
        </is>
      </c>
      <c r="E15" s="5" t="inlineStr">
        <is>
          <t>1. Compute per-lesson: median vocab freq-rank, mean kanji stroke count, mean grammar-pattern complexity.
2. Verify monotonic non-decreasing trend across lesson order.
3. Flag inversions for re-ordering.</t>
        </is>
      </c>
      <c r="F15" s="5" t="inlineStr">
        <is>
          <t>0 lesson inversions in any proxy.</t>
        </is>
      </c>
      <c r="G15" s="6" t="inlineStr">
        <is>
          <t>P4</t>
        </is>
      </c>
      <c r="H15" s="6" t="inlineStr">
        <is>
          <t>Major</t>
        </is>
      </c>
      <c r="I15" s="6" t="inlineStr">
        <is>
          <t>Auto</t>
        </is>
      </c>
      <c r="J15" s="5" t="inlineStr">
        <is>
          <t>No automated check today — manual only. | [BUG-033 rewrite] Rewritten from research-question form to testable item with deterministic input + pass criterion.</t>
        </is>
      </c>
      <c r="L15" t="inlineStr">
        <is>
          <t>SLA pedagogy researcher</t>
        </is>
      </c>
      <c r="M15" t="inlineStr">
        <is>
          <t>Custom Python (difficulty-progression check)</t>
        </is>
      </c>
      <c r="O15" t="inlineStr">
        <is>
          <t>Not Yet Run</t>
        </is>
      </c>
      <c r="R15" t="inlineStr">
        <is>
          <t>0%</t>
        </is>
      </c>
    </row>
    <row r="16" ht="30" customHeight="1">
      <c r="A16" s="7" t="inlineStr">
        <is>
          <t>J-012</t>
        </is>
      </c>
      <c r="B16" s="5" t="inlineStr">
        <is>
          <t>Comparative</t>
        </is>
      </c>
      <c r="C16" s="6" t="inlineStr">
        <is>
          <t>62</t>
        </is>
      </c>
      <c r="D16" s="5" t="inlineStr">
        <is>
          <t>Authentic-input ratio: ≥15% of reading + listening content is from authentic sources (signs, menus, announcements) vs constructed</t>
        </is>
      </c>
      <c r="E16" s="5" t="inlineStr">
        <is>
          <t>1. Count authentic.json entries by provenance.
2. Compute share of total reading + listening content.
3. Pass: ≥15%.</t>
        </is>
      </c>
      <c r="F16" s="5" t="inlineStr">
        <is>
          <t>≥15% authentic-input share.</t>
        </is>
      </c>
      <c r="G16" s="6" t="inlineStr">
        <is>
          <t>P4</t>
        </is>
      </c>
      <c r="H16" s="6" t="inlineStr">
        <is>
          <t>Minor</t>
        </is>
      </c>
      <c r="I16" s="6" t="inlineStr">
        <is>
          <t>Auto</t>
        </is>
      </c>
      <c r="J16" s="5" t="inlineStr">
        <is>
          <t>No automated check today — manual only. | [BUG-033 rewrite] Rewritten from research-question form to testable item with deterministic input + pass criterion.</t>
        </is>
      </c>
      <c r="L16" t="inlineStr">
        <is>
          <t>SLA pedagogy researcher</t>
        </is>
      </c>
      <c r="M16" t="inlineStr">
        <is>
          <t>Custom Python</t>
        </is>
      </c>
      <c r="O16" t="inlineStr">
        <is>
          <t>Not Yet Run</t>
        </is>
      </c>
      <c r="R16" t="inlineStr">
        <is>
          <t>0%</t>
        </is>
      </c>
    </row>
    <row r="17" ht="30" customHeight="1">
      <c r="A17" s="7" t="inlineStr">
        <is>
          <t>J-013</t>
        </is>
      </c>
      <c r="B17" s="5" t="inlineStr">
        <is>
          <t>Comparative</t>
        </is>
      </c>
      <c r="C17" s="6" t="inlineStr">
        <is>
          <t>62</t>
        </is>
      </c>
      <c r="D17" s="5" t="inlineStr">
        <is>
          <t>Cultural-context attachment: every grammar pattern has a cultural_callout field; locked by JA-53</t>
        </is>
      </c>
      <c r="E17" s="5" t="inlineStr">
        <is>
          <t>1. JA-53 already enforces non-trivial cultural_callout on every grammar pattern.
2. Run python tools/check_content_integrity.py JA-53.
3. Pass: 0 violations.</t>
        </is>
      </c>
      <c r="F17" s="5" t="inlineStr">
        <is>
          <t>JA-53 PASS for all 178 grammar patterns.</t>
        </is>
      </c>
      <c r="G17" s="6" t="inlineStr">
        <is>
          <t>P4</t>
        </is>
      </c>
      <c r="H17" s="6" t="inlineStr">
        <is>
          <t>Minor</t>
        </is>
      </c>
      <c r="I17" s="6" t="inlineStr">
        <is>
          <t>Auto</t>
        </is>
      </c>
      <c r="J17" s="5" t="inlineStr">
        <is>
          <t>No automated check today — manual only. | [BUG-033 rewrite] Rewritten from research-question form to testable item with deterministic input + pass criterion.</t>
        </is>
      </c>
      <c r="L17" t="inlineStr">
        <is>
          <t>SLA pedagogy researcher</t>
        </is>
      </c>
      <c r="M17" t="inlineStr">
        <is>
          <t>tools/check_content_integrity.py (JA-53)</t>
        </is>
      </c>
      <c r="O17" t="inlineStr">
        <is>
          <t>Not Yet Run</t>
        </is>
      </c>
      <c r="R17" t="inlineStr">
        <is>
          <t>0%</t>
        </is>
      </c>
    </row>
    <row r="18" ht="36" customHeight="1">
      <c r="A18" s="7" t="inlineStr">
        <is>
          <t>J-014</t>
        </is>
      </c>
      <c r="B18" s="5" t="inlineStr">
        <is>
          <t>Hindi-L1 error anticipation</t>
        </is>
      </c>
      <c r="C18" s="6" t="inlineStr">
        <is>
          <t>63</t>
        </is>
      </c>
      <c r="D18" s="5" t="inlineStr">
        <is>
          <t>Postposition-mapping confusion coverage: 4 most-common HI-L1 → JA particle errors have explicit teaching entries</t>
        </is>
      </c>
      <c r="E18" s="5" t="inlineStr">
        <is>
          <t>1. Reference: HI का → JA が/の/に/で confusion; HI से → JA から/で/に; HI को → JA を/に; HI में → JA で/に.
2. For each, verify ≥1 grammar.json contrast entry covers it (cross-pattern explanation).
3. Report uncovered confusions.</t>
        </is>
      </c>
      <c r="F18" s="5" t="inlineStr">
        <is>
          <t>All 4 HI-L1 postposition-mapping confusions covered by ≥1 contrast entry.</t>
        </is>
      </c>
      <c r="G18" s="6" t="inlineStr">
        <is>
          <t>P5</t>
        </is>
      </c>
      <c r="H18" s="6" t="inlineStr">
        <is>
          <t>Minor</t>
        </is>
      </c>
      <c r="I18" s="6" t="inlineStr">
        <is>
          <t>Auto</t>
        </is>
      </c>
      <c r="J18" s="5" t="inlineStr">
        <is>
          <t>No automated check today — manual only. | [BUG-033 rewrite] Rewritten from research-question form to testable item with deterministic input + pass criterion.</t>
        </is>
      </c>
      <c r="L18" t="inlineStr">
        <is>
          <t>SLA pedagogy researcher</t>
        </is>
      </c>
      <c r="M18" t="inlineStr">
        <is>
          <t>Custom Python (grammar.json contrast scan)</t>
        </is>
      </c>
      <c r="O18" t="inlineStr">
        <is>
          <t>Not Yet Run</t>
        </is>
      </c>
      <c r="R18" t="inlineStr">
        <is>
          <t>0%</t>
        </is>
      </c>
    </row>
    <row r="19" ht="32" customHeight="1">
      <c r="A19" s="7" t="inlineStr">
        <is>
          <t>J-015</t>
        </is>
      </c>
      <c r="B19" s="5" t="inlineStr">
        <is>
          <t>Hindi-L1 error anticipation</t>
        </is>
      </c>
      <c r="C19" s="6" t="inlineStr">
        <is>
          <t>63</t>
        </is>
      </c>
      <c r="D19" s="5" t="inlineStr">
        <is>
          <t>Pedagogical progression vs Genki/Minna alignment: chapter order matches at least one canonical textbook within ±10% drift</t>
        </is>
      </c>
      <c r="E19" s="5" t="inlineStr">
        <is>
          <t>1. Reference: Genki I chapter order + Minna no Nihongo I chapter order for N5 content.
2. Compute Spearman correlation between our lesson_order and each reference.
3. Pass: correlation ≥0.9 with at least one reference.</t>
        </is>
      </c>
      <c r="F19" s="5" t="inlineStr">
        <is>
          <t>Spearman correlation ≥0.9 with Genki I OR Minna I chapter order.</t>
        </is>
      </c>
      <c r="G19" s="6" t="inlineStr">
        <is>
          <t>P5</t>
        </is>
      </c>
      <c r="H19" s="6" t="inlineStr">
        <is>
          <t>Minor</t>
        </is>
      </c>
      <c r="I19" s="6" t="inlineStr">
        <is>
          <t>Auto</t>
        </is>
      </c>
      <c r="J19" s="5" t="inlineStr">
        <is>
          <t>No automated check today — manual only. | [BUG-033 rewrite] Rewritten from research-question form to testable item with deterministic input + pass criterion.</t>
        </is>
      </c>
      <c r="L19" t="inlineStr">
        <is>
          <t>SLA pedagogy researcher</t>
        </is>
      </c>
      <c r="M19" t="inlineStr">
        <is>
          <t>Custom Python (rank-correlation)</t>
        </is>
      </c>
      <c r="O19" t="inlineStr">
        <is>
          <t>Not Yet Run</t>
        </is>
      </c>
      <c r="R19" t="inlineStr">
        <is>
          <t>0%</t>
        </is>
      </c>
    </row>
    <row r="20">
      <c r="A20" s="26" t="inlineStr">
        <is>
          <t>J-016</t>
        </is>
      </c>
      <c r="B20" s="26" t="inlineStr">
        <is>
          <t>Competitor benchmark</t>
        </is>
      </c>
      <c r="C20" s="26" t="inlineStr">
        <is>
          <t>3</t>
        </is>
      </c>
      <c r="D20" s="26" t="inlineStr">
        <is>
          <t>Pattern-level comparison against named competitors (Bunpro / Marumori / Renshuu) on the same grammar/vocab/kanji items</t>
        </is>
      </c>
      <c r="E20" s="26" t="inlineStr">
        <is>
          <t>1. Pick 20 representative grammar patterns + 20 vocab + 10 kanji.
2. For each, capture how 3 competitors teach it (screenshot or transcript).
3. Pedagogy reviewer scores ours vs theirs on clarity / accuracy / depth.
4. Report qualitative + diff.</t>
        </is>
      </c>
      <c r="F20" s="26" t="inlineStr">
        <is>
          <t>Median score across 50 items ≥ median of best-1 competitor on the same items.</t>
        </is>
      </c>
      <c r="G20" s="26" t="inlineStr">
        <is>
          <t>P3</t>
        </is>
      </c>
      <c r="H20" s="26" t="inlineStr">
        <is>
          <t>Major</t>
        </is>
      </c>
      <c r="I20" s="26" t="inlineStr">
        <is>
          <t>Manual</t>
        </is>
      </c>
      <c r="J20" s="26" t="inlineStr">
        <is>
          <t>[BUG-032 new] Coverage gap.</t>
        </is>
      </c>
      <c r="K20" s="26" t="inlineStr"/>
      <c r="L20" s="26" t="inlineStr">
        <is>
          <t>SLA pedagogy researcher</t>
        </is>
      </c>
      <c r="M20" s="26" t="inlineStr">
        <is>
          <t>Competitor app accounts + manual scoring sheet</t>
        </is>
      </c>
      <c r="N20" s="26" t="n"/>
      <c r="O20" s="26" t="inlineStr">
        <is>
          <t>Not Yet Run</t>
        </is>
      </c>
      <c r="P20" s="26" t="n"/>
      <c r="Q20" s="26" t="n"/>
      <c r="R20" s="26"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17" text="Medium-High">
      <formula>NOT(ISERROR(SEARCH("Medium-High",G5)))</formula>
    </cfRule>
    <cfRule type="containsText" priority="3" operator="containsText" dxfId="31" text="Low-Medium">
      <formula>NOT(ISERROR(SEARCH("Low-Medium",G5)))</formula>
    </cfRule>
    <cfRule type="containsText" priority="4" operator="containsText" dxfId="4" text="High">
      <formula>NOT(ISERROR(SEARCH("High",G5)))</formula>
    </cfRule>
    <cfRule type="containsText" priority="5" operator="containsText" dxfId="3" text="Medium">
      <formula>NOT(ISERROR(SEARCH("Medium",G5)))</formula>
    </cfRule>
    <cfRule type="containsText" priority="6" operator="containsText" dxfId="2" text="Low">
      <formula>NOT(ISERROR(SEARCH("Low",G5)))</formula>
    </cfRule>
    <cfRule type="containsText" priority="7" operator="containsText" dxfId="5" text="P1">
      <formula>NOT(ISERROR(SEARCH("P1",G5)))</formula>
    </cfRule>
    <cfRule type="containsText" priority="8" operator="containsText" dxfId="4" text="P2">
      <formula>NOT(ISERROR(SEARCH("P2",G5)))</formula>
    </cfRule>
    <cfRule type="containsText" priority="9" operator="containsText" dxfId="3" text="P3">
      <formula>NOT(ISERROR(SEARCH("P3",G5)))</formula>
    </cfRule>
    <cfRule type="containsText" priority="10" operator="containsText" dxfId="2" text="P4">
      <formula>NOT(ISERROR(SEARCH("P4",G5)))</formula>
    </cfRule>
    <cfRule type="containsText" priority="11" operator="containsText" dxfId="1" text="P5">
      <formula>NOT(ISERROR(SEARCH("P5",G5)))</formula>
    </cfRule>
  </conditionalFormatting>
  <conditionalFormatting sqref="H5:H19">
    <cfRule type="containsText" priority="12" operator="containsText" dxfId="5" text="Critical">
      <formula>NOT(ISERROR(SEARCH("Critical",H5)))</formula>
    </cfRule>
    <cfRule type="containsText" priority="13" operator="containsText" dxfId="4" text="Major">
      <formula>NOT(ISERROR(SEARCH("Major",H5)))</formula>
    </cfRule>
    <cfRule type="containsText" priority="14" operator="containsText" dxfId="3" text="Minor">
      <formula>NOT(ISERROR(SEARCH("Minor",H5)))</formula>
    </cfRule>
  </conditionalFormatting>
  <conditionalFormatting sqref="I5:I19">
    <cfRule type="containsText" priority="15" operator="containsText" dxfId="18" text="Auto+Manual">
      <formula>NOT(ISERROR(SEARCH("Auto+Manual",I5)))</formula>
    </cfRule>
    <cfRule type="containsText" priority="16" operator="containsText" dxfId="18" text="Hybrid">
      <formula>NOT(ISERROR(SEARCH("Hybrid",I5)))</formula>
    </cfRule>
    <cfRule type="containsText" priority="17" operator="containsText" dxfId="17"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19"/>
  <sheetViews>
    <sheetView workbookViewId="0">
      <pane ySplit="4" topLeftCell="A5" activePane="bottomLeft" state="frozen"/>
      <selection pane="bottomLeft" activeCell="H24" sqref="H24"/>
    </sheetView>
  </sheetViews>
  <sheetFormatPr baseColWidth="8" defaultRowHeight="14.5"/>
  <cols>
    <col width="10" customWidth="1" min="1" max="1"/>
    <col width="19.08984375" customWidth="1" min="2" max="2"/>
    <col width="9.08984375" customWidth="1" min="3" max="3"/>
    <col width="43.6328125" customWidth="1" min="4" max="4"/>
    <col width="50.90625" customWidth="1" min="5" max="5"/>
    <col width="40" customWidth="1" min="6" max="6"/>
    <col width="14.54296875" customWidth="1" min="7" max="7"/>
    <col width="16.36328125" customWidth="1" min="8" max="8"/>
    <col width="14.54296875" customWidth="1" min="9" max="9"/>
    <col width="32.7265625" customWidth="1" min="10" max="10"/>
    <col width="16" customWidth="1" min="11" max="11"/>
    <col width="24" customWidth="1" min="12" max="12"/>
    <col width="32" customWidth="1" min="13" max="13"/>
    <col width="14" customWidth="1" min="14" max="14"/>
    <col width="14" customWidth="1" min="15" max="15"/>
    <col width="18" customWidth="1" min="16" max="16"/>
    <col width="16" customWidth="1" min="17" max="17"/>
    <col width="12" customWidth="1" min="18" max="18"/>
  </cols>
  <sheetData>
    <row r="1" ht="28" customHeight="1">
      <c r="A1" s="9" t="inlineStr">
        <is>
          <t>K. QA testing</t>
        </is>
      </c>
    </row>
    <row r="2" ht="36" customHeight="1">
      <c r="A2" s="10" t="inlineStr">
        <is>
          <t>Perspectives: Exploratory tester, automated testing, visual regression, localization testing, audio playback (perspectives 64-68)</t>
        </is>
      </c>
    </row>
    <row r="4" ht="24" customHeight="1">
      <c r="A4" s="12" t="inlineStr">
        <is>
          <t>ID</t>
        </is>
      </c>
      <c r="B4" s="12" t="inlineStr">
        <is>
          <t>Sub-category</t>
        </is>
      </c>
      <c r="C4" s="12" t="inlineStr">
        <is>
          <t>Persp #</t>
        </is>
      </c>
      <c r="D4" s="12" t="inlineStr">
        <is>
          <t>Scenario</t>
        </is>
      </c>
      <c r="E4" s="12" t="inlineStr">
        <is>
          <t>Test steps</t>
        </is>
      </c>
      <c r="F4" s="12" t="inlineStr">
        <is>
          <t>Expected result</t>
        </is>
      </c>
      <c r="G4" s="12" t="inlineStr">
        <is>
          <t>Priority</t>
        </is>
      </c>
      <c r="H4" s="12" t="inlineStr">
        <is>
          <t>Severity if fails</t>
        </is>
      </c>
      <c r="I4" s="12" t="inlineStr">
        <is>
          <t>Test type</t>
        </is>
      </c>
      <c r="J4" s="12" t="inlineStr">
        <is>
          <t>Notes</t>
        </is>
      </c>
      <c r="K4" s="25" t="inlineStr">
        <is>
          <t>Estimated effort</t>
        </is>
      </c>
      <c r="L4" s="25" t="inlineStr">
        <is>
          <t>Owner / role</t>
        </is>
      </c>
      <c r="M4" s="25" t="inlineStr">
        <is>
          <t>Tools / scripts required</t>
        </is>
      </c>
      <c r="N4" s="25" t="inlineStr">
        <is>
          <t>Last run date</t>
        </is>
      </c>
      <c r="O4" s="25" t="inlineStr">
        <is>
          <t>Last run result</t>
        </is>
      </c>
      <c r="P4" s="25" t="inlineStr">
        <is>
          <t>Tracker link</t>
        </is>
      </c>
      <c r="Q4" s="25" t="inlineStr">
        <is>
          <t>Depends on</t>
        </is>
      </c>
      <c r="R4" s="25" t="inlineStr">
        <is>
          <t>Coverage %</t>
        </is>
      </c>
    </row>
    <row r="5" ht="30" customHeight="1">
      <c r="A5" s="7" t="inlineStr">
        <is>
          <t>K-001</t>
        </is>
      </c>
      <c r="B5" s="5" t="inlineStr">
        <is>
          <t>Exploratory</t>
        </is>
      </c>
      <c r="C5" s="6" t="inlineStr">
        <is>
          <t>64</t>
        </is>
      </c>
      <c r="D5" s="5" t="inlineStr">
        <is>
          <t>30-min adversarial use session</t>
        </is>
      </c>
      <c r="E5" s="5" t="inlineStr">
        <is>
          <t>1. Tester uses app for 30 min trying to break it
2. Log all bugs / friction</t>
        </is>
      </c>
      <c r="F5" s="5" t="inlineStr">
        <is>
          <t>≤ 3 critical / major bugs per session</t>
        </is>
      </c>
      <c r="G5" s="6" t="inlineStr">
        <is>
          <t>P3</t>
        </is>
      </c>
      <c r="H5" s="6" t="inlineStr">
        <is>
          <t>Major</t>
        </is>
      </c>
      <c r="I5" s="6" t="inlineStr">
        <is>
          <t>Manual</t>
        </is>
      </c>
      <c r="J5" s="5"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t>
        </is>
      </c>
      <c r="L5" t="inlineStr">
        <is>
          <t>QA tester</t>
        </is>
      </c>
      <c r="O5" t="inlineStr">
        <is>
          <t>Not Yet Run</t>
        </is>
      </c>
      <c r="R5" t="inlineStr">
        <is>
          <t>0%</t>
        </is>
      </c>
    </row>
    <row r="6" ht="31" customHeight="1">
      <c r="A6" s="7" t="inlineStr">
        <is>
          <t>K-002</t>
        </is>
      </c>
      <c r="B6" s="5" t="inlineStr">
        <is>
          <t>Exploratory</t>
        </is>
      </c>
      <c r="C6" s="6" t="inlineStr">
        <is>
          <t>64</t>
        </is>
      </c>
      <c r="D6" s="5" t="inlineStr">
        <is>
          <t>Concurrent-tab behavior</t>
        </is>
      </c>
      <c r="E6" s="5" t="inlineStr">
        <is>
          <t>1. Open app in 3 tabs simultaneously
2. Use each
3. Verify state isolation OR consistent sync</t>
        </is>
      </c>
      <c r="F6" s="5" t="inlineStr">
        <is>
          <t>Multi-tab behavior documented</t>
        </is>
      </c>
      <c r="G6" s="6" t="inlineStr">
        <is>
          <t>P5</t>
        </is>
      </c>
      <c r="H6" s="6" t="inlineStr">
        <is>
          <t>Minor</t>
        </is>
      </c>
      <c r="I6" s="6" t="inlineStr">
        <is>
          <t>Manual</t>
        </is>
      </c>
      <c r="J6" s="5" t="inlineStr">
        <is>
          <t>No automated check today — manual only.</t>
        </is>
      </c>
      <c r="L6" t="inlineStr">
        <is>
          <t>QA tester</t>
        </is>
      </c>
      <c r="O6" t="inlineStr">
        <is>
          <t>Not Yet Run</t>
        </is>
      </c>
      <c r="R6" t="inlineStr">
        <is>
          <t>0%</t>
        </is>
      </c>
    </row>
    <row r="7" ht="30" customHeight="1">
      <c r="A7" s="7" t="inlineStr">
        <is>
          <t>K-003</t>
        </is>
      </c>
      <c r="B7" s="5" t="inlineStr">
        <is>
          <t>Exploratory</t>
        </is>
      </c>
      <c r="C7" s="6" t="inlineStr">
        <is>
          <t>64</t>
        </is>
      </c>
      <c r="D7" s="5" t="inlineStr">
        <is>
          <t>Slow-network behavior</t>
        </is>
      </c>
      <c r="E7" s="5" t="inlineStr">
        <is>
          <t>1. Throttle to slow 3G
2. Verify all flows still complete (with loading states)</t>
        </is>
      </c>
      <c r="F7" s="5" t="inlineStr">
        <is>
          <t>Slow-network usable</t>
        </is>
      </c>
      <c r="G7" s="6" t="inlineStr">
        <is>
          <t>P3</t>
        </is>
      </c>
      <c r="H7" s="6" t="inlineStr">
        <is>
          <t>Major</t>
        </is>
      </c>
      <c r="I7" s="6" t="inlineStr">
        <is>
          <t>Manual</t>
        </is>
      </c>
      <c r="J7" s="5" t="inlineStr">
        <is>
          <t>No automated check today — manual only.</t>
        </is>
      </c>
      <c r="L7" t="inlineStr">
        <is>
          <t>QA tester</t>
        </is>
      </c>
      <c r="O7" t="inlineStr">
        <is>
          <t>Not Yet Run</t>
        </is>
      </c>
      <c r="R7" t="inlineStr">
        <is>
          <t>0%</t>
        </is>
      </c>
    </row>
    <row r="8" ht="30" customHeight="1">
      <c r="A8" s="7" t="inlineStr">
        <is>
          <t>K-004</t>
        </is>
      </c>
      <c r="B8" s="5" t="inlineStr">
        <is>
          <t>Exploratory</t>
        </is>
      </c>
      <c r="C8" s="6" t="inlineStr">
        <is>
          <t>64</t>
        </is>
      </c>
      <c r="D8" s="5" t="inlineStr">
        <is>
          <t>Browser back/forward button behavior</t>
        </is>
      </c>
      <c r="E8" s="5" t="inlineStr">
        <is>
          <t>1. Use app, hit back/forward many times
2. Verify state preserved correctly</t>
        </is>
      </c>
      <c r="F8" s="5" t="inlineStr">
        <is>
          <t>History navigation correct</t>
        </is>
      </c>
      <c r="G8" s="6" t="inlineStr">
        <is>
          <t>P3</t>
        </is>
      </c>
      <c r="H8" s="6" t="inlineStr">
        <is>
          <t>Major</t>
        </is>
      </c>
      <c r="I8" s="6" t="inlineStr">
        <is>
          <t>Manual</t>
        </is>
      </c>
      <c r="J8" s="5" t="inlineStr">
        <is>
          <t>No automated check today — manual only.</t>
        </is>
      </c>
      <c r="L8" t="inlineStr">
        <is>
          <t>QA tester</t>
        </is>
      </c>
      <c r="O8" t="inlineStr">
        <is>
          <t>Not Yet Run</t>
        </is>
      </c>
      <c r="R8" t="inlineStr">
        <is>
          <t>0%</t>
        </is>
      </c>
    </row>
    <row r="9" ht="30" customHeight="1">
      <c r="A9" s="7" t="inlineStr">
        <is>
          <t>K-005</t>
        </is>
      </c>
      <c r="B9" s="5" t="inlineStr">
        <is>
          <t>Automation</t>
        </is>
      </c>
      <c r="C9" s="6" t="inlineStr">
        <is>
          <t>65</t>
        </is>
      </c>
      <c r="D9" s="5" t="inlineStr">
        <is>
          <t>Unit-test coverage for tools/*.py</t>
        </is>
      </c>
      <c r="E9" s="5" t="inlineStr">
        <is>
          <t>1. Run pytest with coverage
2. Verify ≥80% line coverage</t>
        </is>
      </c>
      <c r="F9" s="5" t="inlineStr">
        <is>
          <t>≥80% coverage</t>
        </is>
      </c>
      <c r="G9" s="6" t="inlineStr">
        <is>
          <t>P3</t>
        </is>
      </c>
      <c r="H9" s="6" t="inlineStr">
        <is>
          <t>Major</t>
        </is>
      </c>
      <c r="I9" s="6" t="inlineStr">
        <is>
          <t>Auto</t>
        </is>
      </c>
      <c r="J9" s="5" t="inlineStr">
        <is>
          <t>No automated check today — manual only.</t>
        </is>
      </c>
      <c r="L9" t="inlineStr">
        <is>
          <t>QA tester</t>
        </is>
      </c>
      <c r="O9" t="inlineStr">
        <is>
          <t>Not Yet Run</t>
        </is>
      </c>
      <c r="R9" t="inlineStr">
        <is>
          <t>0%</t>
        </is>
      </c>
    </row>
    <row r="10" ht="30" customHeight="1">
      <c r="A10" s="7" t="inlineStr">
        <is>
          <t>K-006</t>
        </is>
      </c>
      <c r="B10" s="5" t="inlineStr">
        <is>
          <t>Automation</t>
        </is>
      </c>
      <c r="C10" s="6" t="inlineStr">
        <is>
          <t>65</t>
        </is>
      </c>
      <c r="D10" s="5" t="inlineStr">
        <is>
          <t>Integration tests for data-loading + rendering</t>
        </is>
      </c>
      <c r="E10" s="5" t="inlineStr">
        <is>
          <t>1. Verify tests load data/*.json + assert render output</t>
        </is>
      </c>
      <c r="F10" s="5" t="inlineStr">
        <is>
          <t>Integration tests pass</t>
        </is>
      </c>
      <c r="G10" s="6" t="inlineStr">
        <is>
          <t>P3</t>
        </is>
      </c>
      <c r="H10" s="6" t="inlineStr">
        <is>
          <t>Major</t>
        </is>
      </c>
      <c r="I10" s="6" t="inlineStr">
        <is>
          <t>Auto</t>
        </is>
      </c>
      <c r="J10" s="5" t="inlineStr">
        <is>
          <t>No automated check today — manual only.</t>
        </is>
      </c>
      <c r="L10" t="inlineStr">
        <is>
          <t>QA tester</t>
        </is>
      </c>
      <c r="O10" t="inlineStr">
        <is>
          <t>Not Yet Run</t>
        </is>
      </c>
      <c r="R10" t="inlineStr">
        <is>
          <t>0%</t>
        </is>
      </c>
    </row>
    <row r="11" ht="30" customHeight="1">
      <c r="A11" s="7" t="inlineStr">
        <is>
          <t>K-007</t>
        </is>
      </c>
      <c r="B11" s="5" t="inlineStr">
        <is>
          <t>Automation</t>
        </is>
      </c>
      <c r="C11" s="6" t="inlineStr">
        <is>
          <t>65</t>
        </is>
      </c>
      <c r="D11" s="5" t="inlineStr">
        <is>
          <t>E2E test of complete user flow (vocab study → quiz → results)</t>
        </is>
      </c>
      <c r="E11" s="5" t="inlineStr">
        <is>
          <t>1. Playwright/Cypress script for full flow
2. Run in CI</t>
        </is>
      </c>
      <c r="F11" s="5" t="inlineStr">
        <is>
          <t>E2E suite green</t>
        </is>
      </c>
      <c r="G11" s="6" t="inlineStr">
        <is>
          <t>P3</t>
        </is>
      </c>
      <c r="H11" s="6" t="inlineStr">
        <is>
          <t>Major</t>
        </is>
      </c>
      <c r="I11" s="6" t="inlineStr">
        <is>
          <t>Auto</t>
        </is>
      </c>
      <c r="J11" s="5" t="inlineStr">
        <is>
          <t>No automated check today — manual only.</t>
        </is>
      </c>
      <c r="L11" t="inlineStr">
        <is>
          <t>QA tester</t>
        </is>
      </c>
      <c r="O11" t="inlineStr">
        <is>
          <t>Not Yet Run</t>
        </is>
      </c>
      <c r="R11" t="inlineStr">
        <is>
          <t>0%</t>
        </is>
      </c>
    </row>
    <row r="12" ht="30" customHeight="1">
      <c r="A12" s="7" t="inlineStr">
        <is>
          <t>K-008</t>
        </is>
      </c>
      <c r="B12" s="5" t="inlineStr">
        <is>
          <t>Automation</t>
        </is>
      </c>
      <c r="C12" s="6" t="inlineStr">
        <is>
          <t>65</t>
        </is>
      </c>
      <c r="D12" s="5" t="inlineStr">
        <is>
          <t>Smoke test on every deploy</t>
        </is>
      </c>
      <c r="E12" s="5" t="inlineStr">
        <is>
          <t>1. Post-deploy hook hits homepage + each module route
2. Verify HTTP 200 + key text</t>
        </is>
      </c>
      <c r="F12" s="5" t="inlineStr">
        <is>
          <t>Smoke green on every deploy</t>
        </is>
      </c>
      <c r="G12" s="6" t="inlineStr">
        <is>
          <t>P1</t>
        </is>
      </c>
      <c r="H12" s="6" t="inlineStr">
        <is>
          <t>Critical</t>
        </is>
      </c>
      <c r="I12" s="6" t="inlineStr">
        <is>
          <t>Auto</t>
        </is>
      </c>
      <c r="J12" s="5" t="inlineStr">
        <is>
          <t>[BUG-026] Critical severity (deploy-time smoke) → P1 priority post-remap.</t>
        </is>
      </c>
      <c r="L12" t="inlineStr">
        <is>
          <t>QA tester</t>
        </is>
      </c>
      <c r="O12" t="inlineStr">
        <is>
          <t>Not Yet Run</t>
        </is>
      </c>
      <c r="R12" t="inlineStr">
        <is>
          <t>0%</t>
        </is>
      </c>
    </row>
    <row r="13" ht="30" customHeight="1">
      <c r="A13" s="7" t="inlineStr">
        <is>
          <t>K-009</t>
        </is>
      </c>
      <c r="B13" s="5" t="inlineStr">
        <is>
          <t>Visual regression</t>
        </is>
      </c>
      <c r="C13" s="6" t="inlineStr">
        <is>
          <t>66</t>
        </is>
      </c>
      <c r="D13" s="5" t="inlineStr">
        <is>
          <t>Pixel-diff baseline for each route</t>
        </is>
      </c>
      <c r="E13" s="5" t="inlineStr">
        <is>
          <t>1. Capture golden screenshots
2. On each deploy, diff against baseline</t>
        </is>
      </c>
      <c r="F13" s="5" t="inlineStr">
        <is>
          <t>0 unexpected pixel diffs</t>
        </is>
      </c>
      <c r="G13" s="6" t="inlineStr">
        <is>
          <t>P5</t>
        </is>
      </c>
      <c r="H13" s="6" t="inlineStr">
        <is>
          <t>Minor</t>
        </is>
      </c>
      <c r="I13" s="6" t="inlineStr">
        <is>
          <t>Auto</t>
        </is>
      </c>
      <c r="J13" s="5" t="inlineStr">
        <is>
          <t>No automated check today — manual only.</t>
        </is>
      </c>
      <c r="L13" t="inlineStr">
        <is>
          <t>QA tester</t>
        </is>
      </c>
      <c r="O13" t="inlineStr">
        <is>
          <t>Not Yet Run</t>
        </is>
      </c>
      <c r="R13" t="inlineStr">
        <is>
          <t>0%</t>
        </is>
      </c>
    </row>
    <row r="14" ht="30" customHeight="1">
      <c r="A14" s="7" t="inlineStr">
        <is>
          <t>K-010</t>
        </is>
      </c>
      <c r="B14" s="5" t="inlineStr">
        <is>
          <t>Visual regression</t>
        </is>
      </c>
      <c r="C14" s="6" t="inlineStr">
        <is>
          <t>66</t>
        </is>
      </c>
      <c r="D14" s="5" t="inlineStr">
        <is>
          <t>Layout-shift detection</t>
        </is>
      </c>
      <c r="E14" s="5" t="inlineStr">
        <is>
          <t>1. Record CLS during load
2. Flag regressions vs baseline</t>
        </is>
      </c>
      <c r="F14" s="5" t="inlineStr">
        <is>
          <t>CLS doesn't regress</t>
        </is>
      </c>
      <c r="G14" s="6" t="inlineStr">
        <is>
          <t>P5</t>
        </is>
      </c>
      <c r="H14" s="6" t="inlineStr">
        <is>
          <t>Minor</t>
        </is>
      </c>
      <c r="I14" s="6" t="inlineStr">
        <is>
          <t>Auto</t>
        </is>
      </c>
      <c r="J14" s="5" t="inlineStr">
        <is>
          <t>No automated check today — manual only.</t>
        </is>
      </c>
      <c r="L14" t="inlineStr">
        <is>
          <t>QA tester</t>
        </is>
      </c>
      <c r="O14" t="inlineStr">
        <is>
          <t>Not Yet Run</t>
        </is>
      </c>
      <c r="R14" t="inlineStr">
        <is>
          <t>0%</t>
        </is>
      </c>
    </row>
    <row r="15" ht="30" customHeight="1">
      <c r="A15" s="7" t="inlineStr">
        <is>
          <t>K-011</t>
        </is>
      </c>
      <c r="B15" s="5" t="inlineStr">
        <is>
          <t>Localization</t>
        </is>
      </c>
      <c r="C15" s="6" t="inlineStr">
        <is>
          <t>67</t>
        </is>
      </c>
      <c r="D15" s="5" t="inlineStr">
        <is>
          <t>Locale-toggle test on every route</t>
        </is>
      </c>
      <c r="E15" s="5" t="inlineStr">
        <is>
          <t>1. For each route, toggle EN ↔ HI
2. Verify all visible text changes</t>
        </is>
      </c>
      <c r="F15" s="5" t="inlineStr">
        <is>
          <t>0 untranslated strings on HI</t>
        </is>
      </c>
      <c r="G15" s="6" t="inlineStr">
        <is>
          <t>P3</t>
        </is>
      </c>
      <c r="H15" s="6" t="inlineStr">
        <is>
          <t>Major</t>
        </is>
      </c>
      <c r="I15" s="6" t="inlineStr">
        <is>
          <t>Manual</t>
        </is>
      </c>
      <c r="J15" s="5" t="inlineStr">
        <is>
          <t>[BUG-030 cross-ref] DUPLICATE of H-020 (locale-switch state retention). Canonical home: H tab.</t>
        </is>
      </c>
      <c r="L15" t="inlineStr">
        <is>
          <t>QA tester</t>
        </is>
      </c>
      <c r="O15" t="inlineStr">
        <is>
          <t>Not Yet Run</t>
        </is>
      </c>
      <c r="R15" t="inlineStr">
        <is>
          <t>0%</t>
        </is>
      </c>
    </row>
    <row r="16" ht="30" customHeight="1">
      <c r="A16" s="7" t="inlineStr">
        <is>
          <t>K-012</t>
        </is>
      </c>
      <c r="B16" s="5" t="inlineStr">
        <is>
          <t>Localization</t>
        </is>
      </c>
      <c r="C16" s="6" t="inlineStr">
        <is>
          <t>67</t>
        </is>
      </c>
      <c r="D16" s="5" t="inlineStr">
        <is>
          <t>Text-expansion on Hindi (UI overflow)</t>
        </is>
      </c>
      <c r="E16" s="5" t="inlineStr">
        <is>
          <t>1. Render every page in HI
2. Verify no truncation</t>
        </is>
      </c>
      <c r="F16" s="5" t="inlineStr">
        <is>
          <t>0 truncated HI labels</t>
        </is>
      </c>
      <c r="G16" s="6" t="inlineStr">
        <is>
          <t>P3</t>
        </is>
      </c>
      <c r="H16" s="6" t="inlineStr">
        <is>
          <t>Major</t>
        </is>
      </c>
      <c r="I16" s="6" t="inlineStr">
        <is>
          <t>Manual</t>
        </is>
      </c>
      <c r="J16" s="5" t="inlineStr">
        <is>
          <t>No automated check today — manual only.</t>
        </is>
      </c>
      <c r="L16" t="inlineStr">
        <is>
          <t>QA tester</t>
        </is>
      </c>
      <c r="O16" t="inlineStr">
        <is>
          <t>Not Yet Run</t>
        </is>
      </c>
      <c r="R16" t="inlineStr">
        <is>
          <t>0%</t>
        </is>
      </c>
    </row>
    <row r="17" ht="34" customHeight="1">
      <c r="A17" s="7" t="inlineStr">
        <is>
          <t>K-013</t>
        </is>
      </c>
      <c r="B17" s="5" t="inlineStr">
        <is>
          <t>Audio playback</t>
        </is>
      </c>
      <c r="C17" s="6" t="inlineStr">
        <is>
          <t>68</t>
        </is>
      </c>
      <c r="D17" s="5" t="inlineStr">
        <is>
          <t>Per-browser autoplay policy compliance</t>
        </is>
      </c>
      <c r="E17" s="5" t="inlineStr">
        <is>
          <t>1. Test audio playback on Chrome / Safari / Firefox / Edge
2. Verify user-gesture requirement satisfied</t>
        </is>
      </c>
      <c r="F17" s="5" t="inlineStr">
        <is>
          <t>Audio plays after gesture, doesn't autoplay</t>
        </is>
      </c>
      <c r="G17" s="6" t="inlineStr">
        <is>
          <t>P3</t>
        </is>
      </c>
      <c r="H17" s="6" t="inlineStr">
        <is>
          <t>Major</t>
        </is>
      </c>
      <c r="I17" s="6" t="inlineStr">
        <is>
          <t>Manual</t>
        </is>
      </c>
      <c r="J17" s="5" t="inlineStr">
        <is>
          <t>No automated check today — manual only.</t>
        </is>
      </c>
      <c r="L17" t="inlineStr">
        <is>
          <t>QA tester</t>
        </is>
      </c>
      <c r="O17" t="inlineStr">
        <is>
          <t>Not Yet Run</t>
        </is>
      </c>
      <c r="R17" t="inlineStr">
        <is>
          <t>0%</t>
        </is>
      </c>
    </row>
    <row r="18" ht="30" customHeight="1">
      <c r="A18" s="7" t="inlineStr">
        <is>
          <t>K-014</t>
        </is>
      </c>
      <c r="B18" s="5" t="inlineStr">
        <is>
          <t>Audio playback</t>
        </is>
      </c>
      <c r="C18" s="6" t="inlineStr">
        <is>
          <t>68</t>
        </is>
      </c>
      <c r="D18" s="5" t="inlineStr">
        <is>
          <t>MP3 vs WebM codec fallback</t>
        </is>
      </c>
      <c r="E18" s="5" t="inlineStr">
        <is>
          <t>1. Verify MP3 plays everywhere
2. If WebM is fallback, verify on supporting browsers</t>
        </is>
      </c>
      <c r="F18" s="5" t="inlineStr">
        <is>
          <t>Codec works cross-browser</t>
        </is>
      </c>
      <c r="G18" s="6" t="inlineStr">
        <is>
          <t>P5</t>
        </is>
      </c>
      <c r="H18" s="6" t="inlineStr">
        <is>
          <t>Minor</t>
        </is>
      </c>
      <c r="I18" s="6" t="inlineStr">
        <is>
          <t>Manual</t>
        </is>
      </c>
      <c r="J18" s="5" t="inlineStr">
        <is>
          <t>No automated check today — manual only.</t>
        </is>
      </c>
      <c r="L18" t="inlineStr">
        <is>
          <t>QA tester</t>
        </is>
      </c>
      <c r="O18" t="inlineStr">
        <is>
          <t>Not Yet Run</t>
        </is>
      </c>
      <c r="R18" t="inlineStr">
        <is>
          <t>0%</t>
        </is>
      </c>
    </row>
    <row r="19" ht="30" customHeight="1">
      <c r="A19" s="7" t="inlineStr">
        <is>
          <t>K-015</t>
        </is>
      </c>
      <c r="B19" s="5" t="inlineStr">
        <is>
          <t>Audio playback</t>
        </is>
      </c>
      <c r="C19" s="6" t="inlineStr">
        <is>
          <t>68</t>
        </is>
      </c>
      <c r="D19" s="5" t="inlineStr">
        <is>
          <t>Preload strategy: do audio files preload on hover / proximity?</t>
        </is>
      </c>
      <c r="E19" s="5" t="inlineStr">
        <is>
          <t>1. Inspect &lt;audio preload=...&gt; attrs
2. Verify reasonable preload behavior</t>
        </is>
      </c>
      <c r="F19" s="5" t="inlineStr">
        <is>
          <t>Preload tuned for UX</t>
        </is>
      </c>
      <c r="G19" s="6" t="inlineStr">
        <is>
          <t>P5</t>
        </is>
      </c>
      <c r="H19" s="6" t="inlineStr">
        <is>
          <t>Minor</t>
        </is>
      </c>
      <c r="I19" s="6" t="inlineStr">
        <is>
          <t>Manual</t>
        </is>
      </c>
      <c r="J19" s="5" t="inlineStr">
        <is>
          <t>No automated check today — manual only.</t>
        </is>
      </c>
      <c r="L19" t="inlineStr">
        <is>
          <t>QA tester</t>
        </is>
      </c>
      <c r="O19" t="inlineStr">
        <is>
          <t>Not Yet Run</t>
        </is>
      </c>
      <c r="R19"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17" text="Medium-High">
      <formula>NOT(ISERROR(SEARCH("Medium-High",G5)))</formula>
    </cfRule>
    <cfRule type="containsText" priority="3" operator="containsText" dxfId="31" text="Low-Medium">
      <formula>NOT(ISERROR(SEARCH("Low-Medium",G5)))</formula>
    </cfRule>
    <cfRule type="containsText" priority="4" operator="containsText" dxfId="4" text="High">
      <formula>NOT(ISERROR(SEARCH("High",G5)))</formula>
    </cfRule>
    <cfRule type="containsText" priority="5" operator="containsText" dxfId="3" text="Medium">
      <formula>NOT(ISERROR(SEARCH("Medium",G5)))</formula>
    </cfRule>
    <cfRule type="containsText" priority="6" operator="containsText" dxfId="2" text="Low">
      <formula>NOT(ISERROR(SEARCH("Low",G5)))</formula>
    </cfRule>
    <cfRule type="containsText" priority="7" operator="containsText" dxfId="5" text="P1">
      <formula>NOT(ISERROR(SEARCH("P1",G5)))</formula>
    </cfRule>
    <cfRule type="containsText" priority="8" operator="containsText" dxfId="4" text="P2">
      <formula>NOT(ISERROR(SEARCH("P2",G5)))</formula>
    </cfRule>
    <cfRule type="containsText" priority="9" operator="containsText" dxfId="3" text="P3">
      <formula>NOT(ISERROR(SEARCH("P3",G5)))</formula>
    </cfRule>
    <cfRule type="containsText" priority="10" operator="containsText" dxfId="2" text="P4">
      <formula>NOT(ISERROR(SEARCH("P4",G5)))</formula>
    </cfRule>
    <cfRule type="containsText" priority="11" operator="containsText" dxfId="1" text="P5">
      <formula>NOT(ISERROR(SEARCH("P5",G5)))</formula>
    </cfRule>
  </conditionalFormatting>
  <conditionalFormatting sqref="H5:H19">
    <cfRule type="containsText" priority="12" operator="containsText" dxfId="5" text="Critical">
      <formula>NOT(ISERROR(SEARCH("Critical",H5)))</formula>
    </cfRule>
    <cfRule type="containsText" priority="13" operator="containsText" dxfId="4" text="Major">
      <formula>NOT(ISERROR(SEARCH("Major",H5)))</formula>
    </cfRule>
    <cfRule type="containsText" priority="14" operator="containsText" dxfId="3" text="Minor">
      <formula>NOT(ISERROR(SEARCH("Minor",H5)))</formula>
    </cfRule>
  </conditionalFormatting>
  <conditionalFormatting sqref="I5:I19">
    <cfRule type="containsText" priority="15" operator="containsText" dxfId="18" text="Auto+Manual">
      <formula>NOT(ISERROR(SEARCH("Auto+Manual",I5)))</formula>
    </cfRule>
    <cfRule type="containsText" priority="16" operator="containsText" dxfId="18" text="Hybrid">
      <formula>NOT(ISERROR(SEARCH("Hybrid",I5)))</formula>
    </cfRule>
    <cfRule type="containsText" priority="17" operator="containsText" dxfId="17"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min="1" max="1"/>
    <col width="19.08984375" customWidth="1" min="2" max="2"/>
    <col width="9.08984375" customWidth="1" min="3" max="3"/>
    <col width="43.6328125" customWidth="1" min="4" max="4"/>
    <col width="50.90625" customWidth="1" min="5" max="5"/>
    <col width="40" customWidth="1" min="6" max="6"/>
    <col width="14.54296875" customWidth="1" min="7" max="7"/>
    <col width="16.36328125" customWidth="1" min="8" max="8"/>
    <col width="14.54296875" customWidth="1" min="9" max="9"/>
    <col width="32.7265625" customWidth="1" min="10" max="10"/>
    <col width="16" customWidth="1" min="11" max="11"/>
    <col width="24" customWidth="1" min="12" max="12"/>
    <col width="32" customWidth="1" min="13" max="13"/>
    <col width="14" customWidth="1" min="14" max="14"/>
    <col width="14" customWidth="1" min="15" max="15"/>
    <col width="18" customWidth="1" min="16" max="16"/>
    <col width="16" customWidth="1" min="17" max="17"/>
    <col width="12" customWidth="1" min="18" max="18"/>
  </cols>
  <sheetData>
    <row r="1" ht="28" customHeight="1">
      <c r="A1" s="9" t="inlineStr">
        <is>
          <t>L. Cultural ethical</t>
        </is>
      </c>
    </row>
    <row r="2" ht="36" customHeight="1">
      <c r="A2" s="10" t="inlineStr">
        <is>
          <t>Perspectives: Cultural-sensitivity (JA + HI), AI-ethics/disclosure, trust-and-safety (perspectives 69-72)</t>
        </is>
      </c>
    </row>
    <row r="4" ht="24" customHeight="1">
      <c r="A4" s="12" t="inlineStr">
        <is>
          <t>ID</t>
        </is>
      </c>
      <c r="B4" s="12" t="inlineStr">
        <is>
          <t>Sub-category</t>
        </is>
      </c>
      <c r="C4" s="12" t="inlineStr">
        <is>
          <t>Persp #</t>
        </is>
      </c>
      <c r="D4" s="12" t="inlineStr">
        <is>
          <t>Scenario</t>
        </is>
      </c>
      <c r="E4" s="12" t="inlineStr">
        <is>
          <t>Test steps</t>
        </is>
      </c>
      <c r="F4" s="12" t="inlineStr">
        <is>
          <t>Expected result</t>
        </is>
      </c>
      <c r="G4" s="12" t="inlineStr">
        <is>
          <t>Priority</t>
        </is>
      </c>
      <c r="H4" s="12" t="inlineStr">
        <is>
          <t>Severity if fails</t>
        </is>
      </c>
      <c r="I4" s="12" t="inlineStr">
        <is>
          <t>Test type</t>
        </is>
      </c>
      <c r="J4" s="12" t="inlineStr">
        <is>
          <t>Notes</t>
        </is>
      </c>
      <c r="K4" s="25" t="inlineStr">
        <is>
          <t>Estimated effort</t>
        </is>
      </c>
      <c r="L4" s="25" t="inlineStr">
        <is>
          <t>Owner / role</t>
        </is>
      </c>
      <c r="M4" s="25" t="inlineStr">
        <is>
          <t>Tools / scripts required</t>
        </is>
      </c>
      <c r="N4" s="25" t="inlineStr">
        <is>
          <t>Last run date</t>
        </is>
      </c>
      <c r="O4" s="25" t="inlineStr">
        <is>
          <t>Last run result</t>
        </is>
      </c>
      <c r="P4" s="25" t="inlineStr">
        <is>
          <t>Tracker link</t>
        </is>
      </c>
      <c r="Q4" s="25" t="inlineStr">
        <is>
          <t>Depends on</t>
        </is>
      </c>
      <c r="R4" s="25" t="inlineStr">
        <is>
          <t>Coverage %</t>
        </is>
      </c>
    </row>
    <row r="5" ht="33" customHeight="1">
      <c r="A5" s="7" t="inlineStr">
        <is>
          <t>L-001</t>
        </is>
      </c>
      <c r="B5" s="5" t="inlineStr">
        <is>
          <t>Cultural sensitivity (JA)</t>
        </is>
      </c>
      <c r="C5" s="6" t="inlineStr">
        <is>
          <t>69</t>
        </is>
      </c>
      <c r="D5" s="5" t="inlineStr">
        <is>
          <t>Stereotype-avoidance in dialogue / authentic items</t>
        </is>
      </c>
      <c r="E5" s="5" t="inlineStr">
        <is>
          <t>1. Native Japanese reviewer reads all listening.json + authentic.json
2. Flag stereotyped characters</t>
        </is>
      </c>
      <c r="F5" s="5" t="inlineStr">
        <is>
          <t>0 stereotyped depictions</t>
        </is>
      </c>
      <c r="G5" s="6" t="inlineStr">
        <is>
          <t>P3</t>
        </is>
      </c>
      <c r="H5" s="6" t="inlineStr">
        <is>
          <t>Major</t>
        </is>
      </c>
      <c r="I5" s="6" t="inlineStr">
        <is>
          <t>Manual</t>
        </is>
      </c>
      <c r="J5" s="5" t="inlineStr">
        <is>
          <t>No automated check today — manual only.</t>
        </is>
      </c>
      <c r="L5" t="inlineStr">
        <is>
          <t>Cultural-sensitivity reviewer</t>
        </is>
      </c>
      <c r="O5" t="inlineStr">
        <is>
          <t>Not Yet Run</t>
        </is>
      </c>
      <c r="R5" t="inlineStr">
        <is>
          <t>0%</t>
        </is>
      </c>
    </row>
    <row r="6" ht="35" customHeight="1">
      <c r="A6" s="7" t="inlineStr">
        <is>
          <t>L-002</t>
        </is>
      </c>
      <c r="B6" s="5" t="inlineStr">
        <is>
          <t>Cultural sensitivity (JA)</t>
        </is>
      </c>
      <c r="C6" s="6" t="inlineStr">
        <is>
          <t>69</t>
        </is>
      </c>
      <c r="D6" s="5" t="inlineStr">
        <is>
          <t>Appropriate cultural-context items (festivals, social norms)</t>
        </is>
      </c>
      <c r="E6" s="5" t="inlineStr">
        <is>
          <t>1. Verify cultural items represent contemporary Japan accurately
2. Flag outdated or stereotyped portrayals</t>
        </is>
      </c>
      <c r="F6" s="5" t="inlineStr">
        <is>
          <t>Cultural content accurate + respectful</t>
        </is>
      </c>
      <c r="G6" s="6" t="inlineStr">
        <is>
          <t>P3</t>
        </is>
      </c>
      <c r="H6" s="6" t="inlineStr">
        <is>
          <t>Major</t>
        </is>
      </c>
      <c r="I6" s="6" t="inlineStr">
        <is>
          <t>Manual</t>
        </is>
      </c>
      <c r="J6" s="5" t="inlineStr">
        <is>
          <t>No automated check today — manual only.</t>
        </is>
      </c>
      <c r="L6" t="inlineStr">
        <is>
          <t>Cultural-sensitivity reviewer</t>
        </is>
      </c>
      <c r="O6" t="inlineStr">
        <is>
          <t>Not Yet Run</t>
        </is>
      </c>
      <c r="R6" t="inlineStr">
        <is>
          <t>0%</t>
        </is>
      </c>
    </row>
    <row r="7" ht="32" customHeight="1">
      <c r="A7" s="7" t="inlineStr">
        <is>
          <t>L-003</t>
        </is>
      </c>
      <c r="B7" s="5" t="inlineStr">
        <is>
          <t>Cultural sensitivity (JA)</t>
        </is>
      </c>
      <c r="C7" s="6" t="inlineStr">
        <is>
          <t>69</t>
        </is>
      </c>
      <c r="D7" s="5" t="inlineStr">
        <is>
          <t>Gender-balance in dialogue speaker roles</t>
        </is>
      </c>
      <c r="E7" s="5" t="inlineStr">
        <is>
          <t>1. Count male vs female speakers across listening.json
2. Verify roles aren't gender-stereotyped</t>
        </is>
      </c>
      <c r="F7" s="5" t="inlineStr">
        <is>
          <t>Balanced gender representation</t>
        </is>
      </c>
      <c r="G7" s="6" t="inlineStr">
        <is>
          <t>P4</t>
        </is>
      </c>
      <c r="H7" s="6" t="inlineStr">
        <is>
          <t>Minor</t>
        </is>
      </c>
      <c r="I7" s="6" t="inlineStr">
        <is>
          <t>Manual</t>
        </is>
      </c>
      <c r="J7" s="5" t="inlineStr">
        <is>
          <t>No automated check today — manual only.</t>
        </is>
      </c>
      <c r="L7" t="inlineStr">
        <is>
          <t>Cultural-sensitivity reviewer</t>
        </is>
      </c>
      <c r="O7" t="inlineStr">
        <is>
          <t>Not Yet Run</t>
        </is>
      </c>
      <c r="R7" t="inlineStr">
        <is>
          <t>0%</t>
        </is>
      </c>
    </row>
    <row r="8" ht="33" customHeight="1">
      <c r="A8" s="7" t="inlineStr">
        <is>
          <t>L-004</t>
        </is>
      </c>
      <c r="B8" s="5" t="inlineStr">
        <is>
          <t>Cultural sensitivity (HI)</t>
        </is>
      </c>
      <c r="C8" s="6" t="inlineStr">
        <is>
          <t>70</t>
        </is>
      </c>
      <c r="D8" s="5" t="inlineStr">
        <is>
          <t>Indian-cultural-context items (if any) accuracy</t>
        </is>
      </c>
      <c r="E8" s="5" t="inlineStr">
        <is>
          <t>1. Verify any Hindi-locale cultural references are accurate
2. Verify Indian names used appropriately</t>
        </is>
      </c>
      <c r="F8" s="5" t="inlineStr">
        <is>
          <t>Indian-context accurate</t>
        </is>
      </c>
      <c r="G8" s="6" t="inlineStr">
        <is>
          <t>P3</t>
        </is>
      </c>
      <c r="H8" s="6" t="inlineStr">
        <is>
          <t>Major</t>
        </is>
      </c>
      <c r="I8" s="6" t="inlineStr">
        <is>
          <t>Manual</t>
        </is>
      </c>
      <c r="J8" s="5" t="inlineStr">
        <is>
          <t>No automated check today — manual only.</t>
        </is>
      </c>
      <c r="L8" t="inlineStr">
        <is>
          <t>Cultural-sensitivity reviewer</t>
        </is>
      </c>
      <c r="O8" t="inlineStr">
        <is>
          <t>Not Yet Run</t>
        </is>
      </c>
      <c r="R8" t="inlineStr">
        <is>
          <t>0%</t>
        </is>
      </c>
    </row>
    <row r="9" ht="30" customHeight="1">
      <c r="A9" s="7" t="inlineStr">
        <is>
          <t>L-005</t>
        </is>
      </c>
      <c r="B9" s="5" t="inlineStr">
        <is>
          <t>Cultural sensitivity (HI)</t>
        </is>
      </c>
      <c r="C9" s="6" t="inlineStr">
        <is>
          <t>70</t>
        </is>
      </c>
      <c r="D9" s="5" t="inlineStr">
        <is>
          <t>Pan-Indian neutrality (avoid Bombay/Delhi-specific)</t>
        </is>
      </c>
      <c r="E9" s="5" t="inlineStr">
        <is>
          <t>1. Native Hindi reviewer flags regionally-marked content
2. Replace with neutral equivalents</t>
        </is>
      </c>
      <c r="F9" s="5" t="inlineStr">
        <is>
          <t>0 regionally-marked items</t>
        </is>
      </c>
      <c r="G9" s="6" t="inlineStr">
        <is>
          <t>P5</t>
        </is>
      </c>
      <c r="H9" s="6" t="inlineStr">
        <is>
          <t>Minor</t>
        </is>
      </c>
      <c r="I9" s="6" t="inlineStr">
        <is>
          <t>Manual</t>
        </is>
      </c>
      <c r="J9" s="5" t="inlineStr">
        <is>
          <t>No automated check today — manual only.</t>
        </is>
      </c>
      <c r="L9" t="inlineStr">
        <is>
          <t>Cultural-sensitivity reviewer</t>
        </is>
      </c>
      <c r="O9" t="inlineStr">
        <is>
          <t>Not Yet Run</t>
        </is>
      </c>
      <c r="R9" t="inlineStr">
        <is>
          <t>0%</t>
        </is>
      </c>
    </row>
    <row r="10" ht="30" customHeight="1">
      <c r="A10" s="7" t="inlineStr">
        <is>
          <t>L-006</t>
        </is>
      </c>
      <c r="B10" s="5" t="inlineStr">
        <is>
          <t>Cultural sensitivity (HI)</t>
        </is>
      </c>
      <c r="C10" s="6" t="inlineStr">
        <is>
          <t>70</t>
        </is>
      </c>
      <c r="D10" s="5" t="inlineStr">
        <is>
          <t>Religious-festival neutrality</t>
        </is>
      </c>
      <c r="E10" s="5" t="inlineStr">
        <is>
          <t>1. Verify any festival references are presented neutrally (or rotate across festivals)</t>
        </is>
      </c>
      <c r="F10" s="5" t="inlineStr">
        <is>
          <t>Festival representation neutral</t>
        </is>
      </c>
      <c r="G10" s="6" t="inlineStr">
        <is>
          <t>P5</t>
        </is>
      </c>
      <c r="H10" s="6" t="inlineStr">
        <is>
          <t>Minor</t>
        </is>
      </c>
      <c r="I10" s="6" t="inlineStr">
        <is>
          <t>Manual</t>
        </is>
      </c>
      <c r="J10" s="5" t="inlineStr">
        <is>
          <t>No automated check today — manual only.</t>
        </is>
      </c>
      <c r="L10" t="inlineStr">
        <is>
          <t>Cultural-sensitivity reviewer</t>
        </is>
      </c>
      <c r="O10" t="inlineStr">
        <is>
          <t>Not Yet Run</t>
        </is>
      </c>
      <c r="R10" t="inlineStr">
        <is>
          <t>0%</t>
        </is>
      </c>
    </row>
    <row r="11" ht="36" customHeight="1">
      <c r="A11" s="7" t="inlineStr">
        <is>
          <t>L-007</t>
        </is>
      </c>
      <c r="B11" s="5" t="inlineStr">
        <is>
          <t>AI ethics / disclosure</t>
        </is>
      </c>
      <c r="C11" s="6" t="inlineStr">
        <is>
          <t>71</t>
        </is>
      </c>
      <c r="D11" s="5" t="inlineStr">
        <is>
          <t>UI-level LLM-curation disclosure</t>
        </is>
      </c>
      <c r="E11" s="5" t="inlineStr">
        <is>
          <t>1. Verify app has visible 'Content authored by AI, not native-reviewed' disclosure
2. Verify it's not buried</t>
        </is>
      </c>
      <c r="F11" s="5" t="inlineStr">
        <is>
          <t>Disclosure visible to learners</t>
        </is>
      </c>
      <c r="G11" s="6" t="inlineStr">
        <is>
          <t>P3</t>
        </is>
      </c>
      <c r="H11" s="6" t="inlineStr">
        <is>
          <t>Major</t>
        </is>
      </c>
      <c r="I11" s="6" t="inlineStr">
        <is>
          <t>Manual</t>
        </is>
      </c>
      <c r="J11" s="5" t="inlineStr">
        <is>
          <t>Currently only in CONTENT-LICENSE.md + AUDIT-COVERAGE</t>
        </is>
      </c>
      <c r="L11" t="inlineStr">
        <is>
          <t>Cultural-sensitivity reviewer</t>
        </is>
      </c>
      <c r="O11" t="inlineStr">
        <is>
          <t>Not Yet Run</t>
        </is>
      </c>
      <c r="R11" t="inlineStr">
        <is>
          <t>0%</t>
        </is>
      </c>
    </row>
    <row r="12" ht="30" customHeight="1">
      <c r="A12" s="7" t="inlineStr">
        <is>
          <t>L-008</t>
        </is>
      </c>
      <c r="B12" s="5" t="inlineStr">
        <is>
          <t>AI ethics / disclosure</t>
        </is>
      </c>
      <c r="C12" s="6" t="inlineStr">
        <is>
          <t>71</t>
        </is>
      </c>
      <c r="D12" s="5" t="inlineStr">
        <is>
          <t>Provenance per-entry transparency</t>
        </is>
      </c>
      <c r="E12" s="5" t="inlineStr">
        <is>
          <t>1. Per N5Improvement IMP-184 Avoid: provenance is NOT shown as UI trust signal
2. Verify</t>
        </is>
      </c>
      <c r="F12" s="5" t="inlineStr">
        <is>
          <t>Provenance not shown as trust signal</t>
        </is>
      </c>
      <c r="G12" s="6" t="inlineStr">
        <is>
          <t>P3</t>
        </is>
      </c>
      <c r="H12" s="6" t="inlineStr">
        <is>
          <t>Major</t>
        </is>
      </c>
      <c r="I12" s="6" t="inlineStr">
        <is>
          <t>Manual</t>
        </is>
      </c>
      <c r="J12" s="5" t="inlineStr">
        <is>
          <t>Already decided Avoid</t>
        </is>
      </c>
      <c r="L12" t="inlineStr">
        <is>
          <t>Cultural-sensitivity reviewer</t>
        </is>
      </c>
      <c r="O12" t="inlineStr">
        <is>
          <t>Not Yet Run</t>
        </is>
      </c>
      <c r="R12" t="inlineStr">
        <is>
          <t>0%</t>
        </is>
      </c>
    </row>
    <row r="13" ht="31" customHeight="1">
      <c r="A13" s="7" t="inlineStr">
        <is>
          <t>L-009</t>
        </is>
      </c>
      <c r="B13" s="5" t="inlineStr">
        <is>
          <t>AI ethics / disclosure</t>
        </is>
      </c>
      <c r="C13" s="6" t="inlineStr">
        <is>
          <t>71</t>
        </is>
      </c>
      <c r="D13" s="5" t="inlineStr">
        <is>
          <t>Confidence levels exposed appropriately (pitch-accent unverified)</t>
        </is>
      </c>
      <c r="E13" s="5" t="inlineStr">
        <is>
          <t>1. For `confidence: unverified` entries, verify learner-facing indication of lower confidence</t>
        </is>
      </c>
      <c r="F13" s="5" t="inlineStr">
        <is>
          <t>Unverified items flagged in UI OR documented choice not to</t>
        </is>
      </c>
      <c r="G13" s="6" t="inlineStr">
        <is>
          <t>P4</t>
        </is>
      </c>
      <c r="H13" s="6" t="inlineStr">
        <is>
          <t>Minor</t>
        </is>
      </c>
      <c r="I13" s="6" t="inlineStr">
        <is>
          <t>Manual</t>
        </is>
      </c>
      <c r="J13" s="5" t="inlineStr">
        <is>
          <t>No automated check today — manual only.</t>
        </is>
      </c>
      <c r="L13" t="inlineStr">
        <is>
          <t>Cultural-sensitivity reviewer</t>
        </is>
      </c>
      <c r="O13" t="inlineStr">
        <is>
          <t>Not Yet Run</t>
        </is>
      </c>
      <c r="R13" t="inlineStr">
        <is>
          <t>0%</t>
        </is>
      </c>
    </row>
    <row r="14" ht="30" customHeight="1">
      <c r="A14" s="7" t="inlineStr">
        <is>
          <t>L-010</t>
        </is>
      </c>
      <c r="B14" s="5" t="inlineStr">
        <is>
          <t>Trust &amp; safety</t>
        </is>
      </c>
      <c r="C14" s="6" t="inlineStr">
        <is>
          <t>72</t>
        </is>
      </c>
      <c r="D14" s="5" t="inlineStr">
        <is>
          <t>Feedback module content moderation (if UGC)</t>
        </is>
      </c>
      <c r="E14" s="5" t="inlineStr">
        <is>
          <t>1. If app accepts user feedback text, verify moderation flow
2. If no UGC, document</t>
        </is>
      </c>
      <c r="F14" s="5" t="inlineStr">
        <is>
          <t>UGC moderated OR not present</t>
        </is>
      </c>
      <c r="G14" s="6" t="inlineStr">
        <is>
          <t>P5</t>
        </is>
      </c>
      <c r="H14" s="6" t="inlineStr">
        <is>
          <t>Minor</t>
        </is>
      </c>
      <c r="I14" s="6" t="inlineStr">
        <is>
          <t>Manual</t>
        </is>
      </c>
      <c r="J14" s="5" t="inlineStr">
        <is>
          <t>No automated check today — manual only.</t>
        </is>
      </c>
      <c r="L14" t="inlineStr">
        <is>
          <t>Cultural-sensitivity reviewer</t>
        </is>
      </c>
      <c r="O14" t="inlineStr">
        <is>
          <t>Not Yet Run</t>
        </is>
      </c>
      <c r="R14" t="inlineStr">
        <is>
          <t>0%</t>
        </is>
      </c>
    </row>
    <row r="15">
      <c r="A15" s="26" t="inlineStr">
        <is>
          <t>L-011</t>
        </is>
      </c>
      <c r="B15" s="26" t="inlineStr">
        <is>
          <t>LLM disclosure timing</t>
        </is>
      </c>
      <c r="C15" s="26" t="inlineStr">
        <is>
          <t>2</t>
        </is>
      </c>
      <c r="D15" s="26" t="inlineStr">
        <is>
          <t>LLM-curation disclosure is shown BEFORE the user makes a trustworthiness judgment (not buried in About / Settings)</t>
        </is>
      </c>
      <c r="E15" s="26" t="inlineStr">
        <is>
          <t>1. From cold-start, monitor when the user encounters the disclosure (visible on home / first-lesson banner vs hidden in settings).
2. Pass: disclosure visible on first 2 screens; not behind ≥2 clicks.</t>
        </is>
      </c>
      <c r="F15" s="26" t="inlineStr">
        <is>
          <t>Disclosure visible within the first 2 screens; ≤1 click away from any content surface.</t>
        </is>
      </c>
      <c r="G15" s="26" t="inlineStr">
        <is>
          <t>P3</t>
        </is>
      </c>
      <c r="H15" s="26" t="inlineStr">
        <is>
          <t>Major</t>
        </is>
      </c>
      <c r="I15" s="26" t="inlineStr">
        <is>
          <t>Manual</t>
        </is>
      </c>
      <c r="J15" s="26" t="inlineStr">
        <is>
          <t>[BUG-032 new] Replaces vague L-007 'disclosure visible' angle.</t>
        </is>
      </c>
      <c r="K15" s="26" t="inlineStr"/>
      <c r="L15" s="26" t="inlineStr">
        <is>
          <t>Cultural-sensitivity reviewer + UX designer</t>
        </is>
      </c>
      <c r="M15" s="26" t="inlineStr">
        <is>
          <t>Manual review + heuristic eval</t>
        </is>
      </c>
      <c r="N15" s="26" t="n"/>
      <c r="O15" s="26" t="inlineStr">
        <is>
          <t>Not Yet Run</t>
        </is>
      </c>
      <c r="P15" s="26" t="n"/>
      <c r="Q15" s="26" t="n"/>
      <c r="R15" s="26"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17" text="Medium-High">
      <formula>NOT(ISERROR(SEARCH("Medium-High",G5)))</formula>
    </cfRule>
    <cfRule type="containsText" priority="3" operator="containsText" dxfId="31" text="Low-Medium">
      <formula>NOT(ISERROR(SEARCH("Low-Medium",G5)))</formula>
    </cfRule>
    <cfRule type="containsText" priority="4" operator="containsText" dxfId="4" text="High">
      <formula>NOT(ISERROR(SEARCH("High",G5)))</formula>
    </cfRule>
    <cfRule type="containsText" priority="5" operator="containsText" dxfId="3" text="Medium">
      <formula>NOT(ISERROR(SEARCH("Medium",G5)))</formula>
    </cfRule>
    <cfRule type="containsText" priority="6" operator="containsText" dxfId="2" text="Low">
      <formula>NOT(ISERROR(SEARCH("Low",G5)))</formula>
    </cfRule>
    <cfRule type="containsText" priority="7" operator="containsText" dxfId="5" text="P1">
      <formula>NOT(ISERROR(SEARCH("P1",G5)))</formula>
    </cfRule>
    <cfRule type="containsText" priority="8" operator="containsText" dxfId="4" text="P2">
      <formula>NOT(ISERROR(SEARCH("P2",G5)))</formula>
    </cfRule>
    <cfRule type="containsText" priority="9" operator="containsText" dxfId="3" text="P3">
      <formula>NOT(ISERROR(SEARCH("P3",G5)))</formula>
    </cfRule>
    <cfRule type="containsText" priority="10" operator="containsText" dxfId="2" text="P4">
      <formula>NOT(ISERROR(SEARCH("P4",G5)))</formula>
    </cfRule>
    <cfRule type="containsText" priority="11" operator="containsText" dxfId="1" text="P5">
      <formula>NOT(ISERROR(SEARCH("P5",G5)))</formula>
    </cfRule>
  </conditionalFormatting>
  <conditionalFormatting sqref="H5:H14">
    <cfRule type="containsText" priority="12" operator="containsText" dxfId="5" text="Critical">
      <formula>NOT(ISERROR(SEARCH("Critical",H5)))</formula>
    </cfRule>
    <cfRule type="containsText" priority="13" operator="containsText" dxfId="4" text="Major">
      <formula>NOT(ISERROR(SEARCH("Major",H5)))</formula>
    </cfRule>
    <cfRule type="containsText" priority="14" operator="containsText" dxfId="3" text="Minor">
      <formula>NOT(ISERROR(SEARCH("Minor",H5)))</formula>
    </cfRule>
  </conditionalFormatting>
  <conditionalFormatting sqref="I5:I14">
    <cfRule type="containsText" priority="15" operator="containsText" dxfId="18" text="Auto+Manual">
      <formula>NOT(ISERROR(SEARCH("Auto+Manual",I5)))</formula>
    </cfRule>
    <cfRule type="containsText" priority="16" operator="containsText" dxfId="18" text="Hybrid">
      <formula>NOT(ISERROR(SEARCH("Hybrid",I5)))</formula>
    </cfRule>
    <cfRule type="containsText" priority="17" operator="containsText" dxfId="17"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4"/>
  <sheetViews>
    <sheetView workbookViewId="0">
      <pane ySplit="4" topLeftCell="A5" activePane="bottomLeft" state="frozen"/>
      <selection pane="bottomLeft" activeCell="H24" sqref="H24"/>
    </sheetView>
  </sheetViews>
  <sheetFormatPr baseColWidth="8" defaultRowHeight="14.5"/>
  <cols>
    <col width="10" customWidth="1" min="1" max="1"/>
    <col width="19.08984375" customWidth="1" min="2" max="2"/>
    <col width="9.08984375" customWidth="1" min="3" max="3"/>
    <col width="43.6328125" customWidth="1" min="4" max="4"/>
    <col width="50.90625" customWidth="1" min="5" max="5"/>
    <col width="40" customWidth="1" min="6" max="6"/>
    <col width="14.54296875" customWidth="1" min="7" max="7"/>
    <col width="16.36328125" customWidth="1" min="8" max="8"/>
    <col width="14.54296875" customWidth="1" min="9" max="9"/>
    <col width="32.7265625" customWidth="1" min="10" max="10"/>
    <col width="16" customWidth="1" min="11" max="11"/>
    <col width="24" customWidth="1" min="12" max="12"/>
    <col width="32" customWidth="1" min="13" max="13"/>
    <col width="14" customWidth="1" min="14" max="14"/>
    <col width="14" customWidth="1" min="15" max="15"/>
    <col width="18" customWidth="1" min="16" max="16"/>
    <col width="16" customWidth="1" min="17" max="17"/>
    <col width="12" customWidth="1" min="18" max="18"/>
  </cols>
  <sheetData>
    <row r="1" ht="28" customHeight="1">
      <c r="A1" s="9" t="inlineStr">
        <is>
          <t>M. Operations</t>
        </is>
      </c>
    </row>
    <row r="2" ht="36" customHeight="1">
      <c r="A2" s="10" t="inlineStr">
        <is>
          <t>Perspectives: DevOps/SRE, analytics, customer-support, documentation (perspectives 73-76)</t>
        </is>
      </c>
    </row>
    <row r="4" ht="24" customHeight="1">
      <c r="A4" s="12" t="inlineStr">
        <is>
          <t>ID</t>
        </is>
      </c>
      <c r="B4" s="12" t="inlineStr">
        <is>
          <t>Sub-category</t>
        </is>
      </c>
      <c r="C4" s="12" t="inlineStr">
        <is>
          <t>Persp #</t>
        </is>
      </c>
      <c r="D4" s="12" t="inlineStr">
        <is>
          <t>Scenario</t>
        </is>
      </c>
      <c r="E4" s="12" t="inlineStr">
        <is>
          <t>Test steps</t>
        </is>
      </c>
      <c r="F4" s="12" t="inlineStr">
        <is>
          <t>Expected result</t>
        </is>
      </c>
      <c r="G4" s="12" t="inlineStr">
        <is>
          <t>Priority</t>
        </is>
      </c>
      <c r="H4" s="12" t="inlineStr">
        <is>
          <t>Severity if fails</t>
        </is>
      </c>
      <c r="I4" s="12" t="inlineStr">
        <is>
          <t>Test type</t>
        </is>
      </c>
      <c r="J4" s="12" t="inlineStr">
        <is>
          <t>Notes</t>
        </is>
      </c>
      <c r="K4" s="25" t="inlineStr">
        <is>
          <t>Estimated effort</t>
        </is>
      </c>
      <c r="L4" s="25" t="inlineStr">
        <is>
          <t>Owner / role</t>
        </is>
      </c>
      <c r="M4" s="25" t="inlineStr">
        <is>
          <t>Tools / scripts required</t>
        </is>
      </c>
      <c r="N4" s="25" t="inlineStr">
        <is>
          <t>Last run date</t>
        </is>
      </c>
      <c r="O4" s="25" t="inlineStr">
        <is>
          <t>Last run result</t>
        </is>
      </c>
      <c r="P4" s="25" t="inlineStr">
        <is>
          <t>Tracker link</t>
        </is>
      </c>
      <c r="Q4" s="25" t="inlineStr">
        <is>
          <t>Depends on</t>
        </is>
      </c>
      <c r="R4" s="25" t="inlineStr">
        <is>
          <t>Coverage %</t>
        </is>
      </c>
    </row>
    <row r="5" ht="30" customHeight="1">
      <c r="A5" s="7" t="inlineStr">
        <is>
          <t>M-001</t>
        </is>
      </c>
      <c r="B5" s="5" t="inlineStr">
        <is>
          <t>DevOps</t>
        </is>
      </c>
      <c r="C5" s="6" t="inlineStr">
        <is>
          <t>73</t>
        </is>
      </c>
      <c r="D5" s="5" t="inlineStr">
        <is>
          <t>Deploy rollback procedure</t>
        </is>
      </c>
      <c r="E5" s="5" t="inlineStr">
        <is>
          <t>1. Push a bad deploy intentionally
2. Verify rollback &lt; 5 min</t>
        </is>
      </c>
      <c r="F5" s="5" t="inlineStr">
        <is>
          <t>Rollback works</t>
        </is>
      </c>
      <c r="G5" s="6" t="inlineStr">
        <is>
          <t>P3</t>
        </is>
      </c>
      <c r="H5" s="6" t="inlineStr">
        <is>
          <t>Major</t>
        </is>
      </c>
      <c r="I5" s="6" t="inlineStr">
        <is>
          <t>Manual</t>
        </is>
      </c>
      <c r="J5" s="5" t="inlineStr">
        <is>
          <t>[BUG-026] ELEVATED: Major severity (deploy rollback procedure) — downtime risk if no rollback. Elevated from P4 to P3 per BUG-026.</t>
        </is>
      </c>
      <c r="L5" t="inlineStr">
        <is>
          <t>DevOps / SRE</t>
        </is>
      </c>
      <c r="O5" t="inlineStr">
        <is>
          <t>Not Yet Run</t>
        </is>
      </c>
      <c r="R5" t="inlineStr">
        <is>
          <t>0%</t>
        </is>
      </c>
    </row>
    <row r="6" ht="30" customHeight="1">
      <c r="A6" s="7" t="inlineStr">
        <is>
          <t>M-002</t>
        </is>
      </c>
      <c r="B6" s="5" t="inlineStr">
        <is>
          <t>DevOps</t>
        </is>
      </c>
      <c r="C6" s="6" t="inlineStr">
        <is>
          <t>73</t>
        </is>
      </c>
      <c r="D6" s="5" t="inlineStr">
        <is>
          <t>Uptime monitoring (e.g., UptimeRobot)</t>
        </is>
      </c>
      <c r="E6" s="5" t="inlineStr">
        <is>
          <t>1. Verify external monitor pings homepage
2. Verify alert on downtime</t>
        </is>
      </c>
      <c r="F6" s="5" t="inlineStr">
        <is>
          <t>Monitoring + alerting active</t>
        </is>
      </c>
      <c r="G6" s="6" t="inlineStr">
        <is>
          <t>P5</t>
        </is>
      </c>
      <c r="H6" s="6" t="inlineStr">
        <is>
          <t>Minor</t>
        </is>
      </c>
      <c r="I6" s="6" t="inlineStr">
        <is>
          <t>Manual</t>
        </is>
      </c>
      <c r="J6" s="5" t="inlineStr">
        <is>
          <t>No automated check today — manual only.</t>
        </is>
      </c>
      <c r="L6" t="inlineStr">
        <is>
          <t>DevOps / SRE</t>
        </is>
      </c>
      <c r="O6" t="inlineStr">
        <is>
          <t>Not Yet Run</t>
        </is>
      </c>
      <c r="R6" t="inlineStr">
        <is>
          <t>0%</t>
        </is>
      </c>
    </row>
    <row r="7" ht="30" customHeight="1">
      <c r="A7" s="7" t="inlineStr">
        <is>
          <t>M-003</t>
        </is>
      </c>
      <c r="B7" s="5" t="inlineStr">
        <is>
          <t>DevOps</t>
        </is>
      </c>
      <c r="C7" s="6" t="inlineStr">
        <is>
          <t>73</t>
        </is>
      </c>
      <c r="D7" s="5" t="inlineStr">
        <is>
          <t>CI-failure alerting</t>
        </is>
      </c>
      <c r="E7" s="5" t="inlineStr">
        <is>
          <t>1. Cause CI failure
2. Verify maintainer notified</t>
        </is>
      </c>
      <c r="F7" s="5" t="inlineStr">
        <is>
          <t>CI alerts work</t>
        </is>
      </c>
      <c r="G7" s="6" t="inlineStr">
        <is>
          <t>P5</t>
        </is>
      </c>
      <c r="H7" s="6" t="inlineStr">
        <is>
          <t>Minor</t>
        </is>
      </c>
      <c r="I7" s="6" t="inlineStr">
        <is>
          <t>Manual</t>
        </is>
      </c>
      <c r="J7" s="5" t="inlineStr">
        <is>
          <t>No automated check today — manual only.</t>
        </is>
      </c>
      <c r="L7" t="inlineStr">
        <is>
          <t>DevOps / SRE</t>
        </is>
      </c>
      <c r="O7" t="inlineStr">
        <is>
          <t>Not Yet Run</t>
        </is>
      </c>
      <c r="R7" t="inlineStr">
        <is>
          <t>0%</t>
        </is>
      </c>
    </row>
    <row r="8" ht="38" customHeight="1">
      <c r="A8" s="7" t="inlineStr">
        <is>
          <t>M-004</t>
        </is>
      </c>
      <c r="B8" s="5" t="inlineStr">
        <is>
          <t>Analytics</t>
        </is>
      </c>
      <c r="C8" s="6" t="inlineStr">
        <is>
          <t>74</t>
        </is>
      </c>
      <c r="D8" s="5" t="inlineStr">
        <is>
          <t>Privacy-respecting analytics verification (or zero-analytics)</t>
        </is>
      </c>
      <c r="E8" s="5" t="inlineStr">
        <is>
          <t>1. Inspect production network for analytics calls
2. Verify either zero OR privacy-respecting (Plausible / Fathom)</t>
        </is>
      </c>
      <c r="F8" s="5" t="inlineStr">
        <is>
          <t>Privacy-respecting OR zero</t>
        </is>
      </c>
      <c r="G8" s="6" t="inlineStr">
        <is>
          <t>P5</t>
        </is>
      </c>
      <c r="H8" s="6" t="inlineStr">
        <is>
          <t>Minor</t>
        </is>
      </c>
      <c r="I8" s="6" t="inlineStr">
        <is>
          <t>Manual</t>
        </is>
      </c>
      <c r="J8" s="5" t="inlineStr">
        <is>
          <t>Currently claims zero tracking</t>
        </is>
      </c>
      <c r="L8" t="inlineStr">
        <is>
          <t>DevOps / SRE</t>
        </is>
      </c>
      <c r="O8" t="inlineStr">
        <is>
          <t>Not Yet Run</t>
        </is>
      </c>
      <c r="R8" t="inlineStr">
        <is>
          <t>0%</t>
        </is>
      </c>
    </row>
    <row r="9" ht="30" customHeight="1">
      <c r="A9" s="7" t="inlineStr">
        <is>
          <t>M-005</t>
        </is>
      </c>
      <c r="B9" s="5" t="inlineStr">
        <is>
          <t>Customer support</t>
        </is>
      </c>
      <c r="C9" s="6" t="inlineStr">
        <is>
          <t>75</t>
        </is>
      </c>
      <c r="D9" s="5" t="inlineStr">
        <is>
          <t>Feedback-triage SLA</t>
        </is>
      </c>
      <c r="E9" s="5" t="inlineStr">
        <is>
          <t>1. Submit a test feedback item
2. Measure time to acknowledgment</t>
        </is>
      </c>
      <c r="F9" s="5" t="inlineStr">
        <is>
          <t>SLA met (e.g., 48h)</t>
        </is>
      </c>
      <c r="G9" s="6" t="inlineStr">
        <is>
          <t>P5</t>
        </is>
      </c>
      <c r="H9" s="6" t="inlineStr">
        <is>
          <t>Minor</t>
        </is>
      </c>
      <c r="I9" s="6" t="inlineStr">
        <is>
          <t>Manual</t>
        </is>
      </c>
      <c r="J9" s="5" t="inlineStr">
        <is>
          <t>N5/feedback/ files exist</t>
        </is>
      </c>
      <c r="L9" t="inlineStr">
        <is>
          <t>DevOps / SRE</t>
        </is>
      </c>
      <c r="O9" t="inlineStr">
        <is>
          <t>Not Yet Run</t>
        </is>
      </c>
      <c r="R9" t="inlineStr">
        <is>
          <t>0%</t>
        </is>
      </c>
    </row>
    <row r="10" ht="31" customHeight="1">
      <c r="A10" s="7" t="inlineStr">
        <is>
          <t>M-006</t>
        </is>
      </c>
      <c r="B10" s="5" t="inlineStr">
        <is>
          <t>Customer support</t>
        </is>
      </c>
      <c r="C10" s="6" t="inlineStr">
        <is>
          <t>75</t>
        </is>
      </c>
      <c r="D10" s="5" t="inlineStr">
        <is>
          <t>Feedback-to-fix conversion rate</t>
        </is>
      </c>
      <c r="E10" s="5" t="inlineStr">
        <is>
          <t>1. Audit last 10 feedback items
2. Verify each has a disposition (fixed / deferred / wontfix)</t>
        </is>
      </c>
      <c r="F10" s="5" t="inlineStr">
        <is>
          <t>All feedback items dispositioned</t>
        </is>
      </c>
      <c r="G10" s="6" t="inlineStr">
        <is>
          <t>P5</t>
        </is>
      </c>
      <c r="H10" s="6" t="inlineStr">
        <is>
          <t>Minor</t>
        </is>
      </c>
      <c r="I10" s="6" t="inlineStr">
        <is>
          <t>Manual</t>
        </is>
      </c>
      <c r="J10" s="5" t="inlineStr">
        <is>
          <t>No automated check today — manual only.</t>
        </is>
      </c>
      <c r="L10" t="inlineStr">
        <is>
          <t>DevOps / SRE</t>
        </is>
      </c>
      <c r="O10" t="inlineStr">
        <is>
          <t>Not Yet Run</t>
        </is>
      </c>
      <c r="R10" t="inlineStr">
        <is>
          <t>0%</t>
        </is>
      </c>
    </row>
    <row r="11" ht="30" customHeight="1">
      <c r="A11" s="7" t="inlineStr">
        <is>
          <t>M-007</t>
        </is>
      </c>
      <c r="B11" s="5" t="inlineStr">
        <is>
          <t>Documentation</t>
        </is>
      </c>
      <c r="C11" s="6" t="inlineStr">
        <is>
          <t>76</t>
        </is>
      </c>
      <c r="D11" s="5" t="inlineStr">
        <is>
          <t>README accuracy (matches actual state)</t>
        </is>
      </c>
      <c r="E11" s="5" t="inlineStr">
        <is>
          <t>1. Read README
2. Verify every claim matches repo</t>
        </is>
      </c>
      <c r="F11" s="5" t="inlineStr">
        <is>
          <t>README accurate</t>
        </is>
      </c>
      <c r="G11" s="6" t="inlineStr">
        <is>
          <t>P5</t>
        </is>
      </c>
      <c r="H11" s="6" t="inlineStr">
        <is>
          <t>Minor</t>
        </is>
      </c>
      <c r="I11" s="6" t="inlineStr">
        <is>
          <t>Manual</t>
        </is>
      </c>
      <c r="J11" s="5" t="inlineStr">
        <is>
          <t>No automated check today — manual only.</t>
        </is>
      </c>
      <c r="L11" t="inlineStr">
        <is>
          <t>DevOps / SRE</t>
        </is>
      </c>
      <c r="O11" t="inlineStr">
        <is>
          <t>Not Yet Run</t>
        </is>
      </c>
      <c r="R11" t="inlineStr">
        <is>
          <t>0%</t>
        </is>
      </c>
    </row>
    <row r="12" ht="30" customHeight="1">
      <c r="A12" s="7" t="inlineStr">
        <is>
          <t>M-008</t>
        </is>
      </c>
      <c r="B12" s="5" t="inlineStr">
        <is>
          <t>Documentation</t>
        </is>
      </c>
      <c r="C12" s="6" t="inlineStr">
        <is>
          <t>76</t>
        </is>
      </c>
      <c r="D12" s="5" t="inlineStr">
        <is>
          <t>Contribution guide accuracy</t>
        </is>
      </c>
      <c r="E12" s="5" t="inlineStr">
        <is>
          <t>1. New contributor follows CONTRIBUTING.md
2. Verify steps work</t>
        </is>
      </c>
      <c r="F12" s="5" t="inlineStr">
        <is>
          <t>Onboarding-by-doc works</t>
        </is>
      </c>
      <c r="G12" s="6" t="inlineStr">
        <is>
          <t>P5</t>
        </is>
      </c>
      <c r="H12" s="6" t="inlineStr">
        <is>
          <t>Minor</t>
        </is>
      </c>
      <c r="I12" s="6" t="inlineStr">
        <is>
          <t>Manual</t>
        </is>
      </c>
      <c r="J12" s="5" t="inlineStr">
        <is>
          <t>No automated check today — manual only.</t>
        </is>
      </c>
      <c r="L12" t="inlineStr">
        <is>
          <t>DevOps / SRE</t>
        </is>
      </c>
      <c r="O12" t="inlineStr">
        <is>
          <t>Not Yet Run</t>
        </is>
      </c>
      <c r="R12" t="inlineStr">
        <is>
          <t>0%</t>
        </is>
      </c>
    </row>
    <row r="13" ht="30" customHeight="1">
      <c r="A13" s="7" t="inlineStr">
        <is>
          <t>M-009</t>
        </is>
      </c>
      <c r="B13" s="5" t="inlineStr">
        <is>
          <t>Documentation</t>
        </is>
      </c>
      <c r="C13" s="6" t="inlineStr">
        <is>
          <t>76</t>
        </is>
      </c>
      <c r="D13" s="5" t="inlineStr">
        <is>
          <t>Cross-link integrity within /docs</t>
        </is>
      </c>
      <c r="E13" s="5" t="inlineStr">
        <is>
          <t>1. Render all docs/*.md
2. Verify all internal links resolve</t>
        </is>
      </c>
      <c r="F13" s="5" t="inlineStr">
        <is>
          <t>0 broken doc links</t>
        </is>
      </c>
      <c r="G13" s="6" t="inlineStr">
        <is>
          <t>P5</t>
        </is>
      </c>
      <c r="H13" s="6" t="inlineStr">
        <is>
          <t>Minor</t>
        </is>
      </c>
      <c r="I13" s="6" t="inlineStr">
        <is>
          <t>Auto</t>
        </is>
      </c>
      <c r="J13" s="5" t="inlineStr">
        <is>
          <t>No automated check today — manual only.</t>
        </is>
      </c>
      <c r="L13" t="inlineStr">
        <is>
          <t>DevOps / SRE</t>
        </is>
      </c>
      <c r="O13" t="inlineStr">
        <is>
          <t>Not Yet Run</t>
        </is>
      </c>
      <c r="R13" t="inlineStr">
        <is>
          <t>0%</t>
        </is>
      </c>
    </row>
    <row r="14" ht="30" customHeight="1">
      <c r="A14" s="7" t="inlineStr">
        <is>
          <t>M-010</t>
        </is>
      </c>
      <c r="B14" s="5" t="inlineStr">
        <is>
          <t>Documentation</t>
        </is>
      </c>
      <c r="C14" s="6" t="inlineStr">
        <is>
          <t>76</t>
        </is>
      </c>
      <c r="D14" s="5" t="inlineStr">
        <is>
          <t>Audit-coverage doc dated correctly + reflecting current commit</t>
        </is>
      </c>
      <c r="E14" s="5" t="inlineStr">
        <is>
          <t>1. Open AUDIT-COVERAGE-YYYY-MM-DD.md
2. Verify date matches last data-change commit</t>
        </is>
      </c>
      <c r="F14" s="5" t="inlineStr">
        <is>
          <t>Coverage doc current</t>
        </is>
      </c>
      <c r="G14" s="6" t="inlineStr">
        <is>
          <t>P5</t>
        </is>
      </c>
      <c r="H14" s="6" t="inlineStr">
        <is>
          <t>Minor</t>
        </is>
      </c>
      <c r="I14" s="6" t="inlineStr">
        <is>
          <t>Manual</t>
        </is>
      </c>
      <c r="J14" s="5" t="inlineStr">
        <is>
          <t>Operational scenario; no automated check today — manual only. Run quarterly during ops review.</t>
        </is>
      </c>
      <c r="L14" t="inlineStr">
        <is>
          <t>DevOps / SRE</t>
        </is>
      </c>
      <c r="O14" t="inlineStr">
        <is>
          <t>Not Yet Run</t>
        </is>
      </c>
      <c r="R14"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17" text="Medium-High">
      <formula>NOT(ISERROR(SEARCH("Medium-High",G5)))</formula>
    </cfRule>
    <cfRule type="containsText" priority="3" operator="containsText" dxfId="31" text="Low-Medium">
      <formula>NOT(ISERROR(SEARCH("Low-Medium",G5)))</formula>
    </cfRule>
    <cfRule type="containsText" priority="4" operator="containsText" dxfId="4" text="High">
      <formula>NOT(ISERROR(SEARCH("High",G5)))</formula>
    </cfRule>
    <cfRule type="containsText" priority="5" operator="containsText" dxfId="3" text="Medium">
      <formula>NOT(ISERROR(SEARCH("Medium",G5)))</formula>
    </cfRule>
    <cfRule type="containsText" priority="6" operator="containsText" dxfId="2" text="Low">
      <formula>NOT(ISERROR(SEARCH("Low",G5)))</formula>
    </cfRule>
    <cfRule type="containsText" priority="7" operator="containsText" dxfId="5" text="P1">
      <formula>NOT(ISERROR(SEARCH("P1",G5)))</formula>
    </cfRule>
    <cfRule type="containsText" priority="8" operator="containsText" dxfId="4" text="P2">
      <formula>NOT(ISERROR(SEARCH("P2",G5)))</formula>
    </cfRule>
    <cfRule type="containsText" priority="9" operator="containsText" dxfId="3" text="P3">
      <formula>NOT(ISERROR(SEARCH("P3",G5)))</formula>
    </cfRule>
    <cfRule type="containsText" priority="10" operator="containsText" dxfId="2" text="P4">
      <formula>NOT(ISERROR(SEARCH("P4",G5)))</formula>
    </cfRule>
    <cfRule type="containsText" priority="11" operator="containsText" dxfId="1" text="P5">
      <formula>NOT(ISERROR(SEARCH("P5",G5)))</formula>
    </cfRule>
  </conditionalFormatting>
  <conditionalFormatting sqref="H5:H14">
    <cfRule type="containsText" priority="12" operator="containsText" dxfId="5" text="Critical">
      <formula>NOT(ISERROR(SEARCH("Critical",H5)))</formula>
    </cfRule>
    <cfRule type="containsText" priority="13" operator="containsText" dxfId="4" text="Major">
      <formula>NOT(ISERROR(SEARCH("Major",H5)))</formula>
    </cfRule>
    <cfRule type="containsText" priority="14" operator="containsText" dxfId="3" text="Minor">
      <formula>NOT(ISERROR(SEARCH("Minor",H5)))</formula>
    </cfRule>
  </conditionalFormatting>
  <conditionalFormatting sqref="I5:I14">
    <cfRule type="containsText" priority="15" operator="containsText" dxfId="18" text="Auto+Manual">
      <formula>NOT(ISERROR(SEARCH("Auto+Manual",I5)))</formula>
    </cfRule>
    <cfRule type="containsText" priority="16" operator="containsText" dxfId="18" text="Hybrid">
      <formula>NOT(ISERROR(SEARCH("Hybrid",I5)))</formula>
    </cfRule>
    <cfRule type="containsText" priority="17" operator="containsText" dxfId="17"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pane="bottomLeft" activeCell="H24" sqref="H24"/>
    </sheetView>
  </sheetViews>
  <sheetFormatPr baseColWidth="8" defaultRowHeight="14.5"/>
  <cols>
    <col width="10" customWidth="1" min="1" max="1"/>
    <col width="19.08984375" customWidth="1" min="2" max="2"/>
    <col width="9.08984375" customWidth="1" min="3" max="3"/>
    <col width="43.6328125" customWidth="1" min="4" max="4"/>
    <col width="50.90625" customWidth="1" min="5" max="5"/>
    <col width="40" customWidth="1" min="6" max="6"/>
    <col width="14.54296875" customWidth="1" min="7" max="7"/>
    <col width="16.36328125" customWidth="1" min="8" max="8"/>
    <col width="14.54296875" customWidth="1" min="9" max="9"/>
    <col width="32.7265625" customWidth="1" min="10" max="10"/>
    <col width="16" customWidth="1" min="11" max="11"/>
    <col width="24" customWidth="1" min="12" max="12"/>
    <col width="32" customWidth="1" min="13" max="13"/>
    <col width="14" customWidth="1" min="14" max="14"/>
    <col width="14" customWidth="1" min="15" max="15"/>
    <col width="18" customWidth="1" min="16" max="16"/>
    <col width="16" customWidth="1" min="17" max="17"/>
    <col width="12" customWidth="1" min="18" max="18"/>
  </cols>
  <sheetData>
    <row r="1" ht="28" customHeight="1">
      <c r="A1" s="9" t="inlineStr">
        <is>
          <t>N. End-user POV</t>
        </is>
      </c>
    </row>
    <row r="2" ht="36" customHeight="1">
      <c r="A2" s="10" t="inlineStr">
        <is>
          <t>Perspectives: Primary-persona learner, self-study, classroom-instructor, returning-learner, bilingual-toggle, mobile/emerging-market, visually-impaired, cognitively-diverse (perspectives 77-84)</t>
        </is>
      </c>
    </row>
    <row r="4" ht="24" customHeight="1">
      <c r="A4" s="12" t="inlineStr">
        <is>
          <t>ID</t>
        </is>
      </c>
      <c r="B4" s="12" t="inlineStr">
        <is>
          <t>Sub-category</t>
        </is>
      </c>
      <c r="C4" s="12" t="inlineStr">
        <is>
          <t>Persp #</t>
        </is>
      </c>
      <c r="D4" s="12" t="inlineStr">
        <is>
          <t>Scenario</t>
        </is>
      </c>
      <c r="E4" s="12" t="inlineStr">
        <is>
          <t>Test steps</t>
        </is>
      </c>
      <c r="F4" s="12" t="inlineStr">
        <is>
          <t>Expected result</t>
        </is>
      </c>
      <c r="G4" s="12" t="inlineStr">
        <is>
          <t>Priority</t>
        </is>
      </c>
      <c r="H4" s="12" t="inlineStr">
        <is>
          <t>Severity if fails</t>
        </is>
      </c>
      <c r="I4" s="12" t="inlineStr">
        <is>
          <t>Test type</t>
        </is>
      </c>
      <c r="J4" s="12" t="inlineStr">
        <is>
          <t>Notes</t>
        </is>
      </c>
      <c r="K4" s="25" t="inlineStr">
        <is>
          <t>Estimated effort</t>
        </is>
      </c>
      <c r="L4" s="25" t="inlineStr">
        <is>
          <t>Owner / role</t>
        </is>
      </c>
      <c r="M4" s="25" t="inlineStr">
        <is>
          <t>Tools / scripts required</t>
        </is>
      </c>
      <c r="N4" s="25" t="inlineStr">
        <is>
          <t>Last run date</t>
        </is>
      </c>
      <c r="O4" s="25" t="inlineStr">
        <is>
          <t>Last run result</t>
        </is>
      </c>
      <c r="P4" s="25" t="inlineStr">
        <is>
          <t>Tracker link</t>
        </is>
      </c>
      <c r="Q4" s="25" t="inlineStr">
        <is>
          <t>Depends on</t>
        </is>
      </c>
      <c r="R4" s="25" t="inlineStr">
        <is>
          <t>Coverage %</t>
        </is>
      </c>
    </row>
    <row r="5" ht="30" customHeight="1">
      <c r="A5" s="7" t="inlineStr">
        <is>
          <t>N-001</t>
        </is>
      </c>
      <c r="B5" s="5" t="inlineStr">
        <is>
          <t>Primary persona</t>
        </is>
      </c>
      <c r="C5" s="6" t="inlineStr">
        <is>
          <t>77</t>
        </is>
      </c>
      <c r="D5" s="5" t="inlineStr">
        <is>
          <t>Hindi-L1 + EN-L2 + JA-L3 learner first session</t>
        </is>
      </c>
      <c r="E5" s="5" t="inlineStr">
        <is>
          <t>1. Recruit such learner
2. Observe 30-min session
3. Note language-switching cognitive load</t>
        </is>
      </c>
      <c r="F5" s="5" t="inlineStr">
        <is>
          <t>Learner completes ≥1 module without aborting</t>
        </is>
      </c>
      <c r="G5" s="6" t="inlineStr">
        <is>
          <t>P3</t>
        </is>
      </c>
      <c r="H5" s="6" t="inlineStr">
        <is>
          <t>Major</t>
        </is>
      </c>
      <c r="I5" s="6" t="inlineStr">
        <is>
          <t>Manual</t>
        </is>
      </c>
      <c r="J5" s="5" t="inlineStr">
        <is>
          <t>No automated check today — manual only. | [BUG-034] Onboarding scenario; overlaps with D-013/D-014 but retained for end-to-end-journey angle (cold-start + first-lesson completion across UX + content + i18n).</t>
        </is>
      </c>
      <c r="L5" t="inlineStr">
        <is>
          <t>Primary-persona learner (HI-L1, EN-L2)</t>
        </is>
      </c>
      <c r="O5" t="inlineStr">
        <is>
          <t>Not Yet Run</t>
        </is>
      </c>
      <c r="R5" t="inlineStr">
        <is>
          <t>0%</t>
        </is>
      </c>
    </row>
    <row r="6" ht="30" customHeight="1">
      <c r="A6" s="7" t="inlineStr">
        <is>
          <t>N-002</t>
        </is>
      </c>
      <c r="B6" s="5" t="inlineStr">
        <is>
          <t>Primary persona</t>
        </is>
      </c>
      <c r="C6" s="6" t="inlineStr">
        <is>
          <t>77</t>
        </is>
      </c>
      <c r="D6" s="5" t="inlineStr">
        <is>
          <t>Mid-session locale toggle behavior</t>
        </is>
      </c>
      <c r="E6" s="5" t="inlineStr">
        <is>
          <t>1. Learner toggles EN ↔ HI mid-lesson
2. Verify state preserved + content adapts</t>
        </is>
      </c>
      <c r="F6" s="5" t="inlineStr">
        <is>
          <t>Toggle is non-destructive</t>
        </is>
      </c>
      <c r="G6" s="6" t="inlineStr">
        <is>
          <t>P3</t>
        </is>
      </c>
      <c r="H6" s="6" t="inlineStr">
        <is>
          <t>Major</t>
        </is>
      </c>
      <c r="I6" s="6" t="inlineStr">
        <is>
          <t>Manual</t>
        </is>
      </c>
      <c r="J6" s="5" t="inlineStr">
        <is>
          <t>No automated check today — manual only. | [BUG-034] Onboarding scenario; overlaps with D-014 but retained for end-to-end-journey angle.</t>
        </is>
      </c>
      <c r="L6" t="inlineStr">
        <is>
          <t>Primary-persona learner (HI-L1, EN-L2)</t>
        </is>
      </c>
      <c r="O6" t="inlineStr">
        <is>
          <t>Not Yet Run</t>
        </is>
      </c>
      <c r="R6" t="inlineStr">
        <is>
          <t>0%</t>
        </is>
      </c>
    </row>
    <row r="7" ht="30" customHeight="1">
      <c r="A7" s="7" t="inlineStr">
        <is>
          <t>N-003</t>
        </is>
      </c>
      <c r="B7" s="5" t="inlineStr">
        <is>
          <t>Self-study</t>
        </is>
      </c>
      <c r="C7" s="6" t="inlineStr">
        <is>
          <t>78</t>
        </is>
      </c>
      <c r="D7" s="5" t="inlineStr">
        <is>
          <t>Day-1 learner can complete a full vocab session unaided</t>
        </is>
      </c>
      <c r="E7" s="5" t="inlineStr">
        <is>
          <t>Method: unmoderated remote first-task completion (Maze / Loop11 / similar).
Sample: 10 participants matching the primary persona (HI-L1 self-study learner).
Pass criterion: ≥8 of 10 complete the onboarding-to-first-lesson flow without contacting support.</t>
        </is>
      </c>
      <c r="F7" s="5" t="inlineStr">
        <is>
          <t>≥80% completion without help</t>
        </is>
      </c>
      <c r="G7" s="6" t="inlineStr">
        <is>
          <t>P3</t>
        </is>
      </c>
      <c r="H7" s="6" t="inlineStr">
        <is>
          <t>Major</t>
        </is>
      </c>
      <c r="I7" s="6" t="inlineStr">
        <is>
          <t>Manual</t>
        </is>
      </c>
      <c r="J7" s="5" t="inlineStr">
        <is>
          <t>UX evaluation method and sample size now specified in Test-steps cell per BUG-031. | [BUG-034] Day-1 completion; overlaps with D-013 — see UX-augmented Test-steps per BUG-031. End-to-end-journey lens retained.</t>
        </is>
      </c>
      <c r="L7" t="inlineStr">
        <is>
          <t>Primary-persona learner (HI-L1, EN-L2)</t>
        </is>
      </c>
      <c r="O7" t="inlineStr">
        <is>
          <t>Not Yet Run</t>
        </is>
      </c>
      <c r="R7" t="inlineStr">
        <is>
          <t>0%</t>
        </is>
      </c>
    </row>
    <row r="8" ht="30" customHeight="1">
      <c r="A8" s="7" t="inlineStr">
        <is>
          <t>N-004</t>
        </is>
      </c>
      <c r="B8" s="5" t="inlineStr">
        <is>
          <t>Self-study</t>
        </is>
      </c>
      <c r="C8" s="6" t="inlineStr">
        <is>
          <t>79</t>
        </is>
      </c>
      <c r="D8" s="5" t="inlineStr">
        <is>
          <t>Pacing expectations set clearly (e.g., 30 min/day for 6 months)</t>
        </is>
      </c>
      <c r="E8" s="5" t="inlineStr">
        <is>
          <t>1. Verify app communicates expected pace
2. Verify learner can adjust</t>
        </is>
      </c>
      <c r="F8" s="5" t="inlineStr">
        <is>
          <t>Pace communicated</t>
        </is>
      </c>
      <c r="G8" s="6" t="inlineStr">
        <is>
          <t>P5</t>
        </is>
      </c>
      <c r="H8" s="6" t="inlineStr">
        <is>
          <t>Minor</t>
        </is>
      </c>
      <c r="I8" s="6" t="inlineStr">
        <is>
          <t>Manual</t>
        </is>
      </c>
      <c r="J8" s="5" t="inlineStr">
        <is>
          <t>No automated check today — manual only.</t>
        </is>
      </c>
      <c r="L8" t="inlineStr">
        <is>
          <t>Primary-persona learner (HI-L1, EN-L2)</t>
        </is>
      </c>
      <c r="O8" t="inlineStr">
        <is>
          <t>Not Yet Run</t>
        </is>
      </c>
      <c r="R8" t="inlineStr">
        <is>
          <t>0%</t>
        </is>
      </c>
    </row>
    <row r="9" ht="30" customHeight="1">
      <c r="A9" s="7" t="inlineStr">
        <is>
          <t>N-005</t>
        </is>
      </c>
      <c r="B9" s="5" t="inlineStr">
        <is>
          <t>Classroom instructor</t>
        </is>
      </c>
      <c r="C9" s="6" t="inlineStr">
        <is>
          <t>79</t>
        </is>
      </c>
      <c r="D9" s="5" t="inlineStr">
        <is>
          <t>Instructor uses app as Genki-adjunct</t>
        </is>
      </c>
      <c r="E9" s="5" t="inlineStr">
        <is>
          <t>1. Instructor maps Genki chapter to N5 patterns
2. Assigns app modules as homework</t>
        </is>
      </c>
      <c r="F9" s="5" t="inlineStr">
        <is>
          <t>Mapping is easy + works</t>
        </is>
      </c>
      <c r="G9" s="6" t="inlineStr">
        <is>
          <t>P5</t>
        </is>
      </c>
      <c r="H9" s="6" t="inlineStr">
        <is>
          <t>Minor</t>
        </is>
      </c>
      <c r="I9" s="6" t="inlineStr">
        <is>
          <t>Manual</t>
        </is>
      </c>
      <c r="J9" s="5" t="inlineStr">
        <is>
          <t>No automated check today — manual only.</t>
        </is>
      </c>
      <c r="L9" t="inlineStr">
        <is>
          <t>Primary-persona learner (HI-L1, EN-L2)</t>
        </is>
      </c>
      <c r="O9" t="inlineStr">
        <is>
          <t>Not Yet Run</t>
        </is>
      </c>
      <c r="R9" t="inlineStr">
        <is>
          <t>0%</t>
        </is>
      </c>
    </row>
    <row r="10" ht="30" customHeight="1">
      <c r="A10" s="7" t="inlineStr">
        <is>
          <t>N-006</t>
        </is>
      </c>
      <c r="B10" s="5" t="inlineStr">
        <is>
          <t>Classroom instructor</t>
        </is>
      </c>
      <c r="C10" s="6" t="inlineStr">
        <is>
          <t>79</t>
        </is>
      </c>
      <c r="D10" s="5" t="inlineStr">
        <is>
          <t>Offline-classroom use (no wifi)</t>
        </is>
      </c>
      <c r="E10" s="5" t="inlineStr">
        <is>
          <t>1. Pre-cache app on lab machines
2. Verify offline functionality complete</t>
        </is>
      </c>
      <c r="F10" s="5" t="inlineStr">
        <is>
          <t>Offline use viable</t>
        </is>
      </c>
      <c r="G10" s="6" t="inlineStr">
        <is>
          <t>P5</t>
        </is>
      </c>
      <c r="H10" s="6" t="inlineStr">
        <is>
          <t>Minor</t>
        </is>
      </c>
      <c r="I10" s="6" t="inlineStr">
        <is>
          <t>Manual</t>
        </is>
      </c>
      <c r="J10" s="5" t="inlineStr">
        <is>
          <t>No automated check today — manual only.</t>
        </is>
      </c>
      <c r="L10" t="inlineStr">
        <is>
          <t>Primary-persona learner (HI-L1, EN-L2)</t>
        </is>
      </c>
      <c r="O10" t="inlineStr">
        <is>
          <t>Not Yet Run</t>
        </is>
      </c>
      <c r="R10" t="inlineStr">
        <is>
          <t>0%</t>
        </is>
      </c>
    </row>
    <row r="11" ht="40" customHeight="1">
      <c r="A11" s="7" t="inlineStr">
        <is>
          <t>N-007</t>
        </is>
      </c>
      <c r="B11" s="5" t="inlineStr">
        <is>
          <t>Returning learner</t>
        </is>
      </c>
      <c r="C11" s="6" t="inlineStr">
        <is>
          <t>80</t>
        </is>
      </c>
      <c r="D11" s="5" t="inlineStr">
        <is>
          <t>Cold-start recovery after 6-month break</t>
        </is>
      </c>
      <c r="E11" s="5" t="inlineStr">
        <is>
          <t>1. Simulate long absence (manipulate localStorage timestamps)
2. Open app
3. Verify 'welcome back' + suggested resumption</t>
        </is>
      </c>
      <c r="F11" s="5" t="inlineStr">
        <is>
          <t>Smooth resumption</t>
        </is>
      </c>
      <c r="G11" s="6" t="inlineStr">
        <is>
          <t>P5</t>
        </is>
      </c>
      <c r="H11" s="6" t="inlineStr">
        <is>
          <t>Minor</t>
        </is>
      </c>
      <c r="I11" s="6" t="inlineStr">
        <is>
          <t>Manual</t>
        </is>
      </c>
      <c r="J11" s="5" t="inlineStr">
        <is>
          <t>No automated check today — manual only.</t>
        </is>
      </c>
      <c r="L11" t="inlineStr">
        <is>
          <t>Primary-persona learner (HI-L1, EN-L2)</t>
        </is>
      </c>
      <c r="O11" t="inlineStr">
        <is>
          <t>Not Yet Run</t>
        </is>
      </c>
      <c r="R11" t="inlineStr">
        <is>
          <t>0%</t>
        </is>
      </c>
    </row>
    <row r="12" ht="30" customHeight="1">
      <c r="A12" s="7" t="inlineStr">
        <is>
          <t>N-008</t>
        </is>
      </c>
      <c r="B12" s="5" t="inlineStr">
        <is>
          <t>Returning learner</t>
        </is>
      </c>
      <c r="C12" s="6" t="inlineStr">
        <is>
          <t>80</t>
        </is>
      </c>
      <c r="D12" s="5" t="inlineStr">
        <is>
          <t>SRS scheduling resilience to long gaps</t>
        </is>
      </c>
      <c r="E12" s="5" t="inlineStr">
        <is>
          <t>1. Simulate 30-day absence
2. Verify SRS doesn't dump all-cards-due simultaneously</t>
        </is>
      </c>
      <c r="F12" s="5" t="inlineStr">
        <is>
          <t>Graceful catch-up mode</t>
        </is>
      </c>
      <c r="G12" s="6" t="inlineStr">
        <is>
          <t>P5</t>
        </is>
      </c>
      <c r="H12" s="6" t="inlineStr">
        <is>
          <t>Minor</t>
        </is>
      </c>
      <c r="I12" s="6" t="inlineStr">
        <is>
          <t>Manual</t>
        </is>
      </c>
      <c r="J12" s="5" t="inlineStr">
        <is>
          <t>No automated check today — manual only.</t>
        </is>
      </c>
      <c r="L12" t="inlineStr">
        <is>
          <t>Primary-persona learner (HI-L1, EN-L2)</t>
        </is>
      </c>
      <c r="O12" t="inlineStr">
        <is>
          <t>Not Yet Run</t>
        </is>
      </c>
      <c r="R12" t="inlineStr">
        <is>
          <t>0%</t>
        </is>
      </c>
    </row>
    <row r="13" ht="30" customHeight="1">
      <c r="A13" s="7" t="inlineStr">
        <is>
          <t>N-009</t>
        </is>
      </c>
      <c r="B13" s="5" t="inlineStr">
        <is>
          <t>Bilingual toggle user</t>
        </is>
      </c>
      <c r="C13" s="6" t="inlineStr">
        <is>
          <t>81</t>
        </is>
      </c>
      <c r="D13" s="5" t="inlineStr">
        <is>
          <t>Toggle persistence across sessions</t>
        </is>
      </c>
      <c r="E13" s="5" t="inlineStr">
        <is>
          <t>1. Set HI on session 1
2. Open session 2 same browser
3. Verify still HI</t>
        </is>
      </c>
      <c r="F13" s="5" t="inlineStr">
        <is>
          <t>Preference persists</t>
        </is>
      </c>
      <c r="G13" s="6" t="inlineStr">
        <is>
          <t>P5</t>
        </is>
      </c>
      <c r="H13" s="6" t="inlineStr">
        <is>
          <t>Minor</t>
        </is>
      </c>
      <c r="I13" s="6" t="inlineStr">
        <is>
          <t>Manual</t>
        </is>
      </c>
      <c r="J13" s="5" t="inlineStr">
        <is>
          <t>[BUG-030 cross-ref] DUPLICATE of H-020 (locale-toggle persistence). Canonical home: H tab.</t>
        </is>
      </c>
      <c r="L13" t="inlineStr">
        <is>
          <t>Primary-persona learner (HI-L1, EN-L2)</t>
        </is>
      </c>
      <c r="O13" t="inlineStr">
        <is>
          <t>Not Yet Run</t>
        </is>
      </c>
      <c r="R13" t="inlineStr">
        <is>
          <t>0%</t>
        </is>
      </c>
    </row>
    <row r="14" ht="30" customHeight="1">
      <c r="A14" s="7" t="inlineStr">
        <is>
          <t>N-010</t>
        </is>
      </c>
      <c r="B14" s="5" t="inlineStr">
        <is>
          <t>Mobile / emerging-market</t>
        </is>
      </c>
      <c r="C14" s="6" t="inlineStr">
        <is>
          <t>82</t>
        </is>
      </c>
      <c r="D14" s="5" t="inlineStr">
        <is>
          <t>Sub-2GB-RAM Android device performance</t>
        </is>
      </c>
      <c r="E14" s="5" t="inlineStr">
        <is>
          <t>1. Test on Android Go device
2. Verify usable performance</t>
        </is>
      </c>
      <c r="F14" s="5" t="inlineStr">
        <is>
          <t>Usable on low-end Android</t>
        </is>
      </c>
      <c r="G14" s="6" t="inlineStr">
        <is>
          <t>P3</t>
        </is>
      </c>
      <c r="H14" s="6" t="inlineStr">
        <is>
          <t>Major</t>
        </is>
      </c>
      <c r="I14" s="6" t="inlineStr">
        <is>
          <t>Manual</t>
        </is>
      </c>
      <c r="J14" s="5" t="inlineStr">
        <is>
          <t>No automated check today — manual only.</t>
        </is>
      </c>
      <c r="L14" t="inlineStr">
        <is>
          <t>Primary-persona learner (HI-L1, EN-L2)</t>
        </is>
      </c>
      <c r="O14" t="inlineStr">
        <is>
          <t>Not Yet Run</t>
        </is>
      </c>
      <c r="R14" t="inlineStr">
        <is>
          <t>0%</t>
        </is>
      </c>
    </row>
    <row r="15" ht="30" customHeight="1">
      <c r="A15" s="7" t="inlineStr">
        <is>
          <t>N-011</t>
        </is>
      </c>
      <c r="B15" s="5" t="inlineStr">
        <is>
          <t>Mobile / emerging-market</t>
        </is>
      </c>
      <c r="C15" s="6" t="inlineStr">
        <is>
          <t>82</t>
        </is>
      </c>
      <c r="D15" s="5" t="inlineStr">
        <is>
          <t>Intermittent-connectivity resilience</t>
        </is>
      </c>
      <c r="E15" s="5" t="inlineStr">
        <is>
          <t>1. Toggle network on/off during use
2. Verify graceful sync + offline-fallback</t>
        </is>
      </c>
      <c r="F15" s="5" t="inlineStr">
        <is>
          <t>Intermittent-net usable</t>
        </is>
      </c>
      <c r="G15" s="6" t="inlineStr">
        <is>
          <t>P3</t>
        </is>
      </c>
      <c r="H15" s="6" t="inlineStr">
        <is>
          <t>Major</t>
        </is>
      </c>
      <c r="I15" s="6" t="inlineStr">
        <is>
          <t>Manual</t>
        </is>
      </c>
      <c r="J15" s="5" t="inlineStr">
        <is>
          <t>No automated check today — manual only.</t>
        </is>
      </c>
      <c r="L15" t="inlineStr">
        <is>
          <t>Primary-persona learner (HI-L1, EN-L2)</t>
        </is>
      </c>
      <c r="O15" t="inlineStr">
        <is>
          <t>Not Yet Run</t>
        </is>
      </c>
      <c r="R15" t="inlineStr">
        <is>
          <t>0%</t>
        </is>
      </c>
    </row>
    <row r="16" ht="35" customHeight="1">
      <c r="A16" s="7" t="inlineStr">
        <is>
          <t>N-012</t>
        </is>
      </c>
      <c r="B16" s="5" t="inlineStr">
        <is>
          <t>Mobile / emerging-market</t>
        </is>
      </c>
      <c r="C16" s="6" t="inlineStr">
        <is>
          <t>82</t>
        </is>
      </c>
      <c r="D16" s="5" t="inlineStr">
        <is>
          <t>Data-quota efficiency (per-session MB transferred)</t>
        </is>
      </c>
      <c r="E16" s="5" t="inlineStr">
        <is>
          <t>1. Measure first-load + per-session network bytes
2. Verify &lt;10MB first-load, &lt;1MB per subsequent session</t>
        </is>
      </c>
      <c r="F16" s="5" t="inlineStr">
        <is>
          <t>Data-light</t>
        </is>
      </c>
      <c r="G16" s="6" t="inlineStr">
        <is>
          <t>P4</t>
        </is>
      </c>
      <c r="H16" s="6" t="inlineStr">
        <is>
          <t>Minor</t>
        </is>
      </c>
      <c r="I16" s="6" t="inlineStr">
        <is>
          <t>Auto</t>
        </is>
      </c>
      <c r="J16" s="5" t="inlineStr">
        <is>
          <t>No automated check today — manual only.</t>
        </is>
      </c>
      <c r="L16" t="inlineStr">
        <is>
          <t>Primary-persona learner (HI-L1, EN-L2)</t>
        </is>
      </c>
      <c r="O16" t="inlineStr">
        <is>
          <t>Not Yet Run</t>
        </is>
      </c>
      <c r="R16" t="inlineStr">
        <is>
          <t>0%</t>
        </is>
      </c>
    </row>
    <row r="17" ht="30" customHeight="1">
      <c r="A17" s="7" t="inlineStr">
        <is>
          <t>N-013</t>
        </is>
      </c>
      <c r="B17" s="5" t="inlineStr">
        <is>
          <t>Visually-impaired</t>
        </is>
      </c>
      <c r="C17" s="6" t="inlineStr">
        <is>
          <t>83</t>
        </is>
      </c>
      <c r="D17" s="5" t="inlineStr">
        <is>
          <t>Full app navigation via VoiceOver / NVDA</t>
        </is>
      </c>
      <c r="E17" s="5" t="inlineStr">
        <is>
          <t>1. Blind tester completes 1 vocab module via screen reader</t>
        </is>
      </c>
      <c r="F17" s="5" t="inlineStr">
        <is>
          <t>Completable via SR</t>
        </is>
      </c>
      <c r="G17" s="6" t="inlineStr">
        <is>
          <t>P3</t>
        </is>
      </c>
      <c r="H17" s="6" t="inlineStr">
        <is>
          <t>Major</t>
        </is>
      </c>
      <c r="I17" s="6" t="inlineStr">
        <is>
          <t>Manual</t>
        </is>
      </c>
      <c r="J17" s="5" t="inlineStr">
        <is>
          <t>[BUG-030 cross-ref] DUPLICATE of E-007 (screen-reader coverage). Canonical home: E tab.</t>
        </is>
      </c>
      <c r="L17" t="inlineStr">
        <is>
          <t>Primary-persona learner (HI-L1, EN-L2)</t>
        </is>
      </c>
      <c r="O17" t="inlineStr">
        <is>
          <t>Not Yet Run</t>
        </is>
      </c>
      <c r="R17" t="inlineStr">
        <is>
          <t>0%</t>
        </is>
      </c>
    </row>
    <row r="18" ht="30" customHeight="1">
      <c r="A18" s="7" t="inlineStr">
        <is>
          <t>N-014</t>
        </is>
      </c>
      <c r="B18" s="5" t="inlineStr">
        <is>
          <t>Visually-impaired</t>
        </is>
      </c>
      <c r="C18" s="6" t="inlineStr">
        <is>
          <t>83</t>
        </is>
      </c>
      <c r="D18" s="5" t="inlineStr">
        <is>
          <t>Furigana exposure to screen reader</t>
        </is>
      </c>
      <c r="E18" s="5" t="inlineStr">
        <is>
          <t>1. Verify ruby tags expose readings appropriately</t>
        </is>
      </c>
      <c r="F18" s="5" t="inlineStr">
        <is>
          <t>Furigana accessible</t>
        </is>
      </c>
      <c r="G18" s="6" t="inlineStr">
        <is>
          <t>P3</t>
        </is>
      </c>
      <c r="H18" s="6" t="inlineStr">
        <is>
          <t>Major</t>
        </is>
      </c>
      <c r="I18" s="6" t="inlineStr">
        <is>
          <t>Manual</t>
        </is>
      </c>
      <c r="J18" s="5" t="inlineStr">
        <is>
          <t>[BUG-030 cross-ref] DUPLICATE of E-010 (furigana exposure to screen reader). Canonical home: E tab.</t>
        </is>
      </c>
      <c r="L18" t="inlineStr">
        <is>
          <t>Primary-persona learner (HI-L1, EN-L2)</t>
        </is>
      </c>
      <c r="O18" t="inlineStr">
        <is>
          <t>Not Yet Run</t>
        </is>
      </c>
      <c r="R18" t="inlineStr">
        <is>
          <t>0%</t>
        </is>
      </c>
    </row>
    <row r="19" ht="30" customHeight="1">
      <c r="A19" s="7" t="inlineStr">
        <is>
          <t>N-015</t>
        </is>
      </c>
      <c r="B19" s="5" t="inlineStr">
        <is>
          <t>Cognitively-diverse</t>
        </is>
      </c>
      <c r="C19" s="6" t="inlineStr">
        <is>
          <t>84</t>
        </is>
      </c>
      <c r="D19" s="5" t="inlineStr">
        <is>
          <t>ADHD-friendly pacing-control</t>
        </is>
      </c>
      <c r="E19" s="5" t="inlineStr">
        <is>
          <t>1. Verify learner can pause / skip / reduce stimulation</t>
        </is>
      </c>
      <c r="F19" s="5" t="inlineStr">
        <is>
          <t>Pacing control exists</t>
        </is>
      </c>
      <c r="G19" s="6" t="inlineStr">
        <is>
          <t>P5</t>
        </is>
      </c>
      <c r="H19" s="6" t="inlineStr">
        <is>
          <t>Minor</t>
        </is>
      </c>
      <c r="I19" s="6" t="inlineStr">
        <is>
          <t>Manual</t>
        </is>
      </c>
      <c r="J19" s="5" t="inlineStr">
        <is>
          <t>No automated check today — manual only.</t>
        </is>
      </c>
      <c r="L19" t="inlineStr">
        <is>
          <t>Primary-persona learner (HI-L1, EN-L2)</t>
        </is>
      </c>
      <c r="O19" t="inlineStr">
        <is>
          <t>Not Yet Run</t>
        </is>
      </c>
      <c r="R19" t="inlineStr">
        <is>
          <t>0%</t>
        </is>
      </c>
    </row>
    <row r="20" ht="30" customHeight="1">
      <c r="A20" s="7" t="inlineStr">
        <is>
          <t>N-016</t>
        </is>
      </c>
      <c r="B20" s="5" t="inlineStr">
        <is>
          <t>Cognitively-diverse</t>
        </is>
      </c>
      <c r="C20" s="6" t="inlineStr">
        <is>
          <t>84</t>
        </is>
      </c>
      <c r="D20" s="5" t="inlineStr">
        <is>
          <t>Dyslexia-friendly reading-flow</t>
        </is>
      </c>
      <c r="E20" s="5" t="inlineStr">
        <is>
          <t>1. Verify font / spacing / line-height are dyslexia-friendly defaults</t>
        </is>
      </c>
      <c r="F20" s="5" t="inlineStr">
        <is>
          <t>Dyslexia-friendly OR option exists</t>
        </is>
      </c>
      <c r="G20" s="6" t="inlineStr">
        <is>
          <t>P5</t>
        </is>
      </c>
      <c r="H20" s="6" t="inlineStr">
        <is>
          <t>Minor</t>
        </is>
      </c>
      <c r="I20" s="6" t="inlineStr">
        <is>
          <t>Manual</t>
        </is>
      </c>
      <c r="J20" s="5" t="inlineStr">
        <is>
          <t>No automated check today — manual only.</t>
        </is>
      </c>
      <c r="L20" t="inlineStr">
        <is>
          <t>Primary-persona learner (HI-L1, EN-L2)</t>
        </is>
      </c>
      <c r="O20" t="inlineStr">
        <is>
          <t>Not Yet Run</t>
        </is>
      </c>
      <c r="R20" t="inlineStr">
        <is>
          <t>0%</t>
        </is>
      </c>
    </row>
    <row r="21">
      <c r="A21" s="26" t="inlineStr">
        <is>
          <t>N-017</t>
        </is>
      </c>
      <c r="B21" s="26" t="inlineStr">
        <is>
          <t>True-beginner path</t>
        </is>
      </c>
      <c r="C21" s="26" t="inlineStr">
        <is>
          <t>1</t>
        </is>
      </c>
      <c r="D21" s="26" t="inlineStr">
        <is>
          <t>Zero-Japanese learner (not HI-L1+EN-L2+JA-L3 — true L1=anything, L2=none-Japanese) — can the app be used?</t>
        </is>
      </c>
      <c r="E21" s="26" t="inlineStr">
        <is>
          <t>1. Recruit 3 learners with no prior Japanese and any L1.
2. Onboard with default English UI.
3. Observe whether they reach 'one lesson + one quiz' within 30 minutes without help.
4. Report friction points.</t>
        </is>
      </c>
      <c r="F21" s="26" t="inlineStr">
        <is>
          <t>≥2 of 3 reach the milestone; friction points logged and prioritized.</t>
        </is>
      </c>
      <c r="G21" s="26" t="inlineStr">
        <is>
          <t>P4</t>
        </is>
      </c>
      <c r="H21" s="26" t="inlineStr">
        <is>
          <t>Major</t>
        </is>
      </c>
      <c r="I21" s="26" t="inlineStr">
        <is>
          <t>Manual</t>
        </is>
      </c>
      <c r="J21" s="26" t="inlineStr">
        <is>
          <t>[BUG-032 new] Coverage gap.</t>
        </is>
      </c>
      <c r="K21" s="26" t="inlineStr"/>
      <c r="L21" s="26" t="inlineStr">
        <is>
          <t>Primary-persona learner (HI-L1, EN-L2) — extend recruit to non-HI-L1</t>
        </is>
      </c>
      <c r="M21" s="26" t="inlineStr">
        <is>
          <t>Moderated remote user test (Zoom + screen-share)</t>
        </is>
      </c>
      <c r="N21" s="26" t="n"/>
      <c r="O21" s="26" t="inlineStr">
        <is>
          <t>Not Yet Run</t>
        </is>
      </c>
      <c r="P21" s="26" t="n"/>
      <c r="Q21" s="26" t="n"/>
      <c r="R21" s="26" t="inlineStr">
        <is>
          <t>0%</t>
        </is>
      </c>
    </row>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17" text="Medium-High">
      <formula>NOT(ISERROR(SEARCH("Medium-High",G5)))</formula>
    </cfRule>
    <cfRule type="containsText" priority="3" operator="containsText" dxfId="31" text="Low-Medium">
      <formula>NOT(ISERROR(SEARCH("Low-Medium",G5)))</formula>
    </cfRule>
    <cfRule type="containsText" priority="4" operator="containsText" dxfId="4" text="High">
      <formula>NOT(ISERROR(SEARCH("High",G5)))</formula>
    </cfRule>
    <cfRule type="containsText" priority="5" operator="containsText" dxfId="3" text="Medium">
      <formula>NOT(ISERROR(SEARCH("Medium",G5)))</formula>
    </cfRule>
    <cfRule type="containsText" priority="6" operator="containsText" dxfId="2" text="Low">
      <formula>NOT(ISERROR(SEARCH("Low",G5)))</formula>
    </cfRule>
    <cfRule type="containsText" priority="7" operator="containsText" dxfId="5" text="P1">
      <formula>NOT(ISERROR(SEARCH("P1",G5)))</formula>
    </cfRule>
    <cfRule type="containsText" priority="8" operator="containsText" dxfId="4" text="P2">
      <formula>NOT(ISERROR(SEARCH("P2",G5)))</formula>
    </cfRule>
    <cfRule type="containsText" priority="9" operator="containsText" dxfId="3" text="P3">
      <formula>NOT(ISERROR(SEARCH("P3",G5)))</formula>
    </cfRule>
    <cfRule type="containsText" priority="10" operator="containsText" dxfId="2" text="P4">
      <formula>NOT(ISERROR(SEARCH("P4",G5)))</formula>
    </cfRule>
    <cfRule type="containsText" priority="11" operator="containsText" dxfId="1" text="P5">
      <formula>NOT(ISERROR(SEARCH("P5",G5)))</formula>
    </cfRule>
  </conditionalFormatting>
  <conditionalFormatting sqref="H5:H20">
    <cfRule type="containsText" priority="12" operator="containsText" dxfId="5" text="Critical">
      <formula>NOT(ISERROR(SEARCH("Critical",H5)))</formula>
    </cfRule>
    <cfRule type="containsText" priority="13" operator="containsText" dxfId="4" text="Major">
      <formula>NOT(ISERROR(SEARCH("Major",H5)))</formula>
    </cfRule>
    <cfRule type="containsText" priority="14" operator="containsText" dxfId="3" text="Minor">
      <formula>NOT(ISERROR(SEARCH("Minor",H5)))</formula>
    </cfRule>
  </conditionalFormatting>
  <conditionalFormatting sqref="I5:I20">
    <cfRule type="containsText" priority="15" operator="containsText" dxfId="18" text="Auto+Manual">
      <formula>NOT(ISERROR(SEARCH("Auto+Manual",I5)))</formula>
    </cfRule>
    <cfRule type="containsText" priority="16" operator="containsText" dxfId="18" text="Hybrid">
      <formula>NOT(ISERROR(SEARCH("Hybrid",I5)))</formula>
    </cfRule>
    <cfRule type="containsText" priority="17" operator="containsText" dxfId="17"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00"/>
  <sheetViews>
    <sheetView tabSelected="1" zoomScale="70" zoomScaleNormal="70" workbookViewId="0">
      <pane ySplit="3" topLeftCell="A22" activePane="bottomLeft" state="frozen"/>
      <selection pane="bottomLeft" activeCell="J23" sqref="J23"/>
    </sheetView>
  </sheetViews>
  <sheetFormatPr baseColWidth="8" defaultRowHeight="14.5"/>
  <cols>
    <col width="11.81640625" customWidth="1" style="1" min="1" max="1"/>
    <col width="14.54296875" customWidth="1" style="1" min="2" max="2"/>
    <col width="21.81640625" customWidth="1" style="1" min="3" max="3"/>
    <col width="40" customWidth="1" style="1" min="4" max="4"/>
    <col width="69.08984375" customWidth="1" style="1" min="5" max="5"/>
    <col width="13.6328125" customWidth="1" style="1" min="6" max="6"/>
    <col width="11.81640625" customWidth="1" style="1" min="7" max="7"/>
    <col width="15.453125" customWidth="1" style="1" min="8" max="8"/>
    <col width="8.7265625" customWidth="1" style="1" min="9" max="16"/>
    <col width="8.7265625" customWidth="1" style="1" min="17" max="16384"/>
  </cols>
  <sheetData>
    <row r="1" ht="28" customHeight="1">
      <c r="A1" s="21" t="inlineStr">
        <is>
          <t>User Reported Bugs</t>
        </is>
      </c>
    </row>
    <row r="3" ht="24" customHeight="1">
      <c r="A3" s="3" t="inlineStr">
        <is>
          <t>Bug ID</t>
        </is>
      </c>
      <c r="B3" s="3" t="inlineStr">
        <is>
          <t>Date Reported</t>
        </is>
      </c>
      <c r="C3" s="3" t="inlineStr">
        <is>
          <t>Reported By</t>
        </is>
      </c>
      <c r="D3" s="3" t="inlineStr">
        <is>
          <t>Title</t>
        </is>
      </c>
      <c r="E3" s="3" t="inlineStr">
        <is>
          <t>Description</t>
        </is>
      </c>
      <c r="F3" s="3" t="inlineStr">
        <is>
          <t>Severity</t>
        </is>
      </c>
      <c r="G3" s="3" t="inlineStr">
        <is>
          <t>Priority</t>
        </is>
      </c>
      <c r="H3" s="3" t="inlineStr">
        <is>
          <t>Status</t>
        </is>
      </c>
    </row>
    <row r="4" ht="203" customHeight="1">
      <c r="A4" s="7">
        <f>"BUG-"&amp;TEXT(ROW()-3,"000")</f>
        <v/>
      </c>
      <c r="B4" s="8" t="n">
        <v>46158</v>
      </c>
      <c r="C4" s="4" t="n"/>
      <c r="D4" s="4" t="inlineStr">
        <is>
          <t>Unable to access URL through claude chat</t>
        </is>
      </c>
      <c r="E4" s="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6" t="inlineStr">
        <is>
          <t>High</t>
        </is>
      </c>
      <c r="G4" s="6" t="inlineStr">
        <is>
          <t>P2</t>
        </is>
      </c>
      <c r="H4" s="6" t="inlineStr">
        <is>
          <t>Fixed</t>
        </is>
      </c>
      <c r="L4" t="n">
        <v>38</v>
      </c>
    </row>
    <row r="5" ht="319" customHeight="1">
      <c r="A5" s="7">
        <f>"BUG-"&amp;TEXT(ROW()-3,"000")</f>
        <v/>
      </c>
      <c r="B5" s="8" t="n"/>
      <c r="C5" s="4" t="n"/>
      <c r="D5" s="4" t="inlineStr">
        <is>
          <t>incorrect grammar statement. correct : ✗ Incorrect: ともだちに あいました。 (X "I met with my friend" intent)
✓ Correct: ともだちと あいました</t>
        </is>
      </c>
      <c r="E5" s="4"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6" t="inlineStr">
        <is>
          <t>High</t>
        </is>
      </c>
      <c r="G5" s="6" t="inlineStr">
        <is>
          <t>P1</t>
        </is>
      </c>
      <c r="H5" s="6" t="inlineStr">
        <is>
          <t>Fixed</t>
        </is>
      </c>
      <c r="L5" t="n">
        <v>0</v>
      </c>
    </row>
    <row r="6" ht="377" customHeight="1">
      <c r="A6" s="7">
        <f>"BUG-"&amp;TEXT(ROW()-3,"000")</f>
        <v/>
      </c>
      <c r="B6" s="8" t="n">
        <v>46158</v>
      </c>
      <c r="C6" s="4" t="inlineStr">
        <is>
          <t>grammar.json audit (native-teacher review)</t>
        </is>
      </c>
      <c r="D6" s="4" t="inlineStr">
        <is>
          <t>n5-098 (superlative pattern) has corrupted explanation and 10/10 wrong translations</t>
        </is>
      </c>
      <c r="E6" s="4"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6" t="inlineStr">
        <is>
          <t>Critical</t>
        </is>
      </c>
      <c r="G6" s="6" t="inlineStr">
        <is>
          <t>P1</t>
        </is>
      </c>
      <c r="H6" s="6" t="inlineStr">
        <is>
          <t>Fixed</t>
        </is>
      </c>
    </row>
    <row r="7" ht="409.5" customHeight="1">
      <c r="A7" s="7">
        <f>"BUG-"&amp;TEXT(ROW()-3,"000")</f>
        <v/>
      </c>
      <c r="B7" s="8" t="n">
        <v>46158</v>
      </c>
      <c r="C7" s="4" t="inlineStr">
        <is>
          <t>grammar.json audit (native-teacher review)</t>
        </is>
      </c>
      <c r="D7" s="4" t="inlineStr">
        <is>
          <t>Pitch-mark mora data systematically broken (787 wrong instances, 115 unique kana forms)</t>
        </is>
      </c>
      <c r="E7" s="4"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6" t="inlineStr">
        <is>
          <t>Critical</t>
        </is>
      </c>
      <c r="G7" s="6" t="inlineStr">
        <is>
          <t>P1</t>
        </is>
      </c>
      <c r="H7" s="6" t="inlineStr">
        <is>
          <t>Fixed</t>
        </is>
      </c>
      <c r="L7" t="n">
        <v>38</v>
      </c>
    </row>
    <row r="8" ht="232" customHeight="1">
      <c r="A8" s="7">
        <f>"BUG-"&amp;TEXT(ROW()-3,"000")</f>
        <v/>
      </c>
      <c r="B8" s="8" t="n">
        <v>46158</v>
      </c>
      <c r="C8" s="4" t="inlineStr">
        <is>
          <t>grammar.json audit (native-teacher review)</t>
        </is>
      </c>
      <c r="D8" s="4" t="inlineStr">
        <is>
          <t>n5-166 ex[5] has mismatched JA/EN (copy-paste error)</t>
        </is>
      </c>
      <c r="E8" s="4"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6" t="inlineStr">
        <is>
          <t>High</t>
        </is>
      </c>
      <c r="G8" s="6" t="inlineStr">
        <is>
          <t>P1</t>
        </is>
      </c>
      <c r="H8" s="6" t="inlineStr">
        <is>
          <t>Fixed</t>
        </is>
      </c>
    </row>
    <row r="9" ht="409.5" customHeight="1">
      <c r="A9" s="7">
        <f>"BUG-"&amp;TEXT(ROW()-3,"000")</f>
        <v/>
      </c>
      <c r="B9" s="8" t="n">
        <v>46158</v>
      </c>
      <c r="C9" s="4" t="inlineStr">
        <is>
          <t>grammar.json audit (native-teacher review)</t>
        </is>
      </c>
      <c r="D9" s="4" t="inlineStr">
        <is>
          <t>Pattern-instance contamination: 8+ examples filed under wrong pattern</t>
        </is>
      </c>
      <c r="E9" s="4"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6" t="inlineStr">
        <is>
          <t>High</t>
        </is>
      </c>
      <c r="G9" s="6" t="inlineStr">
        <is>
          <t>P1</t>
        </is>
      </c>
      <c r="H9" s="6" t="inlineStr">
        <is>
          <t>Fixed</t>
        </is>
      </c>
    </row>
    <row r="10" ht="409.5" customHeight="1">
      <c r="A10" s="7">
        <f>"BUG-"&amp;TEXT(ROW()-3,"000")</f>
        <v/>
      </c>
      <c r="B10" s="8" t="n">
        <v>46158</v>
      </c>
      <c r="C10" s="4" t="inlineStr">
        <is>
          <t>grammar.json audit (native-teacher review)</t>
        </is>
      </c>
      <c r="D10" s="4" t="inlineStr">
        <is>
          <t>Pedagogically misleading common_mistakes: 12+ N5-canonical sentences marked WRONG</t>
        </is>
      </c>
      <c r="E10" s="4"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6" t="inlineStr">
        <is>
          <t>High</t>
        </is>
      </c>
      <c r="G10" s="6" t="inlineStr">
        <is>
          <t>P1</t>
        </is>
      </c>
      <c r="H10" s="6" t="inlineStr">
        <is>
          <t>Fixed</t>
        </is>
      </c>
    </row>
    <row r="11" ht="304.5" customHeight="1">
      <c r="A11" s="7">
        <f>"BUG-"&amp;TEXT(ROW()-3,"000")</f>
        <v/>
      </c>
      <c r="B11" s="8" t="n">
        <v>46158</v>
      </c>
      <c r="C11" s="4" t="inlineStr">
        <is>
          <t>grammar.json audit (native-teacher review)</t>
        </is>
      </c>
      <c r="D11" s="4" t="inlineStr">
        <is>
          <t>n5-004 incorrectly calls 会う "intransitive" (folk-linguistics terminology error)</t>
        </is>
      </c>
      <c r="E11" s="4"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6" t="inlineStr">
        <is>
          <t>Medium</t>
        </is>
      </c>
      <c r="G11" s="6" t="inlineStr">
        <is>
          <t>P2</t>
        </is>
      </c>
      <c r="H11" s="6" t="inlineStr">
        <is>
          <t>Fixed</t>
        </is>
      </c>
    </row>
    <row r="12" ht="188.5" customHeight="1">
      <c r="A12" s="7">
        <f>"BUG-"&amp;TEXT(ROW()-3,"000")</f>
        <v/>
      </c>
      <c r="B12" s="8" t="n">
        <v>46158</v>
      </c>
      <c r="C12" s="4" t="inlineStr">
        <is>
          <t>grammar.json audit (native-teacher review)</t>
        </is>
      </c>
      <c r="D12" s="4" t="inlineStr">
        <is>
          <t>n5-003 (が particle) example uses は, not が</t>
        </is>
      </c>
      <c r="E12" s="4"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6" t="inlineStr">
        <is>
          <t>Medium</t>
        </is>
      </c>
      <c r="G12" s="6" t="inlineStr">
        <is>
          <t>P2</t>
        </is>
      </c>
      <c r="H12" s="6" t="inlineStr">
        <is>
          <t>Fixed</t>
        </is>
      </c>
    </row>
    <row r="13" ht="409.5" customHeight="1">
      <c r="A13" s="7">
        <f>"BUG-"&amp;TEXT(ROW()-3,"000")</f>
        <v/>
      </c>
      <c r="B13" s="8" t="n">
        <v>46158</v>
      </c>
      <c r="C13" s="4" t="inlineStr">
        <is>
          <t>User (SPA crawlability report)</t>
        </is>
      </c>
      <c r="D13" s="4" t="inlineStr">
        <is>
          <t>SPA hash routes are invisible to non-JS clients (Claude chat, crawlers, archive.org, social previews)</t>
        </is>
      </c>
      <c r="E13" s="4"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6" t="inlineStr">
        <is>
          <t>High</t>
        </is>
      </c>
      <c r="G13" s="6" t="inlineStr">
        <is>
          <t>P1</t>
        </is>
      </c>
      <c r="H13" s="6" t="inlineStr">
        <is>
          <t>Fixed</t>
        </is>
      </c>
    </row>
    <row r="14" ht="409.5" customHeight="1">
      <c r="A14" s="7">
        <f>"BUG-"&amp;TEXT(ROW()-3,"000")</f>
        <v/>
      </c>
      <c r="B14" s="8" t="n">
        <v>46158</v>
      </c>
      <c r="C14" s="4" t="inlineStr">
        <is>
          <t>grammar.json audit (native-teacher review)</t>
        </is>
      </c>
      <c r="D14" s="4" t="inlineStr">
        <is>
          <t>Self-contradicting WRONG/RIGHT labels across 7 common_mistakes entries (plus 7 ね-vs-か question patterns)</t>
        </is>
      </c>
      <c r="E14" s="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6" t="inlineStr">
        <is>
          <t>High</t>
        </is>
      </c>
      <c r="G14" s="6" t="inlineStr">
        <is>
          <t>P1</t>
        </is>
      </c>
      <c r="H14" s="6" t="inlineStr">
        <is>
          <t>Fixed</t>
        </is>
      </c>
    </row>
    <row r="15" ht="409.5" customHeight="1">
      <c r="A15" s="7">
        <f>"BUG-"&amp;TEXT(ROW()-3,"000")</f>
        <v/>
      </c>
      <c r="B15" s="8" t="n">
        <v>46158</v>
      </c>
      <c r="C15" s="4" t="inlineStr">
        <is>
          <t>grammar.json audit (native-teacher review)</t>
        </is>
      </c>
      <c r="D15" s="4" t="inlineStr">
        <is>
          <t>review_status "native_reviewed" misleads when read per-pattern in isolation (label assigned by Claude persona, not human)</t>
        </is>
      </c>
      <c r="E15" s="4"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6" t="inlineStr">
        <is>
          <t>Medium</t>
        </is>
      </c>
      <c r="G15" s="6" t="inlineStr">
        <is>
          <t>P2</t>
        </is>
      </c>
      <c r="H15" s="6" t="inlineStr">
        <is>
          <t>Fixed</t>
        </is>
      </c>
    </row>
    <row r="16" ht="409.5" customHeight="1">
      <c r="A16" s="7">
        <f>"BUG-"&amp;TEXT(ROW()-3,"000")</f>
        <v/>
      </c>
      <c r="B16" s="8" t="n">
        <v>46158</v>
      </c>
      <c r="C16" s="4" t="inlineStr">
        <is>
          <t>grammar.json audit re-inspection (native-teacher review)</t>
        </is>
      </c>
      <c r="D16" s="4" t="inlineStr">
        <is>
          <t>Self-contradicting WRONG/RIGHT labels still present across 14 common_mistakes entries (BUG-011 re-audit shows fix did not land at display surface)</t>
        </is>
      </c>
      <c r="E16" s="4"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6" t="inlineStr">
        <is>
          <t>High</t>
        </is>
      </c>
      <c r="G16" s="6" t="inlineStr">
        <is>
          <t>P1</t>
        </is>
      </c>
      <c r="H16" s="6" t="inlineStr">
        <is>
          <t>Fixed</t>
        </is>
      </c>
    </row>
    <row r="17" ht="409.5" customHeight="1">
      <c r="A17" s="7">
        <f>"BUG-"&amp;TEXT(ROW()-3,"000")</f>
        <v/>
      </c>
      <c r="B17" s="8" t="n">
        <v>46158</v>
      </c>
      <c r="C17" s="4" t="inlineStr">
        <is>
          <t>vocab.json audit (native-teacher review)</t>
        </is>
      </c>
      <c r="D17" s="4" t="inlineStr">
        <is>
          <t>19 vocab example sentences are template-generated semantic nonsense ("X が あります" applied to time words and abstract nouns)</t>
        </is>
      </c>
      <c r="E17" s="4"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6" t="inlineStr">
        <is>
          <t>High</t>
        </is>
      </c>
      <c r="G17" s="6" t="inlineStr">
        <is>
          <t>P1</t>
        </is>
      </c>
      <c r="H17" s="6" t="inlineStr">
        <is>
          <t>Fixed</t>
        </is>
      </c>
    </row>
    <row r="18" ht="409.5" customHeight="1">
      <c r="A18" s="7">
        <f>"BUG-"&amp;TEXT(ROW()-3,"000")</f>
        <v/>
      </c>
      <c r="B18" s="8" t="n">
        <v>46158</v>
      </c>
      <c r="C18" s="4" t="inlineStr">
        <is>
          <t>vocab.json audit (native-teacher review)</t>
        </is>
      </c>
      <c r="D18" s="4" t="inlineStr">
        <is>
          <t>vocab.json counter field has three inconsistent schema types across 1009 entries (string / dict / null) — same applies to counter_register</t>
        </is>
      </c>
      <c r="E18" s="4"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6" t="inlineStr">
        <is>
          <t>Medium</t>
        </is>
      </c>
      <c r="G18" s="6" t="inlineStr">
        <is>
          <t>P2</t>
        </is>
      </c>
      <c r="H18" s="6" t="inlineStr">
        <is>
          <t>Fixed</t>
        </is>
      </c>
    </row>
    <row r="19" ht="409.5" customHeight="1">
      <c r="A19" s="7">
        <f>"BUG-"&amp;TEXT(ROW()-3,"000")</f>
        <v/>
      </c>
      <c r="B19" s="8" t="n">
        <v>46158</v>
      </c>
      <c r="C19" s="4" t="inlineStr">
        <is>
          <t>vocab.json audit (native-teacher review)</t>
        </is>
      </c>
      <c r="D19" s="4" t="inlineStr">
        <is>
          <t>Transitivity field is set on only 22 of 132 verbs (17% coverage) — most transitive verbs lack the classification</t>
        </is>
      </c>
      <c r="E19" s="4"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6" t="inlineStr">
        <is>
          <t>Medium</t>
        </is>
      </c>
      <c r="G19" s="6" t="inlineStr">
        <is>
          <t>P2</t>
        </is>
      </c>
      <c r="H19" s="6" t="inlineStr">
        <is>
          <t>Fixed</t>
        </is>
      </c>
    </row>
    <row r="20" ht="409.5" customHeight="1">
      <c r="A20" s="7">
        <f>"BUG-"&amp;TEXT(ROW()-3,"000")</f>
        <v/>
      </c>
      <c r="B20" s="8" t="n">
        <v>46158</v>
      </c>
      <c r="C20" s="4" t="inlineStr">
        <is>
          <t>vocab.json audit (native-teacher review)</t>
        </is>
      </c>
      <c r="D20" s="4" t="inlineStr">
        <is>
          <t>3 kanji used in vocab forms are not in the N5 kanji whitelist (倍, 籍, 末)</t>
        </is>
      </c>
      <c r="E20" s="4"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6" t="inlineStr">
        <is>
          <t>Medium</t>
        </is>
      </c>
      <c r="G20" s="6" t="inlineStr">
        <is>
          <t>P2</t>
        </is>
      </c>
      <c r="H20" s="6" t="inlineStr">
        <is>
          <t>Fixed</t>
        </is>
      </c>
    </row>
    <row r="21" ht="409.5" customHeight="1">
      <c r="A21" s="7">
        <f>"BUG-"&amp;TEXT(ROW()-3,"000")</f>
        <v/>
      </c>
      <c r="B21" s="8" t="n">
        <v>46158</v>
      </c>
      <c r="C21" s="4" t="inlineStr">
        <is>
          <t>vocab.json audit (native-teacher review)</t>
        </is>
      </c>
      <c r="D21" s="4" t="inlineStr">
        <is>
          <t>~10 vocab entries are over-duplicated across sections with overlapping glosses (count inflation)</t>
        </is>
      </c>
      <c r="E21" s="4"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6" t="inlineStr">
        <is>
          <t>Low</t>
        </is>
      </c>
      <c r="G21" s="6" t="inlineStr">
        <is>
          <t>P3</t>
        </is>
      </c>
      <c r="H21" s="6" t="inlineStr">
        <is>
          <t>Fixed</t>
        </is>
      </c>
    </row>
    <row r="22" ht="409.5" customHeight="1">
      <c r="A22" s="7">
        <f>"BUG-"&amp;TEXT(ROW()-3,"000")</f>
        <v/>
      </c>
      <c r="B22" s="8" t="inlineStr">
        <is>
          <t>2026-05-16</t>
        </is>
      </c>
      <c r="C22" s="5" t="inlineStr">
        <is>
          <t>vocab.json audit re-inspection (native-teacher follow-up)</t>
        </is>
      </c>
      <c r="D22" s="5" t="inlineStr">
        <is>
          <t>3 over-duplicated (form, reading) pairs missed by BUG-018 dedup pass (月, あつい, きって)</t>
        </is>
      </c>
      <c r="E22" s="5"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6" t="inlineStr">
        <is>
          <t>Low</t>
        </is>
      </c>
      <c r="G22" s="6" t="inlineStr">
        <is>
          <t>P3</t>
        </is>
      </c>
      <c r="H22" s="6" t="inlineStr">
        <is>
          <t>Fixed</t>
        </is>
      </c>
    </row>
    <row r="23" ht="409.5" customHeight="1">
      <c r="A23" s="7">
        <f>"BUG-"&amp;TEXT(ROW()-3,"000")</f>
        <v/>
      </c>
      <c r="B23" s="8" t="n">
        <v>46158</v>
      </c>
      <c r="C23" s="4" t="inlineStr">
        <is>
          <t>kanji.json audit (native-teacher review)</t>
        </is>
      </c>
      <c r="D23" s="4" t="inlineStr">
        <is>
          <t>BUG-017 fix did not propagate to kanji.json — n5_compounds and auto-derived examples still display 週末 and 国籍 (non-whitelist kanji 末, 籍)</t>
        </is>
      </c>
      <c r="E23" s="4"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6" t="inlineStr">
        <is>
          <t>Medium</t>
        </is>
      </c>
      <c r="G23" s="6" t="inlineStr">
        <is>
          <t>P2</t>
        </is>
      </c>
      <c r="H23" s="6" t="inlineStr">
        <is>
          <t>Fixed</t>
        </is>
      </c>
    </row>
    <row r="24" ht="409.5" customHeight="1">
      <c r="A24" s="7">
        <f>"BUG-"&amp;TEXT(ROW()-3,"000")</f>
        <v/>
      </c>
      <c r="B24" s="8" t="n">
        <v>46158</v>
      </c>
      <c r="C24" s="4" t="inlineStr">
        <is>
          <t>kanji.json audit (native-teacher review)</t>
        </is>
      </c>
      <c r="D24" s="4" t="inlineStr">
        <is>
          <t>primary_reading set to on-yomi for 6 kanji whose actual N5 standalone reading is the kun-yomi (人, 中, 外, 東, 車, 国)</t>
        </is>
      </c>
      <c r="E24" s="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6" t="inlineStr">
        <is>
          <t>Medium</t>
        </is>
      </c>
      <c r="G24" s="6" t="inlineStr">
        <is>
          <t>P2</t>
        </is>
      </c>
      <c r="H24" s="6" t="inlineStr">
        <is>
          <t>Fixed</t>
        </is>
      </c>
    </row>
    <row r="25" ht="409.5" customHeight="1">
      <c r="A25" s="7">
        <f>"BUG-"&amp;TEXT(ROW()-3,"000")</f>
        <v/>
      </c>
      <c r="B25" s="8" t="n">
        <v>46158</v>
      </c>
      <c r="C25" s="4" t="inlineStr">
        <is>
          <t>kanji.json audit (native-teacher review)</t>
        </is>
      </c>
      <c r="D25" s="4" t="inlineStr">
        <is>
          <t>Examples field uses inconsistent field names — `form` (374 entries), `lemma` (20 entries), or both (14 entries)</t>
        </is>
      </c>
      <c r="E25" s="4"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6" t="inlineStr">
        <is>
          <t>Low</t>
        </is>
      </c>
      <c r="G25" s="6" t="inlineStr">
        <is>
          <t>P3</t>
        </is>
      </c>
      <c r="H25" s="6" t="inlineStr">
        <is>
          <t>Fixed</t>
        </is>
      </c>
    </row>
    <row r="26" ht="409.5" customHeight="1">
      <c r="A26" s="7">
        <f>"BUG-"&amp;TEXT(ROW()-3,"000")</f>
        <v/>
      </c>
      <c r="B26" s="8" t="n">
        <v>46159</v>
      </c>
      <c r="C26" s="4" t="inlineStr">
        <is>
          <t>kanji.json ↔ vocab.json cross-file audit (native-teacher review)</t>
        </is>
      </c>
      <c r="D26" s="4" t="inlineStr">
        <is>
          <t>KANJI-004 (NOT FIXED — vocab.json was not updated) — 6 cross-file form mismatches between kanji.json (uses kanji forms) and vocab.json (uses kana-only forms)</t>
        </is>
      </c>
      <c r="E26" s="4"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6" t="inlineStr">
        <is>
          <t>Medium</t>
        </is>
      </c>
      <c r="G26" s="6" t="inlineStr">
        <is>
          <t>P2</t>
        </is>
      </c>
      <c r="H26" s="6" t="inlineStr">
        <is>
          <t>Fixed</t>
        </is>
      </c>
    </row>
    <row r="27" ht="273" customHeight="1">
      <c r="A27" s="7">
        <f>"BUG-"&amp;TEXT(ROW()-3,"000")</f>
        <v/>
      </c>
      <c r="B27" s="8" t="n">
        <v>46159</v>
      </c>
      <c r="C27" s="4" t="inlineStr">
        <is>
          <t>Editor review (test-scenarios spreadsheet)</t>
        </is>
      </c>
      <c r="D27" s="4" t="inlineStr">
        <is>
          <t>Priority distribution is unusable as a triage signal (re-rank all 240 rows on fixed 5-level P1–P5 scale with caps)</t>
        </is>
      </c>
      <c r="E27" s="4"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6" t="inlineStr">
        <is>
          <t>High</t>
        </is>
      </c>
      <c r="G27" s="6" t="inlineStr">
        <is>
          <t>P1</t>
        </is>
      </c>
      <c r="H27" s="6" t="inlineStr">
        <is>
          <t>Fixed</t>
        </is>
      </c>
    </row>
    <row r="28" ht="364" customHeight="1">
      <c r="A28" s="7">
        <f>"BUG-"&amp;TEXT(ROW()-3,"000")</f>
        <v/>
      </c>
      <c r="B28" s="8" t="n">
        <v>46159</v>
      </c>
      <c r="C28" s="4" t="inlineStr">
        <is>
          <t>Editor review (test-scenarios spreadsheet)</t>
        </is>
      </c>
      <c r="D28" s="4" t="inlineStr">
        <is>
          <t>75% of scenarios labelled Manual when ~30 are mechanically checkable — re-label to Auto and add Automation-tool column</t>
        </is>
      </c>
      <c r="E28" s="4"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6" t="inlineStr">
        <is>
          <t>High</t>
        </is>
      </c>
      <c r="G28" s="6" t="inlineStr">
        <is>
          <t>P2</t>
        </is>
      </c>
      <c r="H28" s="6" t="inlineStr">
        <is>
          <t>Fixed</t>
        </is>
      </c>
    </row>
    <row r="29" ht="364" customHeight="1">
      <c r="A29" s="7">
        <f>"BUG-"&amp;TEXT(ROW()-3,"000")</f>
        <v/>
      </c>
      <c r="B29" s="8" t="n">
        <v>46159</v>
      </c>
      <c r="C29" s="4" t="inlineStr">
        <is>
          <t>Editor review (test-scenarios spreadsheet)</t>
        </is>
      </c>
      <c r="D29" s="4" t="inlineStr">
        <is>
          <t>Severity and Priority don't reconcile — Critical-severity rows priced as Medium, Major-severity rows priced as Low</t>
        </is>
      </c>
      <c r="E29" s="4"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6" t="inlineStr">
        <is>
          <t>High</t>
        </is>
      </c>
      <c r="G29" s="6" t="inlineStr">
        <is>
          <t>P1</t>
        </is>
      </c>
      <c r="H29" s="6" t="inlineStr">
        <is>
          <t>Fixed</t>
        </is>
      </c>
    </row>
    <row r="30" ht="299" customHeight="1">
      <c r="A30" s="7">
        <f>"BUG-"&amp;TEXT(ROW()-3,"000")</f>
        <v/>
      </c>
      <c r="B30" s="8" t="n">
        <v>46159</v>
      </c>
      <c r="C30" s="4" t="inlineStr">
        <is>
          <t>Editor review (test-scenarios spreadsheet)</t>
        </is>
      </c>
      <c r="D30" s="4" t="inlineStr">
        <is>
          <t>Several Expected-result thresholds (≥98%, ≥95%, ≥80%) have no statistical-power or source justification</t>
        </is>
      </c>
      <c r="E30" s="4"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6" t="inlineStr">
        <is>
          <t>Medium</t>
        </is>
      </c>
      <c r="G30" s="6" t="inlineStr">
        <is>
          <t>P3</t>
        </is>
      </c>
      <c r="H30" s="6" t="inlineStr">
        <is>
          <t>Fixed</t>
        </is>
      </c>
    </row>
    <row r="31" ht="208" customHeight="1">
      <c r="A31" s="7">
        <f>"BUG-"&amp;TEXT(ROW()-3,"000")</f>
        <v/>
      </c>
      <c r="B31" s="8" t="n">
        <v>46159</v>
      </c>
      <c r="C31" s="4" t="inlineStr">
        <is>
          <t>Editor review (test-scenarios spreadsheet)</t>
        </is>
      </c>
      <c r="D31" s="4" t="inlineStr">
        <is>
          <t>Test steps are truncated or under-specified — A-001 cell ends with "Mark UN"; many cells don't name tool / dataset / sub-corpus</t>
        </is>
      </c>
      <c r="E31" s="4"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6" t="inlineStr">
        <is>
          <t>Medium</t>
        </is>
      </c>
      <c r="G31" s="6" t="inlineStr">
        <is>
          <t>P2</t>
        </is>
      </c>
      <c r="H31" s="6" t="inlineStr">
        <is>
          <t>Fixed</t>
        </is>
      </c>
    </row>
    <row r="32" ht="260" customHeight="1">
      <c r="A32" s="7">
        <f>"BUG-"&amp;TEXT(ROW()-3,"000")</f>
        <v/>
      </c>
      <c r="B32" s="8" t="n">
        <v>46159</v>
      </c>
      <c r="C32" s="4" t="inlineStr">
        <is>
          <t>Editor review (test-scenarios spreadsheet)</t>
        </is>
      </c>
      <c r="D32" s="4" t="inlineStr">
        <is>
          <t>Schema missing 7 operational columns: Estimated effort, Owner, Tools, Last-run date, Last-run result, Tracker link, Depends-on</t>
        </is>
      </c>
      <c r="E32" s="4"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6" t="inlineStr">
        <is>
          <t>Medium</t>
        </is>
      </c>
      <c r="G32" s="6" t="inlineStr">
        <is>
          <t>P2</t>
        </is>
      </c>
      <c r="H32" s="6" t="inlineStr">
        <is>
          <t>Fixed</t>
        </is>
      </c>
    </row>
    <row r="33" ht="351" customHeight="1">
      <c r="A33" s="7">
        <f>"BUG-"&amp;TEXT(ROW()-3,"000")</f>
        <v/>
      </c>
      <c r="B33" s="8" t="n">
        <v>46159</v>
      </c>
      <c r="C33" s="4" t="inlineStr">
        <is>
          <t>Editor review (test-scenarios spreadsheet)</t>
        </is>
      </c>
      <c r="D33" s="4" t="inlineStr">
        <is>
          <t>6+ duplicate scenarios across tabs (E-010=N-014; D-007=C-010; H-020=K-011=N-009; G-011=F-011) — merge to single canonical home with cross-refs</t>
        </is>
      </c>
      <c r="E33" s="4"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6" t="inlineStr">
        <is>
          <t>Medium</t>
        </is>
      </c>
      <c r="G33" s="6" t="inlineStr">
        <is>
          <t>P3</t>
        </is>
      </c>
      <c r="H33" s="6" t="inlineStr">
        <is>
          <t>Fixed</t>
        </is>
      </c>
    </row>
    <row r="34" ht="247" customHeight="1">
      <c r="A34" s="7">
        <f>"BUG-"&amp;TEXT(ROW()-3,"000")</f>
        <v/>
      </c>
      <c r="B34" s="8" t="n">
        <v>46159</v>
      </c>
      <c r="C34" s="4" t="inlineStr">
        <is>
          <t>Editor review (test-scenarios spreadsheet)</t>
        </is>
      </c>
      <c r="D34" s="4" t="inlineStr">
        <is>
          <t>UX scenarios (D-001 / D-010 / D-013 / N-003) have vague pass criteria — name evaluation method and sample size</t>
        </is>
      </c>
      <c r="E34" s="4"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6" t="inlineStr">
        <is>
          <t>Medium</t>
        </is>
      </c>
      <c r="G34" s="6" t="inlineStr">
        <is>
          <t>P3</t>
        </is>
      </c>
      <c r="H34" s="6" t="inlineStr">
        <is>
          <t>Fixed</t>
        </is>
      </c>
    </row>
    <row r="35" ht="312" customHeight="1">
      <c r="A35" s="7">
        <f>"BUG-"&amp;TEXT(ROW()-3,"000")</f>
        <v/>
      </c>
      <c r="B35" s="8" t="n">
        <v>46159</v>
      </c>
      <c r="C35" s="4" t="inlineStr">
        <is>
          <t>Editor review (test-scenarios spreadsheet)</t>
        </is>
      </c>
      <c r="D35" s="4" t="inlineStr">
        <is>
          <t>Coverage gaps — add ~8 new scenarios (JEES side-by-side, competitor benchmark, true-beginner path, restore drill, Hindi audio, LLM-disclosure-before, stem punctuation)</t>
        </is>
      </c>
      <c r="E35" s="4"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6" t="inlineStr">
        <is>
          <t>Medium</t>
        </is>
      </c>
      <c r="G35" s="6" t="inlineStr">
        <is>
          <t>P3</t>
        </is>
      </c>
      <c r="H35" s="6" t="inlineStr">
        <is>
          <t>Fixed</t>
        </is>
      </c>
    </row>
    <row r="36" ht="260" customHeight="1">
      <c r="A36" s="7">
        <f>"BUG-"&amp;TEXT(ROW()-3,"000")</f>
        <v/>
      </c>
      <c r="B36" s="8" t="n">
        <v>46159</v>
      </c>
      <c r="C36" s="4" t="inlineStr">
        <is>
          <t>Editor review (test-scenarios spreadsheet)</t>
        </is>
      </c>
      <c r="D36" s="4" t="inlineStr">
        <is>
          <t>Pedagogy tab (J) reads as research, not testable items — rewrite J-001 through J-015 with concrete inputs and pass criteria</t>
        </is>
      </c>
      <c r="E36" s="4"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6" t="inlineStr">
        <is>
          <t>Medium</t>
        </is>
      </c>
      <c r="G36" s="6" t="inlineStr">
        <is>
          <t>P3</t>
        </is>
      </c>
      <c r="H36" s="6" t="inlineStr">
        <is>
          <t>Fixed</t>
        </is>
      </c>
    </row>
    <row r="37" ht="273" customHeight="1">
      <c r="A37" s="7">
        <f>"BUG-"&amp;TEXT(ROW()-3,"000")</f>
        <v/>
      </c>
      <c r="B37" s="8" t="n">
        <v>46159</v>
      </c>
      <c r="C37" s="4" t="inlineStr">
        <is>
          <t>Editor review (test-scenarios spreadsheet)</t>
        </is>
      </c>
      <c r="D37" s="4" t="inlineStr">
        <is>
          <t>End-user tab (N) duplicates other tabs without adding value — N-013/N-014 duplicate E-010/E-007; N-009 duplicates H-020; N-001-003 overlap D-013/D-014</t>
        </is>
      </c>
      <c r="E37" s="4"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6" t="inlineStr">
        <is>
          <t>Low</t>
        </is>
      </c>
      <c r="G37" s="6" t="inlineStr">
        <is>
          <t>P3</t>
        </is>
      </c>
      <c r="H37" s="6" t="inlineStr">
        <is>
          <t>Fixed</t>
        </is>
      </c>
    </row>
    <row r="38" ht="182" customHeight="1">
      <c r="A38" s="7">
        <f>"BUG-"&amp;TEXT(ROW()-3,"000")</f>
        <v/>
      </c>
      <c r="B38" s="8" t="n">
        <v>46159</v>
      </c>
      <c r="C38" s="4" t="inlineStr">
        <is>
          <t>Editor review (test-scenarios spreadsheet)</t>
        </is>
      </c>
      <c r="D38" s="4" t="inlineStr">
        <is>
          <t>Notes column inconsistent — some rich (reference invariants), many empty, a few placeholder-only (M-010 / I-012)</t>
        </is>
      </c>
      <c r="E38" s="4"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6" t="inlineStr">
        <is>
          <t>Low</t>
        </is>
      </c>
      <c r="G38" s="6" t="inlineStr">
        <is>
          <t>P4</t>
        </is>
      </c>
      <c r="H38" s="6" t="inlineStr">
        <is>
          <t>Fixed</t>
        </is>
      </c>
    </row>
    <row r="39" ht="234" customHeight="1">
      <c r="A39" s="7">
        <f>"BUG-"&amp;TEXT(ROW()-3,"000")</f>
        <v/>
      </c>
      <c r="B39" s="8" t="n">
        <v>46159</v>
      </c>
      <c r="C39" s="4" t="inlineStr">
        <is>
          <t>Editor review (test-scenarios spreadsheet)</t>
        </is>
      </c>
      <c r="D39" s="4" t="inlineStr">
        <is>
          <t>Overview hardcodes per-tab Scenario count and Priority HIGH count — replace with COUNTA / COUNTIF formulas so counts auto-update</t>
        </is>
      </c>
      <c r="E39" s="4"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6" t="inlineStr">
        <is>
          <t>Medium</t>
        </is>
      </c>
      <c r="G39" s="6" t="inlineStr">
        <is>
          <t>P2</t>
        </is>
      </c>
      <c r="H39" s="6" t="inlineStr">
        <is>
          <t>Fixed</t>
        </is>
      </c>
    </row>
    <row r="40" ht="156" customHeight="1">
      <c r="A40" s="22">
        <f>"BUG-"&amp;TEXT(ROW()-3,"000")</f>
        <v/>
      </c>
      <c r="B40" s="23" t="n">
        <v>46159</v>
      </c>
      <c r="C40" s="24" t="inlineStr">
        <is>
          <t>Editor review (test-scenarios spreadsheet)</t>
        </is>
      </c>
      <c r="D40" s="24" t="inlineStr">
        <is>
          <t>Add Coverage % column — currently only A-001's note mentions coverage ("1.3% sampled to date") so reader can't tell if the plan has been run</t>
        </is>
      </c>
      <c r="E40" s="2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7" t="inlineStr">
        <is>
          <t>Low</t>
        </is>
      </c>
      <c r="G40" s="17" t="inlineStr">
        <is>
          <t>P4</t>
        </is>
      </c>
      <c r="H40" s="17" t="inlineStr">
        <is>
          <t>Fixed</t>
        </is>
      </c>
    </row>
    <row r="41" ht="280" customHeight="1">
      <c r="A41" s="7">
        <f>"BUG-"&amp;TEXT(ROW()-3,"000")</f>
        <v/>
      </c>
      <c r="B41" s="8" t="n">
        <v>46159</v>
      </c>
      <c r="C41" s="4" t="inlineStr">
        <is>
          <t>Content audit (kanji.json review)</t>
        </is>
      </c>
      <c r="D41" s="4" t="inlineStr">
        <is>
          <t>KANJI-006 — 十 entry has duplicate compound rows for "十" with different readings but identical gloss</t>
        </is>
      </c>
      <c r="E41" s="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6" t="inlineStr">
        <is>
          <t>Medium</t>
        </is>
      </c>
      <c r="G41" s="6" t="inlineStr">
        <is>
          <t>P3</t>
        </is>
      </c>
      <c r="H41" s="6" t="inlineStr">
        <is>
          <t>Fixed</t>
        </is>
      </c>
    </row>
    <row r="42">
      <c r="B42" s="2" t="n"/>
    </row>
    <row r="43">
      <c r="B43" s="2" t="n"/>
    </row>
    <row r="44">
      <c r="B44" s="2" t="n"/>
    </row>
    <row r="45">
      <c r="B45" s="2" t="n"/>
    </row>
    <row r="46">
      <c r="B46" s="2" t="n"/>
    </row>
    <row r="47">
      <c r="B47" s="2" t="n"/>
    </row>
    <row r="48">
      <c r="B48" s="2" t="n"/>
    </row>
    <row r="49">
      <c r="B49" s="2" t="n"/>
    </row>
    <row r="50">
      <c r="B50" s="2" t="n"/>
    </row>
    <row r="51">
      <c r="B51" s="2" t="n"/>
    </row>
    <row r="52">
      <c r="B52" s="2" t="n"/>
    </row>
    <row r="53">
      <c r="B53" s="2" t="n"/>
    </row>
    <row r="54">
      <c r="B54" s="2" t="n"/>
    </row>
    <row r="55">
      <c r="B55" s="2" t="n"/>
    </row>
    <row r="56">
      <c r="B56" s="2" t="n"/>
    </row>
    <row r="57">
      <c r="B57" s="2" t="n"/>
    </row>
    <row r="58">
      <c r="B58" s="2" t="n"/>
    </row>
    <row r="59">
      <c r="B59" s="2" t="n"/>
    </row>
    <row r="60">
      <c r="B60" s="2" t="n"/>
    </row>
    <row r="61">
      <c r="B61" s="2" t="n"/>
    </row>
    <row r="62">
      <c r="B62" s="2" t="n"/>
    </row>
    <row r="63">
      <c r="B63" s="2" t="n"/>
    </row>
    <row r="64">
      <c r="B64" s="2" t="n"/>
    </row>
    <row r="65">
      <c r="B65" s="2" t="n"/>
    </row>
    <row r="66">
      <c r="B66" s="2" t="n"/>
    </row>
    <row r="67">
      <c r="B67" s="2" t="n"/>
    </row>
    <row r="68">
      <c r="B68" s="2" t="n"/>
    </row>
    <row r="69">
      <c r="B69" s="2" t="n"/>
    </row>
    <row r="70">
      <c r="B70" s="2" t="n"/>
    </row>
    <row r="71">
      <c r="B71" s="2" t="n"/>
    </row>
    <row r="72">
      <c r="B72" s="2" t="n"/>
    </row>
    <row r="73">
      <c r="B73" s="2" t="n"/>
    </row>
    <row r="74">
      <c r="B74" s="2" t="n"/>
    </row>
    <row r="75">
      <c r="B75" s="2" t="n"/>
    </row>
    <row r="76">
      <c r="B76" s="2" t="n"/>
    </row>
    <row r="77">
      <c r="B77" s="2" t="n"/>
    </row>
    <row r="78">
      <c r="B78" s="2" t="n"/>
    </row>
    <row r="79">
      <c r="B79" s="2" t="n"/>
    </row>
    <row r="80">
      <c r="B80" s="2" t="n"/>
    </row>
    <row r="81">
      <c r="B81" s="2" t="n"/>
    </row>
    <row r="82">
      <c r="B82" s="2" t="n"/>
    </row>
    <row r="83">
      <c r="B83" s="2" t="n"/>
    </row>
    <row r="84">
      <c r="B84" s="2" t="n"/>
    </row>
    <row r="85">
      <c r="B85" s="2" t="n"/>
    </row>
    <row r="86">
      <c r="B86" s="2" t="n"/>
    </row>
    <row r="87">
      <c r="B87" s="2" t="n"/>
    </row>
    <row r="88">
      <c r="B88" s="2" t="n"/>
    </row>
    <row r="89">
      <c r="B89" s="2" t="n"/>
    </row>
    <row r="90">
      <c r="B90" s="2" t="n"/>
    </row>
    <row r="91">
      <c r="B91" s="2" t="n"/>
    </row>
    <row r="92">
      <c r="B92" s="2" t="n"/>
    </row>
    <row r="93">
      <c r="B93" s="2" t="n"/>
    </row>
    <row r="94">
      <c r="B94" s="2" t="n"/>
    </row>
    <row r="95">
      <c r="B95" s="2" t="n"/>
    </row>
    <row r="96">
      <c r="B96" s="2" t="n"/>
    </row>
    <row r="97">
      <c r="B97" s="2" t="n"/>
    </row>
    <row r="98">
      <c r="B98" s="2" t="n"/>
    </row>
    <row r="99">
      <c r="B99" s="2" t="n"/>
    </row>
    <row r="100">
      <c r="B100" s="2" t="n"/>
    </row>
  </sheetData>
  <autoFilter ref="A3:H25"/>
  <mergeCells count="1">
    <mergeCell ref="A1:H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2026-05-16T23:39:40Z</dcterms:modified>
  <cp:lastModifiedBy>Srivastava, Gaurav</cp:lastModifiedBy>
</cp:coreProperties>
</file>