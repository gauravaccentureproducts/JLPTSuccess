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4"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s>
  <definedNames>
    <definedName name="_xlnm._FilterDatabase" localSheetId="1" hidden="1">'Unit Tests (Auto-runnable)'!$A$4:$P$97</definedName>
    <definedName name="_xlnm._FilterDatabase" localSheetId="16" hidden="1">'User Reported Bugs'!$A$3:$H$25</definedName>
  </definedNames>
  <calcPr calcId="191029" fullCalcOnLoad="1"/>
</workbook>
</file>

<file path=xl/styles.xml><?xml version="1.0" encoding="utf-8"?>
<styleSheet xmlns="http://schemas.openxmlformats.org/spreadsheetml/2006/main">
  <numFmts count="1">
    <numFmt numFmtId="164" formatCode="yyyy\-mm\-dd"/>
  </numFmts>
  <fonts count="15">
    <font>
      <name val="Calibri"/>
      <family val="2"/>
      <color theme="1"/>
      <sz val="11"/>
      <scheme val="minor"/>
    </font>
    <font>
      <name val="Calibri"/>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b val="1"/>
      <color rgb="FFFFFFFF"/>
      <sz val="16"/>
    </font>
    <font>
      <name val="Calibri"/>
      <family val="2"/>
      <i val="1"/>
      <color rgb="FF1F3864"/>
      <sz val="10"/>
      <scheme val="minor"/>
    </font>
    <font>
      <name val="Calibri"/>
      <family val="2"/>
      <color rgb="FF333333"/>
      <sz val="10"/>
      <scheme val="minor"/>
    </font>
    <font>
      <name val="Calibri"/>
      <b val="1"/>
      <sz val="11"/>
    </font>
    <font>
      <name val="Calibri"/>
      <b val="1"/>
      <sz val="11"/>
    </font>
    <font>
      <name val="Calibri"/>
      <b val="1"/>
      <sz val="14"/>
    </font>
    <font>
      <name val="Calibri"/>
      <i val="1"/>
      <sz val="10"/>
    </font>
    <font>
      <name val="Calibri"/>
      <b val="1"/>
      <color rgb="FFFFFFFF"/>
      <sz val="11"/>
    </font>
    <font>
      <name val="Calibri"/>
      <b val="1"/>
      <sz val="11"/>
    </font>
  </fonts>
  <fills count="14">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s>
  <borders count="8">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s>
  <cellStyleXfs count="1">
    <xf numFmtId="0" fontId="0" fillId="0" borderId="0"/>
  </cellStyleXfs>
  <cellXfs count="48">
    <xf numFmtId="0" fontId="0" fillId="0" borderId="0" pivotButton="0" quotePrefix="0" xfId="0"/>
    <xf numFmtId="0" fontId="0" fillId="0" borderId="0" applyAlignment="1" pivotButton="0" quotePrefix="0" xfId="0">
      <alignment horizontal="left" vertical="top" wrapText="1"/>
    </xf>
    <xf numFmtId="164" fontId="0" fillId="0" borderId="0" applyAlignment="1" pivotButton="0" quotePrefix="0" xfId="0">
      <alignment horizontal="left" vertical="top" wrapText="1"/>
    </xf>
    <xf numFmtId="0" fontId="3" fillId="4" borderId="1" applyAlignment="1" pivotButton="0" quotePrefix="0" xfId="0">
      <alignment horizontal="center" vertical="center"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13" fillId="8" borderId="0" applyAlignment="1" pivotButton="0" quotePrefix="0" xfId="0">
      <alignment horizontal="center" vertical="center" wrapText="1"/>
    </xf>
    <xf numFmtId="0" fontId="0" fillId="9" borderId="7" applyAlignment="1" pivotButton="0" quotePrefix="0" xfId="0">
      <alignment vertical="top" wrapText="1"/>
    </xf>
    <xf numFmtId="0" fontId="0" fillId="10" borderId="7" applyAlignment="1" pivotButton="0" quotePrefix="0" xfId="0">
      <alignment vertical="top" wrapText="1"/>
    </xf>
    <xf numFmtId="0" fontId="0" fillId="11" borderId="7" applyAlignment="1" pivotButton="0" quotePrefix="0" xfId="0">
      <alignment vertical="top" wrapText="1"/>
    </xf>
    <xf numFmtId="0" fontId="0" fillId="12" borderId="7" applyAlignment="1" pivotButton="0" quotePrefix="0" xfId="0">
      <alignment vertical="top" wrapText="1"/>
    </xf>
    <xf numFmtId="0" fontId="0" fillId="13" borderId="7" applyAlignment="1" pivotButton="0" quotePrefix="0" xfId="0">
      <alignment vertical="top" wrapText="1"/>
    </xf>
    <xf numFmtId="0" fontId="14" fillId="0" borderId="0" pivotButton="0" quotePrefix="0" xfId="0"/>
    <xf numFmtId="0" fontId="0" fillId="0" borderId="7" applyAlignment="1" pivotButton="0" quotePrefix="0" xfId="0">
      <alignmen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164" fontId="4" fillId="0" borderId="2" applyAlignment="1" pivotButton="0" quotePrefix="0" xfId="0">
      <alignment horizontal="left" vertical="top" wrapText="1"/>
    </xf>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40" min="1" max="1"/>
    <col width="12" customWidth="1" style="40" min="2" max="2"/>
    <col width="10" customWidth="1" style="40" min="3" max="5"/>
    <col width="12" customWidth="1" style="40" min="6" max="6"/>
  </cols>
  <sheetData>
    <row r="1" ht="28" customHeight="1" s="40">
      <c r="A1" s="39" t="inlineStr">
        <is>
          <t>JLPT N5 Tutor — Test Scenarios by Specialist Perspective</t>
        </is>
      </c>
    </row>
    <row r="2" ht="24" customHeight="1" s="40">
      <c r="A2" s="42" t="inlineStr">
        <is>
          <t>Generated from the 84-perspective list (categories A–N). Each tab = one category.</t>
        </is>
      </c>
    </row>
    <row r="3" ht="60" customHeight="1" s="40">
      <c r="A3" s="41"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40">
      <c r="A5" s="23" t="inlineStr">
        <is>
          <t>Tab</t>
        </is>
      </c>
      <c r="B5" s="23" t="inlineStr">
        <is>
          <t>Scenarios</t>
        </is>
      </c>
      <c r="C5" s="23" t="inlineStr">
        <is>
          <t>P1</t>
        </is>
      </c>
      <c r="D5" s="23" t="inlineStr">
        <is>
          <t>P2</t>
        </is>
      </c>
      <c r="E5" s="23" t="inlineStr">
        <is>
          <t>P3</t>
        </is>
      </c>
      <c r="F5" s="23" t="inlineStr">
        <is>
          <t>P4 + P5</t>
        </is>
      </c>
    </row>
    <row r="6" ht="50" customHeight="1" s="40">
      <c r="A6" s="10" t="inlineStr">
        <is>
          <t>A. Japanese language</t>
        </is>
      </c>
      <c r="B6" s="5">
        <f>COUNTA('A. Japanese language'!A5:A1000)</f>
        <v/>
      </c>
      <c r="C6" s="6">
        <f>COUNTIF('A. Japanese language'!G5:G1000, "P1")</f>
        <v/>
      </c>
      <c r="D6" s="6">
        <f>COUNTIF('A. Japanese language'!G5:G1000, "P2")</f>
        <v/>
      </c>
      <c r="E6">
        <f>COUNTIF('A. Japanese language'!G5:G1000, "P3")</f>
        <v/>
      </c>
      <c r="F6">
        <f>COUNTIF('A. Japanese language'!G5:G1000, "P4") + COUNTIF('A. Japanese language'!G5:G1000, "P5")</f>
        <v/>
      </c>
    </row>
    <row r="7" ht="50" customHeight="1" s="40">
      <c r="A7" s="10" t="inlineStr">
        <is>
          <t>B. JLPT format</t>
        </is>
      </c>
      <c r="B7" s="5">
        <f>COUNTA('B. JLPT format'!A5:A1000)</f>
        <v/>
      </c>
      <c r="C7" s="6">
        <f>COUNTIF('B. JLPT format'!G5:G1000, "P1")</f>
        <v/>
      </c>
      <c r="D7" s="6">
        <f>COUNTIF('B. JLPT format'!G5:G1000, "P2")</f>
        <v/>
      </c>
      <c r="E7">
        <f>COUNTIF('B. JLPT format'!G5:G1000, "P3")</f>
        <v/>
      </c>
      <c r="F7">
        <f>COUNTIF('B. JLPT format'!G5:G1000, "P4") + COUNTIF('B. JLPT format'!G5:G1000, "P5")</f>
        <v/>
      </c>
    </row>
    <row r="8" ht="50" customHeight="1" s="40">
      <c r="A8" s="10" t="inlineStr">
        <is>
          <t>C. Hindi locale</t>
        </is>
      </c>
      <c r="B8" s="5">
        <f>COUNTA('C. Hindi locale'!A5:A1000)</f>
        <v/>
      </c>
      <c r="C8" s="6">
        <f>COUNTIF('C. Hindi locale'!G5:G1000, "P1")</f>
        <v/>
      </c>
      <c r="D8" s="6">
        <f>COUNTIF('C. Hindi locale'!G5:G1000, "P2")</f>
        <v/>
      </c>
      <c r="E8">
        <f>COUNTIF('C. Hindi locale'!G5:G1000, "P3")</f>
        <v/>
      </c>
      <c r="F8">
        <f>COUNTIF('C. Hindi locale'!G5:G1000, "P4") + COUNTIF('C. Hindi locale'!G5:G1000, "P5")</f>
        <v/>
      </c>
    </row>
    <row r="9" ht="50" customHeight="1" s="40">
      <c r="A9" s="10" t="inlineStr">
        <is>
          <t>D. UX design</t>
        </is>
      </c>
      <c r="B9" s="5">
        <f>COUNTA('D. UX design'!A5:A1000)</f>
        <v/>
      </c>
      <c r="C9" s="6">
        <f>COUNTIF('D. UX design'!G5:G1000, "P1")</f>
        <v/>
      </c>
      <c r="D9" s="6">
        <f>COUNTIF('D. UX design'!G5:G1000, "P2")</f>
        <v/>
      </c>
      <c r="E9">
        <f>COUNTIF('D. UX design'!G5:G1000, "P3")</f>
        <v/>
      </c>
      <c r="F9">
        <f>COUNTIF('D. UX design'!G5:G1000, "P4") + COUNTIF('D. UX design'!G5:G1000, "P5")</f>
        <v/>
      </c>
    </row>
    <row r="10" ht="50" customHeight="1" s="40">
      <c r="A10" s="10" t="inlineStr">
        <is>
          <t>E. Accessibility</t>
        </is>
      </c>
      <c r="B10" s="5">
        <f>COUNTA('E. Accessibility'!A5:A1000)</f>
        <v/>
      </c>
      <c r="C10" s="6">
        <f>COUNTIF('E. Accessibility'!G5:G1000, "P1")</f>
        <v/>
      </c>
      <c r="D10" s="6">
        <f>COUNTIF('E. Accessibility'!G5:G1000, "P2")</f>
        <v/>
      </c>
      <c r="E10">
        <f>COUNTIF('E. Accessibility'!G5:G1000, "P3")</f>
        <v/>
      </c>
      <c r="F10">
        <f>COUNTIF('E. Accessibility'!G5:G1000, "P4") + COUNTIF('E. Accessibility'!G5:G1000, "P5")</f>
        <v/>
      </c>
    </row>
    <row r="11" ht="50" customHeight="1" s="40">
      <c r="A11" s="10" t="inlineStr">
        <is>
          <t>F. Security</t>
        </is>
      </c>
      <c r="B11" s="5">
        <f>COUNTA('F. Security'!A5:A1000)</f>
        <v/>
      </c>
      <c r="C11" s="6">
        <f>COUNTIF('F. Security'!G5:G1000, "P1")</f>
        <v/>
      </c>
      <c r="D11" s="6">
        <f>COUNTIF('F. Security'!G5:G1000, "P2")</f>
        <v/>
      </c>
      <c r="E11">
        <f>COUNTIF('F. Security'!G5:G1000, "P3")</f>
        <v/>
      </c>
      <c r="F11">
        <f>COUNTIF('F. Security'!G5:G1000, "P4") + COUNTIF('F. Security'!G5:G1000, "P5")</f>
        <v/>
      </c>
    </row>
    <row r="12" ht="50" customHeight="1" s="40">
      <c r="A12" s="10" t="inlineStr">
        <is>
          <t>G. Privacy and legal</t>
        </is>
      </c>
      <c r="B12" s="5">
        <f>COUNTA('G. Privacy and legal'!A5:A1000)</f>
        <v/>
      </c>
      <c r="C12" s="6">
        <f>COUNTIF('G. Privacy and legal'!G5:G1000, "P1")</f>
        <v/>
      </c>
      <c r="D12" s="6">
        <f>COUNTIF('G. Privacy and legal'!G5:G1000, "P2")</f>
        <v/>
      </c>
      <c r="E12">
        <f>COUNTIF('G. Privacy and legal'!G5:G1000, "P3")</f>
        <v/>
      </c>
      <c r="F12">
        <f>COUNTIF('G. Privacy and legal'!G5:G1000, "P4") + COUNTIF('G. Privacy and legal'!G5:G1000, "P5")</f>
        <v/>
      </c>
    </row>
    <row r="13" ht="50" customHeight="1" s="40">
      <c r="A13" s="10" t="inlineStr">
        <is>
          <t>H. Performance</t>
        </is>
      </c>
      <c r="B13" s="5">
        <f>COUNTA('H. Performance'!A5:A1000)</f>
        <v/>
      </c>
      <c r="C13" s="6">
        <f>COUNTIF('H. Performance'!G5:G1000, "P1")</f>
        <v/>
      </c>
      <c r="D13" s="6">
        <f>COUNTIF('H. Performance'!G5:G1000, "P2")</f>
        <v/>
      </c>
      <c r="E13">
        <f>COUNTIF('H. Performance'!G5:G1000, "P3")</f>
        <v/>
      </c>
      <c r="F13">
        <f>COUNTIF('H. Performance'!G5:G1000, "P4") + COUNTIF('H. Performance'!G5:G1000, "P5")</f>
        <v/>
      </c>
    </row>
    <row r="14" ht="50" customHeight="1" s="40">
      <c r="A14" s="10" t="inlineStr">
        <is>
          <t>I. Data engineering</t>
        </is>
      </c>
      <c r="B14" s="5">
        <f>COUNTA('I. Data engineering'!A5:A1000)</f>
        <v/>
      </c>
      <c r="C14" s="6">
        <f>COUNTIF('I. Data engineering'!G5:G1000, "P1")</f>
        <v/>
      </c>
      <c r="D14" s="6">
        <f>COUNTIF('I. Data engineering'!G5:G1000, "P2")</f>
        <v/>
      </c>
      <c r="E14">
        <f>COUNTIF('I. Data engineering'!G5:G1000, "P3")</f>
        <v/>
      </c>
      <c r="F14">
        <f>COUNTIF('I. Data engineering'!G5:G1000, "P4") + COUNTIF('I. Data engineering'!G5:G1000, "P5")</f>
        <v/>
      </c>
    </row>
    <row r="15" ht="50" customHeight="1" s="40">
      <c r="A15" s="10" t="inlineStr">
        <is>
          <t>J. Pedagogy</t>
        </is>
      </c>
      <c r="B15" s="5">
        <f>COUNTA('J. Pedagogy'!A5:A1000)</f>
        <v/>
      </c>
      <c r="C15" s="6">
        <f>COUNTIF('J. Pedagogy'!G5:G1000, "P1")</f>
        <v/>
      </c>
      <c r="D15" s="6">
        <f>COUNTIF('J. Pedagogy'!G5:G1000, "P2")</f>
        <v/>
      </c>
      <c r="E15">
        <f>COUNTIF('J. Pedagogy'!G5:G1000, "P3")</f>
        <v/>
      </c>
      <c r="F15">
        <f>COUNTIF('J. Pedagogy'!G5:G1000, "P4") + COUNTIF('J. Pedagogy'!G5:G1000, "P5")</f>
        <v/>
      </c>
    </row>
    <row r="16" ht="50" customHeight="1" s="40">
      <c r="A16" s="10" t="inlineStr">
        <is>
          <t>K. QA testing</t>
        </is>
      </c>
      <c r="B16" s="5">
        <f>COUNTA('K. QA testing'!A5:A1000)</f>
        <v/>
      </c>
      <c r="C16" s="6">
        <f>COUNTIF('K. QA testing'!G5:G1000, "P1")</f>
        <v/>
      </c>
      <c r="D16" s="6">
        <f>COUNTIF('K. QA testing'!G5:G1000, "P2")</f>
        <v/>
      </c>
      <c r="E16">
        <f>COUNTIF('K. QA testing'!G5:G1000, "P3")</f>
        <v/>
      </c>
      <c r="F16">
        <f>COUNTIF('K. QA testing'!G5:G1000, "P4") + COUNTIF('K. QA testing'!G5:G1000, "P5")</f>
        <v/>
      </c>
    </row>
    <row r="17" ht="50" customHeight="1" s="40">
      <c r="A17" s="10" t="inlineStr">
        <is>
          <t>L. Cultural ethical</t>
        </is>
      </c>
      <c r="B17" s="5">
        <f>COUNTA('L. Cultural ethical'!A5:A1000)</f>
        <v/>
      </c>
      <c r="C17" s="6">
        <f>COUNTIF('L. Cultural ethical'!G5:G1000, "P1")</f>
        <v/>
      </c>
      <c r="D17" s="6">
        <f>COUNTIF('L. Cultural ethical'!G5:G1000, "P2")</f>
        <v/>
      </c>
      <c r="E17">
        <f>COUNTIF('L. Cultural ethical'!G5:G1000, "P3")</f>
        <v/>
      </c>
      <c r="F17">
        <f>COUNTIF('L. Cultural ethical'!G5:G1000, "P4") + COUNTIF('L. Cultural ethical'!G5:G1000, "P5")</f>
        <v/>
      </c>
    </row>
    <row r="18" ht="50" customHeight="1" s="40">
      <c r="A18" s="10" t="inlineStr">
        <is>
          <t>M. Operations</t>
        </is>
      </c>
      <c r="B18" s="5">
        <f>COUNTA('M. Operations'!A5:A1000)</f>
        <v/>
      </c>
      <c r="C18" s="6">
        <f>COUNTIF('M. Operations'!G5:G1000, "P1")</f>
        <v/>
      </c>
      <c r="D18" s="6">
        <f>COUNTIF('M. Operations'!G5:G1000, "P2")</f>
        <v/>
      </c>
      <c r="E18">
        <f>COUNTIF('M. Operations'!G5:G1000, "P3")</f>
        <v/>
      </c>
      <c r="F18">
        <f>COUNTIF('M. Operations'!G5:G1000, "P4") + COUNTIF('M. Operations'!G5:G1000, "P5")</f>
        <v/>
      </c>
    </row>
    <row r="19" ht="50" customHeight="1" s="40" thickBot="1">
      <c r="A19" s="11" t="inlineStr">
        <is>
          <t>N. End-user POV</t>
        </is>
      </c>
      <c r="B19" s="12">
        <f>COUNTA('N. End-user POV'!A5:A1000)</f>
        <v/>
      </c>
      <c r="C19" s="13">
        <f>COUNTIF('N. End-user POV'!G5:G1000, "P1")</f>
        <v/>
      </c>
      <c r="D19" s="13">
        <f>COUNTIF('N. End-user POV'!G5:G1000, "P2")</f>
        <v/>
      </c>
      <c r="E19">
        <f>COUNTIF('N. End-user POV'!G5:G1000, "P3")</f>
        <v/>
      </c>
      <c r="F19">
        <f>COUNTIF('N. End-user POV'!G5:G1000, "P4") + COUNTIF('N. End-user POV'!G5:G1000, "P5")</f>
        <v/>
      </c>
    </row>
    <row r="20" ht="15.5" customHeight="1" s="40" thickBot="1" thickTop="1">
      <c r="A20" s="24" t="inlineStr">
        <is>
          <t>TOTAL</t>
        </is>
      </c>
      <c r="B20" s="24">
        <f>SUM(B6:B19)</f>
        <v/>
      </c>
      <c r="C20" s="25">
        <f>SUM(C6:C19)</f>
        <v/>
      </c>
      <c r="D20" s="25">
        <f>SUM(D6:D19)</f>
        <v/>
      </c>
      <c r="E20" s="26">
        <f>SUM(E6:E19)</f>
        <v/>
      </c>
      <c r="F20" s="26">
        <f>SUM(F6:F19)</f>
        <v/>
      </c>
    </row>
    <row r="21" ht="15" customHeight="1" s="40"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6"/>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40" min="1" max="1"/>
    <col width="9" customWidth="1" style="40" min="2" max="2"/>
    <col width="5" customWidth="1" style="40" min="3" max="3"/>
    <col width="22" customWidth="1" style="40" min="4" max="4"/>
    <col width="60" customWidth="1" style="40" min="5" max="5"/>
    <col width="38" customWidth="1" style="40" min="6" max="6"/>
    <col width="12" customWidth="1" style="40" min="7" max="7"/>
    <col width="24" customWidth="1" style="40" min="8" max="8"/>
    <col width="9" customWidth="1" style="40" min="9" max="9"/>
    <col width="11" customWidth="1" style="40" min="10" max="10"/>
    <col width="13" customWidth="1" style="40" min="11" max="11"/>
    <col width="9" customWidth="1" style="40" min="12" max="12"/>
    <col width="11" customWidth="1" style="40" min="13" max="13"/>
    <col width="14" customWidth="1" style="40" min="14" max="15"/>
    <col width="32" customWidth="1" style="40" min="16" max="16"/>
  </cols>
  <sheetData>
    <row r="1" ht="18.5" customHeight="1" s="40">
      <c r="A1" s="43" t="inlineStr">
        <is>
          <t>JLPT N5 Tutor — Unit Tests (Auto-runnable scenarios)</t>
        </is>
      </c>
    </row>
    <row r="2" ht="45" customHeight="1" s="40">
      <c r="A2" s="44" t="inlineStr">
        <is>
          <t>Snapshot view of 93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t>
        </is>
      </c>
    </row>
    <row r="4">
      <c r="A4" s="31" t="inlineStr">
        <is>
          <t>#</t>
        </is>
      </c>
      <c r="B4" s="31" t="inlineStr">
        <is>
          <t>ID</t>
        </is>
      </c>
      <c r="C4" s="31" t="inlineStr">
        <is>
          <t>Tab</t>
        </is>
      </c>
      <c r="D4" s="31" t="inlineStr">
        <is>
          <t>Sub-category</t>
        </is>
      </c>
      <c r="E4" s="31" t="inlineStr">
        <is>
          <t>Scenario</t>
        </is>
      </c>
      <c r="F4" s="31" t="inlineStr">
        <is>
          <t>Tools / scripts</t>
        </is>
      </c>
      <c r="G4" s="31" t="inlineStr">
        <is>
          <t>CI invariant</t>
        </is>
      </c>
      <c r="H4" s="31" t="inlineStr">
        <is>
          <t>Owner / role</t>
        </is>
      </c>
      <c r="I4" s="31" t="inlineStr">
        <is>
          <t>Priority</t>
        </is>
      </c>
      <c r="J4" s="31" t="inlineStr">
        <is>
          <t>Severity</t>
        </is>
      </c>
      <c r="K4" s="31" t="inlineStr">
        <is>
          <t>Test type</t>
        </is>
      </c>
      <c r="L4" s="31" t="inlineStr">
        <is>
          <t>Effort</t>
        </is>
      </c>
      <c r="M4" s="31" t="inlineStr">
        <is>
          <t>Coverage %</t>
        </is>
      </c>
      <c r="N4" s="31" t="inlineStr">
        <is>
          <t>Last run result</t>
        </is>
      </c>
      <c r="O4" s="31" t="inlineStr">
        <is>
          <t>Last run date</t>
        </is>
      </c>
      <c r="P4" s="31" t="inlineStr">
        <is>
          <t>Source ref</t>
        </is>
      </c>
    </row>
    <row r="5">
      <c r="A5" s="32" t="n">
        <v>1</v>
      </c>
      <c r="B5" s="32" t="inlineStr">
        <is>
          <t>A-007</t>
        </is>
      </c>
      <c r="C5" s="32" t="inlineStr">
        <is>
          <t>A</t>
        </is>
      </c>
      <c r="D5" s="32" t="inlineStr">
        <is>
          <t>Particles</t>
        </is>
      </c>
      <c r="E5" s="32" t="inlineStr">
        <is>
          <t>を vs が with potential-form verbs (好き / できる / わかる)</t>
        </is>
      </c>
      <c r="F5" s="32" t="inlineStr">
        <is>
          <t>n/a — manual evaluation</t>
        </is>
      </c>
      <c r="G5" s="32" t="inlineStr">
        <is>
          <t>JA-88</t>
        </is>
      </c>
      <c r="H5" s="32" t="inlineStr">
        <is>
          <t>Native Japanese teacher</t>
        </is>
      </c>
      <c r="I5" s="32" t="inlineStr">
        <is>
          <t>P1</t>
        </is>
      </c>
      <c r="J5" s="32" t="inlineStr">
        <is>
          <t>Critical</t>
        </is>
      </c>
      <c r="K5" s="32" t="inlineStr">
        <is>
          <t>Auto+Manual</t>
        </is>
      </c>
      <c r="L5" s="32" t="inlineStr">
        <is>
          <t>1d</t>
        </is>
      </c>
      <c r="M5" s="32" t="inlineStr">
        <is>
          <t>0%</t>
        </is>
      </c>
      <c r="N5" s="32" t="inlineStr">
        <is>
          <t>Not Yet Run</t>
        </is>
      </c>
      <c r="O5" s="32" t="n"/>
      <c r="P5" s="32" t="inlineStr">
        <is>
          <t>A. Japanese language!row 11</t>
        </is>
      </c>
    </row>
    <row r="6" ht="29" customHeight="1" s="40">
      <c r="A6" s="32" t="n">
        <v>2</v>
      </c>
      <c r="B6" s="32" t="inlineStr">
        <is>
          <t>A-008</t>
        </is>
      </c>
      <c r="C6" s="32" t="inlineStr">
        <is>
          <t>A</t>
        </is>
      </c>
      <c r="D6" s="32" t="inlineStr">
        <is>
          <t>Conjugation</t>
        </is>
      </c>
      <c r="E6" s="32" t="inlineStr">
        <is>
          <t>Verb-class accuracy: dictionary-form vs class tag</t>
        </is>
      </c>
      <c r="F6" s="32" t="inlineStr">
        <is>
          <t>Custom Python (vocab.json + verb-class reference cross-check)</t>
        </is>
      </c>
      <c r="G6" s="32" t="n"/>
      <c r="H6" s="32" t="inlineStr">
        <is>
          <t>Native Japanese teacher</t>
        </is>
      </c>
      <c r="I6" s="32" t="inlineStr">
        <is>
          <t>P1</t>
        </is>
      </c>
      <c r="J6" s="32" t="inlineStr">
        <is>
          <t>Critical</t>
        </is>
      </c>
      <c r="K6" s="32" t="inlineStr">
        <is>
          <t>Auto</t>
        </is>
      </c>
      <c r="L6" s="32" t="inlineStr">
        <is>
          <t>1d</t>
        </is>
      </c>
      <c r="M6" s="32" t="inlineStr">
        <is>
          <t>0%</t>
        </is>
      </c>
      <c r="N6" s="32" t="inlineStr">
        <is>
          <t>Not Yet Run</t>
        </is>
      </c>
      <c r="O6" s="32" t="n"/>
      <c r="P6" s="32" t="inlineStr">
        <is>
          <t>A. Japanese language!row 12</t>
        </is>
      </c>
    </row>
    <row r="7">
      <c r="A7" s="32" t="n">
        <v>3</v>
      </c>
      <c r="B7" s="32" t="inlineStr">
        <is>
          <t>C-016</t>
        </is>
      </c>
      <c r="C7" s="32" t="inlineStr">
        <is>
          <t>C</t>
        </is>
      </c>
      <c r="D7" s="32" t="inlineStr">
        <is>
          <t>Locale parity</t>
        </is>
      </c>
      <c r="E7" s="32" t="inlineStr">
        <is>
          <t>Field-presence parity: every EN field has its HI counterpart</t>
        </is>
      </c>
      <c r="F7" s="32" t="inlineStr">
        <is>
          <t>n/a — manual evaluation</t>
        </is>
      </c>
      <c r="G7" s="32" t="n"/>
      <c r="H7" s="32" t="inlineStr">
        <is>
          <t>Native Hindi teacher</t>
        </is>
      </c>
      <c r="I7" s="32" t="inlineStr">
        <is>
          <t>P1</t>
        </is>
      </c>
      <c r="J7" s="32" t="inlineStr">
        <is>
          <t>Critical</t>
        </is>
      </c>
      <c r="K7" s="32" t="inlineStr">
        <is>
          <t>Auto</t>
        </is>
      </c>
      <c r="L7" s="32" t="inlineStr">
        <is>
          <t>1d</t>
        </is>
      </c>
      <c r="M7" s="32" t="inlineStr">
        <is>
          <t>0%</t>
        </is>
      </c>
      <c r="N7" s="32" t="inlineStr">
        <is>
          <t>Not Yet Run</t>
        </is>
      </c>
      <c r="O7" s="32" t="n"/>
      <c r="P7" s="32" t="inlineStr">
        <is>
          <t>C. Hindi locale!row 20</t>
        </is>
      </c>
    </row>
    <row r="8">
      <c r="A8" s="32" t="n">
        <v>4</v>
      </c>
      <c r="B8" s="32" t="inlineStr">
        <is>
          <t>F-001</t>
        </is>
      </c>
      <c r="C8" s="32" t="inlineStr">
        <is>
          <t>F</t>
        </is>
      </c>
      <c r="D8" s="32" t="inlineStr">
        <is>
          <t>XSS</t>
        </is>
      </c>
      <c r="E8" s="32" t="inlineStr">
        <is>
          <t>Input field XSS payload injection (feedback module if exists)</t>
        </is>
      </c>
      <c r="F8" s="32" t="inlineStr">
        <is>
          <t>Lighthouse + npm audit + secrets-scan</t>
        </is>
      </c>
      <c r="G8" s="32" t="n"/>
      <c r="H8" s="32" t="inlineStr">
        <is>
          <t>Security engineer</t>
        </is>
      </c>
      <c r="I8" s="32" t="inlineStr">
        <is>
          <t>P1</t>
        </is>
      </c>
      <c r="J8" s="32" t="inlineStr">
        <is>
          <t>Critical</t>
        </is>
      </c>
      <c r="K8" s="32" t="inlineStr">
        <is>
          <t>Auto</t>
        </is>
      </c>
      <c r="L8" s="32" t="inlineStr">
        <is>
          <t>1h</t>
        </is>
      </c>
      <c r="M8" s="32" t="inlineStr">
        <is>
          <t>0%</t>
        </is>
      </c>
      <c r="N8" s="32" t="inlineStr">
        <is>
          <t>Not Yet Run</t>
        </is>
      </c>
      <c r="O8" s="32" t="n"/>
      <c r="P8" s="32" t="inlineStr">
        <is>
          <t>F. Security!row 5</t>
        </is>
      </c>
    </row>
    <row r="9">
      <c r="A9" s="32" t="n">
        <v>5</v>
      </c>
      <c r="B9" s="32" t="inlineStr">
        <is>
          <t>F-002</t>
        </is>
      </c>
      <c r="C9" s="32" t="inlineStr">
        <is>
          <t>F</t>
        </is>
      </c>
      <c r="D9" s="32" t="inlineStr">
        <is>
          <t>XSS</t>
        </is>
      </c>
      <c r="E9" s="32" t="inlineStr">
        <is>
          <t>URL-parameter XSS in route handlers</t>
        </is>
      </c>
      <c r="F9" s="32" t="inlineStr">
        <is>
          <t>npm audit / Snyk / Dependabot</t>
        </is>
      </c>
      <c r="G9" s="32" t="n"/>
      <c r="H9" s="32" t="inlineStr">
        <is>
          <t>Security engineer</t>
        </is>
      </c>
      <c r="I9" s="32" t="inlineStr">
        <is>
          <t>P1</t>
        </is>
      </c>
      <c r="J9" s="32" t="inlineStr">
        <is>
          <t>Critical</t>
        </is>
      </c>
      <c r="K9" s="32" t="inlineStr">
        <is>
          <t>Auto</t>
        </is>
      </c>
      <c r="L9" s="32" t="inlineStr">
        <is>
          <t>1h</t>
        </is>
      </c>
      <c r="M9" s="32" t="inlineStr">
        <is>
          <t>0%</t>
        </is>
      </c>
      <c r="N9" s="32" t="inlineStr">
        <is>
          <t>Not Yet Run</t>
        </is>
      </c>
      <c r="O9" s="32" t="n"/>
      <c r="P9" s="32" t="inlineStr">
        <is>
          <t>F. Security!row 6</t>
        </is>
      </c>
    </row>
    <row r="10">
      <c r="A10" s="32" t="n">
        <v>6</v>
      </c>
      <c r="B10" s="32" t="inlineStr">
        <is>
          <t>F-003</t>
        </is>
      </c>
      <c r="C10" s="32" t="inlineStr">
        <is>
          <t>F</t>
        </is>
      </c>
      <c r="D10" s="32" t="inlineStr">
        <is>
          <t>XSS</t>
        </is>
      </c>
      <c r="E10" s="32" t="inlineStr">
        <is>
          <t>localStorage payload injection</t>
        </is>
      </c>
      <c r="F10" s="32" t="inlineStr">
        <is>
          <t>GitGuardian / trufflehog (secrets in tree)</t>
        </is>
      </c>
      <c r="G10" s="32" t="n"/>
      <c r="H10" s="32" t="inlineStr">
        <is>
          <t>Security engineer</t>
        </is>
      </c>
      <c r="I10" s="32" t="inlineStr">
        <is>
          <t>P1</t>
        </is>
      </c>
      <c r="J10" s="32" t="inlineStr">
        <is>
          <t>Critical</t>
        </is>
      </c>
      <c r="K10" s="32" t="inlineStr">
        <is>
          <t>Auto</t>
        </is>
      </c>
      <c r="L10" s="32" t="inlineStr">
        <is>
          <t>1h</t>
        </is>
      </c>
      <c r="M10" s="32" t="inlineStr">
        <is>
          <t>0%</t>
        </is>
      </c>
      <c r="N10" s="32" t="inlineStr">
        <is>
          <t>Not Yet Run</t>
        </is>
      </c>
      <c r="O10" s="32" t="n"/>
      <c r="P10" s="32" t="inlineStr">
        <is>
          <t>F. Security!row 7</t>
        </is>
      </c>
    </row>
    <row r="11">
      <c r="A11" s="32" t="n">
        <v>7</v>
      </c>
      <c r="B11" s="32" t="inlineStr">
        <is>
          <t>F-014</t>
        </is>
      </c>
      <c r="C11" s="32" t="inlineStr">
        <is>
          <t>F</t>
        </is>
      </c>
      <c r="D11" s="32" t="inlineStr">
        <is>
          <t>Secrets</t>
        </is>
      </c>
      <c r="E11" s="32" t="inlineStr">
        <is>
          <t>Git-history scan for accidentally-committed tokens</t>
        </is>
      </c>
      <c r="F11" s="32" t="inlineStr">
        <is>
          <t>n/a — manual evaluation</t>
        </is>
      </c>
      <c r="G11" s="32" t="n"/>
      <c r="H11" s="32" t="inlineStr">
        <is>
          <t>Security engineer</t>
        </is>
      </c>
      <c r="I11" s="32" t="inlineStr">
        <is>
          <t>P1</t>
        </is>
      </c>
      <c r="J11" s="32" t="inlineStr">
        <is>
          <t>Critical</t>
        </is>
      </c>
      <c r="K11" s="32" t="inlineStr">
        <is>
          <t>Auto</t>
        </is>
      </c>
      <c r="L11" s="32" t="inlineStr">
        <is>
          <t>4h</t>
        </is>
      </c>
      <c r="M11" s="32" t="inlineStr">
        <is>
          <t>0%</t>
        </is>
      </c>
      <c r="N11" s="32" t="inlineStr">
        <is>
          <t>Not Yet Run</t>
        </is>
      </c>
      <c r="O11" s="32" t="n"/>
      <c r="P11" s="32" t="inlineStr">
        <is>
          <t>F. Security!row 18</t>
        </is>
      </c>
    </row>
    <row r="12">
      <c r="A12" s="32" t="n">
        <v>8</v>
      </c>
      <c r="B12" s="32" t="inlineStr">
        <is>
          <t>F-015</t>
        </is>
      </c>
      <c r="C12" s="32" t="inlineStr">
        <is>
          <t>F</t>
        </is>
      </c>
      <c r="D12" s="32" t="inlineStr">
        <is>
          <t>Secrets</t>
        </is>
      </c>
      <c r="E12" s="32" t="inlineStr">
        <is>
          <t>.env files / private keys in tree</t>
        </is>
      </c>
      <c r="F12" s="32" t="inlineStr">
        <is>
          <t>n/a — manual evaluation</t>
        </is>
      </c>
      <c r="G12" s="32" t="n"/>
      <c r="H12" s="32" t="inlineStr">
        <is>
          <t>Security engineer</t>
        </is>
      </c>
      <c r="I12" s="32" t="inlineStr">
        <is>
          <t>P1</t>
        </is>
      </c>
      <c r="J12" s="32" t="inlineStr">
        <is>
          <t>Critical</t>
        </is>
      </c>
      <c r="K12" s="32" t="inlineStr">
        <is>
          <t>Auto</t>
        </is>
      </c>
      <c r="L12" s="32" t="inlineStr">
        <is>
          <t>4h</t>
        </is>
      </c>
      <c r="M12" s="32" t="inlineStr">
        <is>
          <t>0%</t>
        </is>
      </c>
      <c r="N12" s="32" t="inlineStr">
        <is>
          <t>Not Yet Run</t>
        </is>
      </c>
      <c r="O12" s="32" t="n"/>
      <c r="P12" s="32" t="inlineStr">
        <is>
          <t>F. Security!row 19</t>
        </is>
      </c>
    </row>
    <row r="13">
      <c r="A13" s="32" t="n">
        <v>9</v>
      </c>
      <c r="B13" s="32" t="inlineStr">
        <is>
          <t>I-009</t>
        </is>
      </c>
      <c r="C13" s="32" t="inlineStr">
        <is>
          <t>I</t>
        </is>
      </c>
      <c r="D13" s="32" t="inlineStr">
        <is>
          <t>Build / CI</t>
        </is>
      </c>
      <c r="E13" s="32" t="inlineStr">
        <is>
          <t>tools/check_content_integrity.py runs in CI on every PR</t>
        </is>
      </c>
      <c r="F13" s="32" t="inlineStr">
        <is>
          <t>n/a — manual evaluation</t>
        </is>
      </c>
      <c r="G13" s="32" t="n"/>
      <c r="H13" s="32" t="inlineStr">
        <is>
          <t>Data engineer</t>
        </is>
      </c>
      <c r="I13" s="32" t="inlineStr">
        <is>
          <t>P1</t>
        </is>
      </c>
      <c r="J13" s="32" t="inlineStr">
        <is>
          <t>Critical</t>
        </is>
      </c>
      <c r="K13" s="32" t="inlineStr">
        <is>
          <t>Auto</t>
        </is>
      </c>
      <c r="L13" s="32" t="inlineStr">
        <is>
          <t>4h</t>
        </is>
      </c>
      <c r="M13" s="32" t="inlineStr">
        <is>
          <t>0%</t>
        </is>
      </c>
      <c r="N13" s="32" t="inlineStr">
        <is>
          <t>Not Yet Run</t>
        </is>
      </c>
      <c r="O13" s="32" t="n"/>
      <c r="P13" s="32" t="inlineStr">
        <is>
          <t>I. Data engineering!row 13</t>
        </is>
      </c>
    </row>
    <row r="14">
      <c r="A14" s="32" t="n">
        <v>10</v>
      </c>
      <c r="B14" s="32" t="inlineStr">
        <is>
          <t>K-008</t>
        </is>
      </c>
      <c r="C14" s="32" t="inlineStr">
        <is>
          <t>K</t>
        </is>
      </c>
      <c r="D14" s="32" t="inlineStr">
        <is>
          <t>Automation</t>
        </is>
      </c>
      <c r="E14" s="32" t="inlineStr">
        <is>
          <t>Smoke test on every deploy</t>
        </is>
      </c>
      <c r="F14" s="32" t="inlineStr">
        <is>
          <t>n/a — manual evaluation</t>
        </is>
      </c>
      <c r="G14" s="32" t="n"/>
      <c r="H14" s="32" t="inlineStr">
        <is>
          <t>QA tester</t>
        </is>
      </c>
      <c r="I14" s="32" t="inlineStr">
        <is>
          <t>P1</t>
        </is>
      </c>
      <c r="J14" s="32" t="inlineStr">
        <is>
          <t>Critical</t>
        </is>
      </c>
      <c r="K14" s="32" t="inlineStr">
        <is>
          <t>Auto</t>
        </is>
      </c>
      <c r="L14" s="32" t="inlineStr">
        <is>
          <t>1d</t>
        </is>
      </c>
      <c r="M14" s="32" t="inlineStr">
        <is>
          <t>0%</t>
        </is>
      </c>
      <c r="N14" s="32" t="inlineStr">
        <is>
          <t>Not Yet Run</t>
        </is>
      </c>
      <c r="O14" s="32" t="n"/>
      <c r="P14" s="32" t="inlineStr">
        <is>
          <t>K. QA testing!row 12</t>
        </is>
      </c>
    </row>
    <row r="15">
      <c r="A15" s="33" t="n">
        <v>11</v>
      </c>
      <c r="B15" s="33" t="inlineStr">
        <is>
          <t>A-014</t>
        </is>
      </c>
      <c r="C15" s="33" t="inlineStr">
        <is>
          <t>A</t>
        </is>
      </c>
      <c r="D15" s="33" t="inlineStr">
        <is>
          <t>Counters</t>
        </is>
      </c>
      <c r="E15" s="33" t="inlineStr">
        <is>
          <t>Counter rendaku correctness across all numeric+counter pairs</t>
        </is>
      </c>
      <c r="F15" s="33" t="inlineStr">
        <is>
          <t>n/a — manual evaluation</t>
        </is>
      </c>
      <c r="G15" s="33" t="n"/>
      <c r="H15" s="33" t="inlineStr">
        <is>
          <t>Native Japanese teacher</t>
        </is>
      </c>
      <c r="I15" s="33" t="inlineStr">
        <is>
          <t>P2</t>
        </is>
      </c>
      <c r="J15" s="33" t="inlineStr">
        <is>
          <t>Major</t>
        </is>
      </c>
      <c r="K15" s="33" t="inlineStr">
        <is>
          <t>Auto+Manual</t>
        </is>
      </c>
      <c r="L15" s="33" t="inlineStr">
        <is>
          <t>1d</t>
        </is>
      </c>
      <c r="M15" s="33" t="inlineStr">
        <is>
          <t>0%</t>
        </is>
      </c>
      <c r="N15" s="33" t="inlineStr">
        <is>
          <t>Not Yet Run</t>
        </is>
      </c>
      <c r="O15" s="33" t="n"/>
      <c r="P15" s="33" t="inlineStr">
        <is>
          <t>A. Japanese language!row 18</t>
        </is>
      </c>
    </row>
    <row r="16">
      <c r="A16" s="33" t="n">
        <v>12</v>
      </c>
      <c r="B16" s="33" t="inlineStr">
        <is>
          <t>A-028</t>
        </is>
      </c>
      <c r="C16" s="33" t="inlineStr">
        <is>
          <t>A</t>
        </is>
      </c>
      <c r="D16" s="33" t="inlineStr">
        <is>
          <t>Vocabulary scope</t>
        </is>
      </c>
      <c r="E16" s="33" t="inlineStr">
        <is>
          <t>N5-scope vocab vs out-of-scope (N4+) contamination</t>
        </is>
      </c>
      <c r="F16" s="33" t="inlineStr">
        <is>
          <t>n/a — manual evaluation</t>
        </is>
      </c>
      <c r="G16" s="33" t="inlineStr">
        <is>
          <t>JA-99</t>
        </is>
      </c>
      <c r="H16" s="33" t="inlineStr">
        <is>
          <t>Native Japanese teacher</t>
        </is>
      </c>
      <c r="I16" s="33" t="inlineStr">
        <is>
          <t>P2</t>
        </is>
      </c>
      <c r="J16" s="33" t="inlineStr">
        <is>
          <t>Major</t>
        </is>
      </c>
      <c r="K16" s="33" t="inlineStr">
        <is>
          <t>Auto+Manual</t>
        </is>
      </c>
      <c r="L16" s="33" t="inlineStr">
        <is>
          <t>1d</t>
        </is>
      </c>
      <c r="M16" s="33" t="inlineStr">
        <is>
          <t>0%</t>
        </is>
      </c>
      <c r="N16" s="33" t="inlineStr">
        <is>
          <t>Not Yet Run</t>
        </is>
      </c>
      <c r="O16" s="33" t="n"/>
      <c r="P16" s="33" t="inlineStr">
        <is>
          <t>A. Japanese language!row 32</t>
        </is>
      </c>
    </row>
    <row r="17" ht="29" customHeight="1" s="40">
      <c r="A17" s="33" t="n">
        <v>13</v>
      </c>
      <c r="B17" s="33" t="inlineStr">
        <is>
          <t>A-037</t>
        </is>
      </c>
      <c r="C17" s="33" t="inlineStr">
        <is>
          <t>A</t>
        </is>
      </c>
      <c r="D17" s="33" t="inlineStr">
        <is>
          <t>Register-variant schema</t>
        </is>
      </c>
      <c r="E17" s="33" t="inlineStr">
        <is>
          <t>common_mistakes entries marked `kind: "register_variant"` use form_a/form_b keys, not wrong/right</t>
        </is>
      </c>
      <c r="F17" s="33" t="inlineStr">
        <is>
          <t>tools/check_content_integrity.py (JA-64 + Phase-0 A57 in N5Improvement.txt)</t>
        </is>
      </c>
      <c r="G17" s="33" t="inlineStr">
        <is>
          <t>JA-64</t>
        </is>
      </c>
      <c r="H17" s="33" t="inlineStr">
        <is>
          <t>Data engineer</t>
        </is>
      </c>
      <c r="I17" s="33" t="inlineStr">
        <is>
          <t>P2</t>
        </is>
      </c>
      <c r="J17" s="33" t="inlineStr">
        <is>
          <t>Major</t>
        </is>
      </c>
      <c r="K17" s="33" t="inlineStr">
        <is>
          <t>Auto</t>
        </is>
      </c>
      <c r="L17" s="33" t="inlineStr">
        <is>
          <t>1h</t>
        </is>
      </c>
      <c r="M17" s="33" t="inlineStr">
        <is>
          <t>0%</t>
        </is>
      </c>
      <c r="N17" s="33" t="inlineStr">
        <is>
          <t>Not Yet Run</t>
        </is>
      </c>
      <c r="O17" s="33" t="n"/>
      <c r="P17" s="33" t="inlineStr">
        <is>
          <t>A. Japanese language!row 41</t>
        </is>
      </c>
    </row>
    <row r="18" ht="29" customHeight="1" s="40">
      <c r="A18" s="33" t="n">
        <v>14</v>
      </c>
      <c r="B18" s="33" t="inlineStr">
        <is>
          <t>A-038</t>
        </is>
      </c>
      <c r="C18" s="33" t="inlineStr">
        <is>
          <t>A</t>
        </is>
      </c>
      <c r="D18" s="33" t="inlineStr">
        <is>
          <t>Template-nonsense vocab examples</t>
        </is>
      </c>
      <c r="E18" s="33" t="inlineStr">
        <is>
          <t>No vocab example uses bare `&lt;form&gt;が あります/います` template (JA-96)</t>
        </is>
      </c>
      <c r="F18" s="33" t="inlineStr">
        <is>
          <t>tools/check_content_integrity.py (JA-96)</t>
        </is>
      </c>
      <c r="G18" s="33" t="inlineStr">
        <is>
          <t>JA-96</t>
        </is>
      </c>
      <c r="H18" s="33" t="inlineStr">
        <is>
          <t>Data engineer</t>
        </is>
      </c>
      <c r="I18" s="33" t="inlineStr">
        <is>
          <t>P2</t>
        </is>
      </c>
      <c r="J18" s="33" t="inlineStr">
        <is>
          <t>Major</t>
        </is>
      </c>
      <c r="K18" s="33" t="inlineStr">
        <is>
          <t>Auto</t>
        </is>
      </c>
      <c r="L18" s="33" t="inlineStr">
        <is>
          <t>1h</t>
        </is>
      </c>
      <c r="M18" s="33" t="inlineStr">
        <is>
          <t>0%</t>
        </is>
      </c>
      <c r="N18" s="33" t="inlineStr">
        <is>
          <t>Not Yet Run</t>
        </is>
      </c>
      <c r="O18" s="33" t="n"/>
      <c r="P18" s="33" t="inlineStr">
        <is>
          <t>A. Japanese language!row 42</t>
        </is>
      </c>
    </row>
    <row r="19" ht="29" customHeight="1" s="40">
      <c r="A19" s="33" t="n">
        <v>15</v>
      </c>
      <c r="B19" s="33" t="inlineStr">
        <is>
          <t>A-039</t>
        </is>
      </c>
      <c r="C19" s="33" t="inlineStr">
        <is>
          <t>A</t>
        </is>
      </c>
      <c r="D19" s="33" t="inlineStr">
        <is>
          <t>Verb transitivity coverage</t>
        </is>
      </c>
      <c r="E19" s="33" t="inlineStr">
        <is>
          <t>Every vocab verb (verb-1/verb-2/verb-3) has `transitivity` in {transitive, intransitive, contact} (JA-98)</t>
        </is>
      </c>
      <c r="F19" s="33" t="inlineStr">
        <is>
          <t>tools/check_content_integrity.py (JA-98) + manual JMdict cross-check</t>
        </is>
      </c>
      <c r="G19" s="33" t="inlineStr">
        <is>
          <t>JA-98</t>
        </is>
      </c>
      <c r="H19" s="33" t="inlineStr">
        <is>
          <t>Data engineer + native Japanese teacher</t>
        </is>
      </c>
      <c r="I19" s="33" t="inlineStr">
        <is>
          <t>P2</t>
        </is>
      </c>
      <c r="J19" s="33" t="inlineStr">
        <is>
          <t>Major</t>
        </is>
      </c>
      <c r="K19" s="33" t="inlineStr">
        <is>
          <t>Auto+Manual</t>
        </is>
      </c>
      <c r="L19" s="33" t="inlineStr">
        <is>
          <t>4h</t>
        </is>
      </c>
      <c r="M19" s="33" t="inlineStr">
        <is>
          <t>0%</t>
        </is>
      </c>
      <c r="N19" s="33" t="inlineStr">
        <is>
          <t>Not Yet Run</t>
        </is>
      </c>
      <c r="O19" s="33" t="n"/>
      <c r="P19" s="33" t="inlineStr">
        <is>
          <t>A. Japanese language!row 43</t>
        </is>
      </c>
    </row>
    <row r="20" ht="29" customHeight="1" s="40">
      <c r="A20" s="33" t="n">
        <v>16</v>
      </c>
      <c r="B20" s="33" t="inlineStr">
        <is>
          <t>A-040</t>
        </is>
      </c>
      <c r="C20" s="33" t="inlineStr">
        <is>
          <t>A</t>
        </is>
      </c>
      <c r="D20" s="33" t="inlineStr">
        <is>
          <t>Scope discipline</t>
        </is>
      </c>
      <c r="E20" s="33" t="inlineStr">
        <is>
          <t>All kanji in vocab.form fields are in N5 whitelist OR explicit exception list (JA-99)</t>
        </is>
      </c>
      <c r="F20" s="33" t="inlineStr">
        <is>
          <t>tools/check_content_integrity.py (JA-99)</t>
        </is>
      </c>
      <c r="G20" s="33" t="inlineStr">
        <is>
          <t>JA-99</t>
        </is>
      </c>
      <c r="H20" s="33" t="inlineStr">
        <is>
          <t>Data engineer</t>
        </is>
      </c>
      <c r="I20" s="33" t="inlineStr">
        <is>
          <t>P2</t>
        </is>
      </c>
      <c r="J20" s="33" t="inlineStr">
        <is>
          <t>Major</t>
        </is>
      </c>
      <c r="K20" s="33" t="inlineStr">
        <is>
          <t>Auto</t>
        </is>
      </c>
      <c r="L20" s="33" t="inlineStr">
        <is>
          <t>1h</t>
        </is>
      </c>
      <c r="M20" s="33" t="inlineStr">
        <is>
          <t>0%</t>
        </is>
      </c>
      <c r="N20" s="33" t="inlineStr">
        <is>
          <t>Not Yet Run</t>
        </is>
      </c>
      <c r="O20" s="33" t="n"/>
      <c r="P20" s="33" t="inlineStr">
        <is>
          <t>A. Japanese language!row 44</t>
        </is>
      </c>
    </row>
    <row r="21" ht="29" customHeight="1" s="40">
      <c r="A21" s="33" t="n">
        <v>17</v>
      </c>
      <c r="B21" s="33" t="inlineStr">
        <is>
          <t>I-017</t>
        </is>
      </c>
      <c r="C21" s="33" t="inlineStr">
        <is>
          <t>I</t>
        </is>
      </c>
      <c r="D21" s="33" t="inlineStr">
        <is>
          <t>Schema canonicalization</t>
        </is>
      </c>
      <c r="E21" s="33" t="inlineStr">
        <is>
          <t>vocab.json counter field is canonical (null OR {kanji, reading} dict); counter_register null (JA-97)</t>
        </is>
      </c>
      <c r="F21" s="33" t="inlineStr">
        <is>
          <t>tools/check_content_integrity.py (JA-97)</t>
        </is>
      </c>
      <c r="G21" s="33" t="inlineStr">
        <is>
          <t>JA-97</t>
        </is>
      </c>
      <c r="H21" s="33" t="inlineStr">
        <is>
          <t>Data engineer</t>
        </is>
      </c>
      <c r="I21" s="33" t="inlineStr">
        <is>
          <t>P2</t>
        </is>
      </c>
      <c r="J21" s="33" t="inlineStr">
        <is>
          <t>Major</t>
        </is>
      </c>
      <c r="K21" s="33" t="inlineStr">
        <is>
          <t>Auto</t>
        </is>
      </c>
      <c r="L21" s="33" t="inlineStr">
        <is>
          <t>1h</t>
        </is>
      </c>
      <c r="M21" s="33" t="inlineStr">
        <is>
          <t>0%</t>
        </is>
      </c>
      <c r="N21" s="33" t="inlineStr">
        <is>
          <t>Not Yet Run</t>
        </is>
      </c>
      <c r="O21" s="33" t="n"/>
      <c r="P21" s="33" t="inlineStr">
        <is>
          <t>I. Data engineering!row 18</t>
        </is>
      </c>
    </row>
    <row r="22" ht="43.5" customHeight="1" s="40">
      <c r="A22" s="33" t="n">
        <v>18</v>
      </c>
      <c r="B22" s="33" t="inlineStr">
        <is>
          <t>I-018</t>
        </is>
      </c>
      <c r="C22" s="33" t="inlineStr">
        <is>
          <t>I</t>
        </is>
      </c>
      <c r="D22" s="33" t="inlineStr">
        <is>
          <t>Provenance disambiguation</t>
        </is>
      </c>
      <c r="E22" s="33" t="inlineStr">
        <is>
          <t>review_status from closed enum {ai_quality_reviewed, llm_curated, auto_generated, human_native_reviewed}; provenance field present (JA-35)</t>
        </is>
      </c>
      <c r="F22" s="33" t="inlineStr">
        <is>
          <t>tools/check_content_integrity.py (JA-35) + Phase-0 A58 (retired-value scan)</t>
        </is>
      </c>
      <c r="G22" s="33" t="inlineStr">
        <is>
          <t>JA-35</t>
        </is>
      </c>
      <c r="H22" s="33" t="inlineStr">
        <is>
          <t>Data engineer</t>
        </is>
      </c>
      <c r="I22" s="33" t="inlineStr">
        <is>
          <t>P2</t>
        </is>
      </c>
      <c r="J22" s="33" t="inlineStr">
        <is>
          <t>Major</t>
        </is>
      </c>
      <c r="K22" s="33" t="inlineStr">
        <is>
          <t>Auto</t>
        </is>
      </c>
      <c r="L22" s="33" t="inlineStr">
        <is>
          <t>1h</t>
        </is>
      </c>
      <c r="M22" s="33" t="inlineStr">
        <is>
          <t>0%</t>
        </is>
      </c>
      <c r="N22" s="33" t="inlineStr">
        <is>
          <t>Not Yet Run</t>
        </is>
      </c>
      <c r="O22" s="33" t="n"/>
      <c r="P22" s="33" t="inlineStr">
        <is>
          <t>I. Data engineering!row 19</t>
        </is>
      </c>
    </row>
    <row r="23" ht="29" customHeight="1" s="40">
      <c r="A23" s="33" t="n">
        <v>19</v>
      </c>
      <c r="B23" s="33" t="inlineStr">
        <is>
          <t>I-020</t>
        </is>
      </c>
      <c r="C23" s="33" t="inlineStr">
        <is>
          <t>I</t>
        </is>
      </c>
      <c r="D23" s="33" t="inlineStr">
        <is>
          <t>Cross-file integrity</t>
        </is>
      </c>
      <c r="E23" s="33" t="inlineStr">
        <is>
          <t>kanji.json compound/example.form == linked vocab.form (strict; JA-100)</t>
        </is>
      </c>
      <c r="F23" s="33" t="inlineStr">
        <is>
          <t>tools/check_content_integrity.py (JA-100)</t>
        </is>
      </c>
      <c r="G23" s="33" t="inlineStr">
        <is>
          <t>JA-100</t>
        </is>
      </c>
      <c r="H23" s="33" t="inlineStr">
        <is>
          <t>Data engineer</t>
        </is>
      </c>
      <c r="I23" s="33" t="inlineStr">
        <is>
          <t>P2</t>
        </is>
      </c>
      <c r="J23" s="33" t="inlineStr">
        <is>
          <t>Major</t>
        </is>
      </c>
      <c r="K23" s="33" t="inlineStr">
        <is>
          <t>Auto</t>
        </is>
      </c>
      <c r="L23" s="33" t="inlineStr">
        <is>
          <t>1h</t>
        </is>
      </c>
      <c r="M23" s="33" t="inlineStr">
        <is>
          <t>0%</t>
        </is>
      </c>
      <c r="N23" s="33" t="inlineStr">
        <is>
          <t>Not Yet Run</t>
        </is>
      </c>
      <c r="O23" s="33" t="n"/>
      <c r="P23" s="33" t="inlineStr">
        <is>
          <t>I. Data engineering!row 21</t>
        </is>
      </c>
    </row>
    <row r="24" ht="29" customHeight="1" s="40">
      <c r="A24" s="33" t="n">
        <v>20</v>
      </c>
      <c r="B24" s="33" t="inlineStr">
        <is>
          <t>K-016</t>
        </is>
      </c>
      <c r="C24" s="33" t="inlineStr">
        <is>
          <t>K</t>
        </is>
      </c>
      <c r="D24" s="33" t="inlineStr">
        <is>
          <t>Cross-artifact sync</t>
        </is>
      </c>
      <c r="E24" s="33" t="inlineStr">
        <is>
          <t>Version.json count drift detection (INV-4 / JA-107)</t>
        </is>
      </c>
      <c r="F24" s="33" t="inlineStr">
        <is>
          <t>tools/check_content_integrity.py, tools/cross_artifact_sync_report.py</t>
        </is>
      </c>
      <c r="G24" s="33" t="inlineStr">
        <is>
          <t>JA-107</t>
        </is>
      </c>
      <c r="H24" s="33" t="inlineStr">
        <is>
          <t>QA / build engineer</t>
        </is>
      </c>
      <c r="I24" s="33" t="inlineStr">
        <is>
          <t>P2</t>
        </is>
      </c>
      <c r="J24" s="33" t="inlineStr">
        <is>
          <t>Major</t>
        </is>
      </c>
      <c r="K24" s="33" t="inlineStr">
        <is>
          <t>Auto</t>
        </is>
      </c>
      <c r="L24" s="33" t="inlineStr">
        <is>
          <t>1h</t>
        </is>
      </c>
      <c r="M24" s="33" t="inlineStr">
        <is>
          <t>100%</t>
        </is>
      </c>
      <c r="N24" s="33" t="inlineStr">
        <is>
          <t>PASS</t>
        </is>
      </c>
      <c r="O24" s="33" t="inlineStr">
        <is>
          <t>2026-05-17</t>
        </is>
      </c>
      <c r="P24" s="33" t="inlineStr">
        <is>
          <t>K. QA testing!row 20</t>
        </is>
      </c>
    </row>
    <row r="25" ht="29" customHeight="1" s="40">
      <c r="A25" s="33" t="n">
        <v>21</v>
      </c>
      <c r="B25" s="33" t="inlineStr">
        <is>
          <t>K-017</t>
        </is>
      </c>
      <c r="C25" s="33" t="inlineStr">
        <is>
          <t>K</t>
        </is>
      </c>
      <c r="D25" s="33" t="inlineStr">
        <is>
          <t>Cross-artifact sync</t>
        </is>
      </c>
      <c r="E25" s="33" t="inlineStr">
        <is>
          <t>Locale-parity drift detection (INV-5 / JA-108)</t>
        </is>
      </c>
      <c r="F25" s="33" t="inlineStr">
        <is>
          <t>tools/check_content_integrity.py, tools/cross_artifact_sync_report.py</t>
        </is>
      </c>
      <c r="G25" s="33" t="inlineStr">
        <is>
          <t>JA-108</t>
        </is>
      </c>
      <c r="H25" s="33" t="inlineStr">
        <is>
          <t>QA / locale maintainer</t>
        </is>
      </c>
      <c r="I25" s="33" t="inlineStr">
        <is>
          <t>P2</t>
        </is>
      </c>
      <c r="J25" s="33" t="inlineStr">
        <is>
          <t>Major</t>
        </is>
      </c>
      <c r="K25" s="33" t="inlineStr">
        <is>
          <t>Auto</t>
        </is>
      </c>
      <c r="L25" s="33" t="inlineStr">
        <is>
          <t>1h</t>
        </is>
      </c>
      <c r="M25" s="33" t="inlineStr">
        <is>
          <t>100%</t>
        </is>
      </c>
      <c r="N25" s="33" t="inlineStr">
        <is>
          <t>PASS</t>
        </is>
      </c>
      <c r="O25" s="33" t="inlineStr">
        <is>
          <t>2026-05-17</t>
        </is>
      </c>
      <c r="P25" s="33" t="inlineStr">
        <is>
          <t>K. QA testing!row 21</t>
        </is>
      </c>
    </row>
    <row r="26">
      <c r="A26" s="34" t="n">
        <v>22</v>
      </c>
      <c r="B26" s="34" t="inlineStr">
        <is>
          <t>A-018</t>
        </is>
      </c>
      <c r="C26" s="34" t="inlineStr">
        <is>
          <t>A</t>
        </is>
      </c>
      <c r="D26" s="34" t="inlineStr">
        <is>
          <t>Kanji</t>
        </is>
      </c>
      <c r="E26" s="34" t="inlineStr">
        <is>
          <t>Stroke-count vs stroke-order data accuracy</t>
        </is>
      </c>
      <c r="F26" s="34" t="inlineStr">
        <is>
          <t>n/a — manual evaluation</t>
        </is>
      </c>
      <c r="G26" s="34" t="n"/>
      <c r="H26" s="34" t="inlineStr">
        <is>
          <t>Native Japanese teacher</t>
        </is>
      </c>
      <c r="I26" s="34" t="inlineStr">
        <is>
          <t>P3</t>
        </is>
      </c>
      <c r="J26" s="34" t="inlineStr">
        <is>
          <t>Major</t>
        </is>
      </c>
      <c r="K26" s="34" t="inlineStr">
        <is>
          <t>Auto</t>
        </is>
      </c>
      <c r="L26" s="34" t="inlineStr">
        <is>
          <t>1h</t>
        </is>
      </c>
      <c r="M26" s="34" t="inlineStr">
        <is>
          <t>0%</t>
        </is>
      </c>
      <c r="N26" s="34" t="inlineStr">
        <is>
          <t>Not Yet Run</t>
        </is>
      </c>
      <c r="O26" s="34" t="n"/>
      <c r="P26" s="34" t="inlineStr">
        <is>
          <t>A. Japanese language!row 22</t>
        </is>
      </c>
    </row>
    <row r="27" ht="29" customHeight="1" s="40">
      <c r="A27" s="34" t="n">
        <v>23</v>
      </c>
      <c r="B27" s="34" t="inlineStr">
        <is>
          <t>A-032</t>
        </is>
      </c>
      <c r="C27" s="34" t="inlineStr">
        <is>
          <t>A</t>
        </is>
      </c>
      <c r="D27" s="34" t="inlineStr">
        <is>
          <t>Cross-pattern contamination</t>
        </is>
      </c>
      <c r="E27" s="34" t="inlineStr">
        <is>
          <t>Cross-pattern explanation_en uniqueness (Levenshtein) — catches BUG-003-class contamination</t>
        </is>
      </c>
      <c r="F27" s="34" t="inlineStr">
        <is>
          <t>Custom Python (Levenshtein cross-similarity scan)</t>
        </is>
      </c>
      <c r="G27" s="34" t="inlineStr">
        <is>
          <t>JA-91</t>
        </is>
      </c>
      <c r="H27" s="34" t="inlineStr">
        <is>
          <t>Native Japanese teacher + SLA pedagogy researcher</t>
        </is>
      </c>
      <c r="I27" s="34" t="inlineStr">
        <is>
          <t>P3</t>
        </is>
      </c>
      <c r="J27" s="34" t="inlineStr">
        <is>
          <t>Major</t>
        </is>
      </c>
      <c r="K27" s="34" t="inlineStr">
        <is>
          <t>Auto+Manual</t>
        </is>
      </c>
      <c r="L27" s="34" t="inlineStr">
        <is>
          <t>4h</t>
        </is>
      </c>
      <c r="M27" s="34" t="inlineStr">
        <is>
          <t>0%</t>
        </is>
      </c>
      <c r="N27" s="34" t="inlineStr">
        <is>
          <t>Not Yet Run</t>
        </is>
      </c>
      <c r="O27" s="34" t="n"/>
      <c r="P27" s="34" t="inlineStr">
        <is>
          <t>A. Japanese language!row 36</t>
        </is>
      </c>
    </row>
    <row r="28" ht="29" customHeight="1" s="40">
      <c r="A28" s="34" t="n">
        <v>24</v>
      </c>
      <c r="B28" s="34" t="inlineStr">
        <is>
          <t>A-033</t>
        </is>
      </c>
      <c r="C28" s="34" t="inlineStr">
        <is>
          <t>A</t>
        </is>
      </c>
      <c r="D28" s="34" t="inlineStr">
        <is>
          <t>Cross-pattern contamination</t>
        </is>
      </c>
      <c r="E28" s="34" t="inlineStr">
        <is>
          <t>Per-example JA-EN content-word overlap — catches BUG-005-class translation_en stuck on one string</t>
        </is>
      </c>
      <c r="F28" s="34" t="inlineStr">
        <is>
          <t>Custom Python (content-word overlap heuristic) + LLM-judge pass</t>
        </is>
      </c>
      <c r="G28" s="34" t="inlineStr">
        <is>
          <t>JA-92</t>
        </is>
      </c>
      <c r="H28" s="34" t="inlineStr">
        <is>
          <t>Native Japanese teacher + LLM judge</t>
        </is>
      </c>
      <c r="I28" s="34" t="inlineStr">
        <is>
          <t>P3</t>
        </is>
      </c>
      <c r="J28" s="34" t="inlineStr">
        <is>
          <t>Major</t>
        </is>
      </c>
      <c r="K28" s="34" t="inlineStr">
        <is>
          <t>Auto+Manual</t>
        </is>
      </c>
      <c r="L28" s="34" t="inlineStr">
        <is>
          <t>1d</t>
        </is>
      </c>
      <c r="M28" s="34" t="inlineStr">
        <is>
          <t>0%</t>
        </is>
      </c>
      <c r="N28" s="34" t="inlineStr">
        <is>
          <t>Not Yet Run</t>
        </is>
      </c>
      <c r="O28" s="34" t="n"/>
      <c r="P28" s="34" t="inlineStr">
        <is>
          <t>A. Japanese language!row 37</t>
        </is>
      </c>
    </row>
    <row r="29" ht="43.5" customHeight="1" s="40">
      <c r="A29" s="34" t="n">
        <v>25</v>
      </c>
      <c r="B29" s="34" t="inlineStr">
        <is>
          <t>A-034</t>
        </is>
      </c>
      <c r="C29" s="34" t="inlineStr">
        <is>
          <t>A</t>
        </is>
      </c>
      <c r="D29" s="34" t="inlineStr">
        <is>
          <t>Pattern-instance contamination</t>
        </is>
      </c>
      <c r="E29" s="34" t="inlineStr">
        <is>
          <t>Every grammar example contains ≥1 pattern-defining surface marker (planned JA-94)</t>
        </is>
      </c>
      <c r="F29" s="34" t="inlineStr">
        <is>
          <t>Custom Python (`data/pattern_markers.json` + regex scan)</t>
        </is>
      </c>
      <c r="G29" s="34" t="inlineStr">
        <is>
          <t>JA-94</t>
        </is>
      </c>
      <c r="H29" s="34" t="inlineStr">
        <is>
          <t>Data engineer + native Japanese teacher (for marker authoring)</t>
        </is>
      </c>
      <c r="I29" s="34" t="inlineStr">
        <is>
          <t>P3</t>
        </is>
      </c>
      <c r="J29" s="34" t="inlineStr">
        <is>
          <t>Major</t>
        </is>
      </c>
      <c r="K29" s="34" t="inlineStr">
        <is>
          <t>Auto</t>
        </is>
      </c>
      <c r="L29" s="34" t="inlineStr">
        <is>
          <t>1d</t>
        </is>
      </c>
      <c r="M29" s="34" t="inlineStr">
        <is>
          <t>0%</t>
        </is>
      </c>
      <c r="N29" s="34" t="inlineStr">
        <is>
          <t>Not Yet Run</t>
        </is>
      </c>
      <c r="O29" s="34" t="n"/>
      <c r="P29" s="34" t="inlineStr">
        <is>
          <t>A. Japanese language!row 38</t>
        </is>
      </c>
    </row>
    <row r="30" ht="43.5" customHeight="1" s="40">
      <c r="A30" s="34" t="n">
        <v>26</v>
      </c>
      <c r="B30" s="34" t="inlineStr">
        <is>
          <t>A-035</t>
        </is>
      </c>
      <c r="C30" s="34" t="inlineStr">
        <is>
          <t>A</t>
        </is>
      </c>
      <c r="D30" s="34" t="inlineStr">
        <is>
          <t>Folk-linguistic terminology</t>
        </is>
      </c>
      <c r="E30" s="34" t="inlineStr">
        <is>
          <t>common_mistakes WHY rationales use canonical grammar terminology (Genki / Tobira / A Dictionary of Basic Japanese Grammar) — not folk shortcuts</t>
        </is>
      </c>
      <c r="F30" s="34" t="inlineStr">
        <is>
          <t>Custom Python (regex scan) + manual review</t>
        </is>
      </c>
      <c r="G30" s="34" t="n"/>
      <c r="H30" s="34" t="inlineStr">
        <is>
          <t>Native Japanese teacher</t>
        </is>
      </c>
      <c r="I30" s="34" t="inlineStr">
        <is>
          <t>P3</t>
        </is>
      </c>
      <c r="J30" s="34" t="inlineStr">
        <is>
          <t>Major</t>
        </is>
      </c>
      <c r="K30" s="34" t="inlineStr">
        <is>
          <t>Auto+Manual</t>
        </is>
      </c>
      <c r="L30" s="34" t="inlineStr">
        <is>
          <t>4h</t>
        </is>
      </c>
      <c r="M30" s="34" t="inlineStr">
        <is>
          <t>0%</t>
        </is>
      </c>
      <c r="N30" s="34" t="inlineStr">
        <is>
          <t>Not Yet Run</t>
        </is>
      </c>
      <c r="O30" s="34" t="n"/>
      <c r="P30" s="34" t="inlineStr">
        <is>
          <t>A. Japanese language!row 39</t>
        </is>
      </c>
    </row>
    <row r="31" ht="29" customHeight="1" s="40">
      <c r="A31" s="34" t="n">
        <v>27</v>
      </c>
      <c r="B31" s="34" t="inlineStr">
        <is>
          <t>A-036</t>
        </is>
      </c>
      <c r="C31" s="34" t="inlineStr">
        <is>
          <t>A</t>
        </is>
      </c>
      <c r="D31" s="34" t="inlineStr">
        <is>
          <t>Particle-pattern alignment</t>
        </is>
      </c>
      <c r="E31" s="34" t="inlineStr">
        <is>
          <t>Particle-introducing patterns: every example JA contains the canonical particle (planned JA-95)</t>
        </is>
      </c>
      <c r="F31" s="34" t="inlineStr">
        <is>
          <t>Custom Python (per-pattern particle-presence assertion)</t>
        </is>
      </c>
      <c r="G31" s="34" t="inlineStr">
        <is>
          <t>JA-95</t>
        </is>
      </c>
      <c r="H31" s="34" t="inlineStr">
        <is>
          <t>Data engineer + native Japanese teacher</t>
        </is>
      </c>
      <c r="I31" s="34" t="inlineStr">
        <is>
          <t>P3</t>
        </is>
      </c>
      <c r="J31" s="34" t="inlineStr">
        <is>
          <t>Major</t>
        </is>
      </c>
      <c r="K31" s="34" t="inlineStr">
        <is>
          <t>Auto</t>
        </is>
      </c>
      <c r="L31" s="34" t="inlineStr">
        <is>
          <t>4h</t>
        </is>
      </c>
      <c r="M31" s="34" t="inlineStr">
        <is>
          <t>0%</t>
        </is>
      </c>
      <c r="N31" s="34" t="inlineStr">
        <is>
          <t>Not Yet Run</t>
        </is>
      </c>
      <c r="O31" s="34" t="n"/>
      <c r="P31" s="34" t="inlineStr">
        <is>
          <t>A. Japanese language!row 40</t>
        </is>
      </c>
    </row>
    <row r="32" ht="29" customHeight="1" s="40">
      <c r="A32" s="34" t="n">
        <v>28</v>
      </c>
      <c r="B32" s="34" t="inlineStr">
        <is>
          <t>A-041</t>
        </is>
      </c>
      <c r="C32" s="34" t="inlineStr">
        <is>
          <t>A</t>
        </is>
      </c>
      <c r="D32" s="34" t="inlineStr">
        <is>
          <t>primary_reading correctness</t>
        </is>
      </c>
      <c r="E32" s="34" t="inlineStr">
        <is>
          <t>Standalone-kun primary_reading lock for 6 kanji (人/中/外/東/車/国) — kun-yomi at standalone use (JA-102)</t>
        </is>
      </c>
      <c r="F32" s="34" t="inlineStr">
        <is>
          <t>tools/check_content_integrity.py (JA-102)</t>
        </is>
      </c>
      <c r="G32" s="34" t="inlineStr">
        <is>
          <t>JA-102</t>
        </is>
      </c>
      <c r="H32" s="34" t="inlineStr">
        <is>
          <t>Data engineer</t>
        </is>
      </c>
      <c r="I32" s="34" t="inlineStr">
        <is>
          <t>P3</t>
        </is>
      </c>
      <c r="J32" s="34" t="inlineStr">
        <is>
          <t>Major</t>
        </is>
      </c>
      <c r="K32" s="34" t="inlineStr">
        <is>
          <t>Auto</t>
        </is>
      </c>
      <c r="L32" s="34" t="inlineStr">
        <is>
          <t>1h</t>
        </is>
      </c>
      <c r="M32" s="34" t="inlineStr">
        <is>
          <t>0%</t>
        </is>
      </c>
      <c r="N32" s="34" t="inlineStr">
        <is>
          <t>Not Yet Run</t>
        </is>
      </c>
      <c r="O32" s="34" t="n"/>
      <c r="P32" s="34" t="inlineStr">
        <is>
          <t>A. Japanese language!row 45</t>
        </is>
      </c>
    </row>
    <row r="33" ht="29" customHeight="1" s="40">
      <c r="A33" s="34" t="n">
        <v>29</v>
      </c>
      <c r="B33" s="34" t="inlineStr">
        <is>
          <t>B-006</t>
        </is>
      </c>
      <c r="C33" s="34" t="inlineStr">
        <is>
          <t>B</t>
        </is>
      </c>
      <c r="D33" s="34" t="inlineStr">
        <is>
          <t>Difficulty calibration</t>
        </is>
      </c>
      <c r="E33" s="34" t="inlineStr">
        <is>
          <t>Vocab-frequency against N5 official word-list</t>
        </is>
      </c>
      <c r="F33" s="34" t="inlineStr">
        <is>
          <t>n/a — manual evaluation</t>
        </is>
      </c>
      <c r="G33" s="34" t="n"/>
      <c r="H33" s="34" t="inlineStr">
        <is>
          <t>JLPT exam expert (JEES-aligned)</t>
        </is>
      </c>
      <c r="I33" s="34" t="inlineStr">
        <is>
          <t>P3</t>
        </is>
      </c>
      <c r="J33" s="34" t="inlineStr">
        <is>
          <t>Major</t>
        </is>
      </c>
      <c r="K33" s="34" t="inlineStr">
        <is>
          <t>Auto</t>
        </is>
      </c>
      <c r="L33" s="34" t="inlineStr">
        <is>
          <t>4h</t>
        </is>
      </c>
      <c r="M33" s="34" t="inlineStr">
        <is>
          <t>0%</t>
        </is>
      </c>
      <c r="N33" s="34" t="inlineStr">
        <is>
          <t>Not Yet Run</t>
        </is>
      </c>
      <c r="O33" s="34" t="n"/>
      <c r="P33" s="34" t="inlineStr">
        <is>
          <t>B. JLPT format!row 10</t>
        </is>
      </c>
    </row>
    <row r="34" ht="29" customHeight="1" s="40">
      <c r="A34" s="34" t="n">
        <v>30</v>
      </c>
      <c r="B34" s="34" t="inlineStr">
        <is>
          <t>B-008</t>
        </is>
      </c>
      <c r="C34" s="34" t="inlineStr">
        <is>
          <t>B</t>
        </is>
      </c>
      <c r="D34" s="34" t="inlineStr">
        <is>
          <t>Difficulty calibration</t>
        </is>
      </c>
      <c r="E34" s="34" t="inlineStr">
        <is>
          <t>Reading-passage length distribution vs real N5 dokkai</t>
        </is>
      </c>
      <c r="F34" s="34" t="inlineStr">
        <is>
          <t>n/a — manual evaluation</t>
        </is>
      </c>
      <c r="G34" s="34" t="n"/>
      <c r="H34" s="34" t="inlineStr">
        <is>
          <t>JLPT exam expert (JEES-aligned)</t>
        </is>
      </c>
      <c r="I34" s="34" t="inlineStr">
        <is>
          <t>P3</t>
        </is>
      </c>
      <c r="J34" s="34" t="inlineStr">
        <is>
          <t>Major</t>
        </is>
      </c>
      <c r="K34" s="34" t="inlineStr">
        <is>
          <t>Auto</t>
        </is>
      </c>
      <c r="L34" s="34" t="inlineStr">
        <is>
          <t>4h</t>
        </is>
      </c>
      <c r="M34" s="34" t="inlineStr">
        <is>
          <t>0%</t>
        </is>
      </c>
      <c r="N34" s="34" t="inlineStr">
        <is>
          <t>Not Yet Run</t>
        </is>
      </c>
      <c r="O34" s="34" t="n"/>
      <c r="P34" s="34" t="inlineStr">
        <is>
          <t>B. JLPT format!row 12</t>
        </is>
      </c>
    </row>
    <row r="35" ht="29" customHeight="1" s="40">
      <c r="A35" s="34" t="n">
        <v>31</v>
      </c>
      <c r="B35" s="34" t="inlineStr">
        <is>
          <t>B-009</t>
        </is>
      </c>
      <c r="C35" s="34" t="inlineStr">
        <is>
          <t>B</t>
        </is>
      </c>
      <c r="D35" s="34" t="inlineStr">
        <is>
          <t>Difficulty calibration</t>
        </is>
      </c>
      <c r="E35" s="34" t="inlineStr">
        <is>
          <t>Listening-script length + speaker-count distribution</t>
        </is>
      </c>
      <c r="F35" s="34" t="inlineStr">
        <is>
          <t>n/a — manual evaluation</t>
        </is>
      </c>
      <c r="G35" s="34" t="n"/>
      <c r="H35" s="34" t="inlineStr">
        <is>
          <t>JLPT exam expert (JEES-aligned)</t>
        </is>
      </c>
      <c r="I35" s="34" t="inlineStr">
        <is>
          <t>P3</t>
        </is>
      </c>
      <c r="J35" s="34" t="inlineStr">
        <is>
          <t>Major</t>
        </is>
      </c>
      <c r="K35" s="34" t="inlineStr">
        <is>
          <t>Auto</t>
        </is>
      </c>
      <c r="L35" s="34" t="inlineStr">
        <is>
          <t>4h</t>
        </is>
      </c>
      <c r="M35" s="34" t="inlineStr">
        <is>
          <t>0%</t>
        </is>
      </c>
      <c r="N35" s="34" t="inlineStr">
        <is>
          <t>Not Yet Run</t>
        </is>
      </c>
      <c r="O35" s="34" t="n"/>
      <c r="P35" s="34" t="inlineStr">
        <is>
          <t>B. JLPT format!row 13</t>
        </is>
      </c>
    </row>
    <row r="36" ht="29" customHeight="1" s="40">
      <c r="A36" s="34" t="n">
        <v>32</v>
      </c>
      <c r="B36" s="34" t="inlineStr">
        <is>
          <t>B-018</t>
        </is>
      </c>
      <c r="C36" s="34" t="inlineStr">
        <is>
          <t>B</t>
        </is>
      </c>
      <c r="D36" s="34" t="inlineStr">
        <is>
          <t>Stem punctuation</t>
        </is>
      </c>
      <c r="E36" s="34" t="inlineStr">
        <is>
          <t>Stem-sentence punctuation: every fill-in-the-blank stem ends with 。 or ？; blanks rendered with ＿＿＿ not ____ (full-width)</t>
        </is>
      </c>
      <c r="F36" s="34" t="inlineStr">
        <is>
          <t>Custom Python (regex scan of stem texts)</t>
        </is>
      </c>
      <c r="G36" s="34" t="n"/>
      <c r="H36" s="34" t="inlineStr">
        <is>
          <t>JLPT exam expert (JEES-aligned)</t>
        </is>
      </c>
      <c r="I36" s="34" t="inlineStr">
        <is>
          <t>P3</t>
        </is>
      </c>
      <c r="J36" s="34" t="inlineStr">
        <is>
          <t>Major</t>
        </is>
      </c>
      <c r="K36" s="34" t="inlineStr">
        <is>
          <t>Auto</t>
        </is>
      </c>
      <c r="L36" s="34" t="inlineStr">
        <is>
          <t>1h</t>
        </is>
      </c>
      <c r="M36" s="34" t="inlineStr">
        <is>
          <t>0%</t>
        </is>
      </c>
      <c r="N36" s="34" t="inlineStr">
        <is>
          <t>Not Yet Run</t>
        </is>
      </c>
      <c r="O36" s="34" t="n"/>
      <c r="P36" s="34" t="inlineStr">
        <is>
          <t>B. JLPT format!row 22</t>
        </is>
      </c>
    </row>
    <row r="37">
      <c r="A37" s="34" t="n">
        <v>33</v>
      </c>
      <c r="B37" s="34" t="inlineStr">
        <is>
          <t>C-004</t>
        </is>
      </c>
      <c r="C37" s="34" t="inlineStr">
        <is>
          <t>C</t>
        </is>
      </c>
      <c r="D37" s="34" t="inlineStr">
        <is>
          <t>Terminology</t>
        </is>
      </c>
      <c r="E37" s="34" t="inlineStr">
        <is>
          <t>Linguistic-term consistency: subject (कर्ता / विषय / subject)</t>
        </is>
      </c>
      <c r="F37" s="34" t="inlineStr">
        <is>
          <t>n/a — manual evaluation</t>
        </is>
      </c>
      <c r="G37" s="34" t="n"/>
      <c r="H37" s="34" t="inlineStr">
        <is>
          <t>Native Hindi teacher</t>
        </is>
      </c>
      <c r="I37" s="34" t="inlineStr">
        <is>
          <t>P3</t>
        </is>
      </c>
      <c r="J37" s="34" t="inlineStr">
        <is>
          <t>Major</t>
        </is>
      </c>
      <c r="K37" s="34" t="inlineStr">
        <is>
          <t>Auto+Manual</t>
        </is>
      </c>
      <c r="L37" s="34" t="inlineStr">
        <is>
          <t>1d</t>
        </is>
      </c>
      <c r="M37" s="34" t="inlineStr">
        <is>
          <t>0%</t>
        </is>
      </c>
      <c r="N37" s="34" t="inlineStr">
        <is>
          <t>Not Yet Run</t>
        </is>
      </c>
      <c r="O37" s="34" t="n"/>
      <c r="P37" s="34" t="inlineStr">
        <is>
          <t>C. Hindi locale!row 8</t>
        </is>
      </c>
    </row>
    <row r="38" ht="29" customHeight="1" s="40">
      <c r="A38" s="34" t="n">
        <v>34</v>
      </c>
      <c r="B38" s="34" t="inlineStr">
        <is>
          <t>D-004</t>
        </is>
      </c>
      <c r="C38" s="34" t="inlineStr">
        <is>
          <t>D</t>
        </is>
      </c>
      <c r="D38" s="34" t="inlineStr">
        <is>
          <t>Color palette</t>
        </is>
      </c>
      <c r="E38" s="34" t="inlineStr">
        <is>
          <t>Primary color (PRIMARY_DARK = #14452a) contrast against white background</t>
        </is>
      </c>
      <c r="F38" s="34" t="inlineStr">
        <is>
          <t>n/a — manual evaluation</t>
        </is>
      </c>
      <c r="G38" s="34" t="n"/>
      <c r="H38" s="34" t="inlineStr">
        <is>
          <t>UI/UX designer</t>
        </is>
      </c>
      <c r="I38" s="34" t="inlineStr">
        <is>
          <t>P3</t>
        </is>
      </c>
      <c r="J38" s="34" t="inlineStr">
        <is>
          <t>Major</t>
        </is>
      </c>
      <c r="K38" s="34" t="inlineStr">
        <is>
          <t>Auto</t>
        </is>
      </c>
      <c r="L38" s="34" t="inlineStr">
        <is>
          <t>1h</t>
        </is>
      </c>
      <c r="M38" s="34" t="inlineStr">
        <is>
          <t>0%</t>
        </is>
      </c>
      <c r="N38" s="34" t="inlineStr">
        <is>
          <t>Not Yet Run</t>
        </is>
      </c>
      <c r="O38" s="34" t="n"/>
      <c r="P38" s="34" t="inlineStr">
        <is>
          <t>D. UX design!row 8</t>
        </is>
      </c>
    </row>
    <row r="39">
      <c r="A39" s="34" t="n">
        <v>35</v>
      </c>
      <c r="B39" s="34" t="inlineStr">
        <is>
          <t>E-001</t>
        </is>
      </c>
      <c r="C39" s="34" t="inlineStr">
        <is>
          <t>E</t>
        </is>
      </c>
      <c r="D39" s="34" t="inlineStr">
        <is>
          <t>WCAG-AA</t>
        </is>
      </c>
      <c r="E39" s="34" t="inlineStr">
        <is>
          <t>Color-contrast ratio across all text-on-background combinations</t>
        </is>
      </c>
      <c r="F39" s="34" t="inlineStr">
        <is>
          <t>n/a — manual evaluation</t>
        </is>
      </c>
      <c r="G39" s="34" t="n"/>
      <c r="H39" s="34" t="inlineStr">
        <is>
          <t>WCAG-AA auditor</t>
        </is>
      </c>
      <c r="I39" s="34" t="inlineStr">
        <is>
          <t>P3</t>
        </is>
      </c>
      <c r="J39" s="34" t="inlineStr">
        <is>
          <t>Major</t>
        </is>
      </c>
      <c r="K39" s="34" t="inlineStr">
        <is>
          <t>Auto</t>
        </is>
      </c>
      <c r="L39" s="34" t="inlineStr">
        <is>
          <t>1h</t>
        </is>
      </c>
      <c r="M39" s="34" t="inlineStr">
        <is>
          <t>0%</t>
        </is>
      </c>
      <c r="N39" s="34" t="inlineStr">
        <is>
          <t>Not Yet Run</t>
        </is>
      </c>
      <c r="O39" s="34" t="n"/>
      <c r="P39" s="34" t="inlineStr">
        <is>
          <t>E. Accessibility!row 5</t>
        </is>
      </c>
    </row>
    <row r="40">
      <c r="A40" s="34" t="n">
        <v>36</v>
      </c>
      <c r="B40" s="34" t="inlineStr">
        <is>
          <t>E-002</t>
        </is>
      </c>
      <c r="C40" s="34" t="inlineStr">
        <is>
          <t>E</t>
        </is>
      </c>
      <c r="D40" s="34" t="inlineStr">
        <is>
          <t>WCAG-AA</t>
        </is>
      </c>
      <c r="E40" s="34" t="inlineStr">
        <is>
          <t>Semantic HTML: proper heading hierarchy + landmarks</t>
        </is>
      </c>
      <c r="F40" s="34" t="inlineStr">
        <is>
          <t>n/a — manual evaluation</t>
        </is>
      </c>
      <c r="G40" s="34" t="n"/>
      <c r="H40" s="34" t="inlineStr">
        <is>
          <t>WCAG-AA auditor</t>
        </is>
      </c>
      <c r="I40" s="34" t="inlineStr">
        <is>
          <t>P3</t>
        </is>
      </c>
      <c r="J40" s="34" t="inlineStr">
        <is>
          <t>Major</t>
        </is>
      </c>
      <c r="K40" s="34" t="inlineStr">
        <is>
          <t>Auto</t>
        </is>
      </c>
      <c r="L40" s="34" t="inlineStr">
        <is>
          <t>1h</t>
        </is>
      </c>
      <c r="M40" s="34" t="inlineStr">
        <is>
          <t>0%</t>
        </is>
      </c>
      <c r="N40" s="34" t="inlineStr">
        <is>
          <t>Not Yet Run</t>
        </is>
      </c>
      <c r="O40" s="34" t="n"/>
      <c r="P40" s="34" t="inlineStr">
        <is>
          <t>E. Accessibility!row 6</t>
        </is>
      </c>
    </row>
    <row r="41">
      <c r="A41" s="34" t="n">
        <v>37</v>
      </c>
      <c r="B41" s="34" t="inlineStr">
        <is>
          <t>E-003</t>
        </is>
      </c>
      <c r="C41" s="34" t="inlineStr">
        <is>
          <t>E</t>
        </is>
      </c>
      <c r="D41" s="34" t="inlineStr">
        <is>
          <t>WCAG-AA</t>
        </is>
      </c>
      <c r="E41" s="34" t="inlineStr">
        <is>
          <t>ARIA labels on all interactive controls</t>
        </is>
      </c>
      <c r="F41" s="34" t="inlineStr">
        <is>
          <t>n/a — manual evaluation</t>
        </is>
      </c>
      <c r="G41" s="34" t="n"/>
      <c r="H41" s="34" t="inlineStr">
        <is>
          <t>WCAG-AA auditor</t>
        </is>
      </c>
      <c r="I41" s="34" t="inlineStr">
        <is>
          <t>P3</t>
        </is>
      </c>
      <c r="J41" s="34" t="inlineStr">
        <is>
          <t>Major</t>
        </is>
      </c>
      <c r="K41" s="34" t="inlineStr">
        <is>
          <t>Auto</t>
        </is>
      </c>
      <c r="L41" s="34" t="inlineStr">
        <is>
          <t>1h</t>
        </is>
      </c>
      <c r="M41" s="34" t="inlineStr">
        <is>
          <t>0%</t>
        </is>
      </c>
      <c r="N41" s="34" t="inlineStr">
        <is>
          <t>Not Yet Run</t>
        </is>
      </c>
      <c r="O41" s="34" t="n"/>
      <c r="P41" s="34" t="inlineStr">
        <is>
          <t>E. Accessibility!row 7</t>
        </is>
      </c>
    </row>
    <row r="42">
      <c r="A42" s="34" t="n">
        <v>38</v>
      </c>
      <c r="B42" s="34" t="inlineStr">
        <is>
          <t>F-004</t>
        </is>
      </c>
      <c r="C42" s="34" t="inlineStr">
        <is>
          <t>F</t>
        </is>
      </c>
      <c r="D42" s="34" t="inlineStr">
        <is>
          <t>XSS</t>
        </is>
      </c>
      <c r="E42" s="34" t="inlineStr">
        <is>
          <t>JSON-fixture injection (if any user-uploaded JSON path exists)</t>
        </is>
      </c>
      <c r="F42" s="34" t="inlineStr">
        <is>
          <t>Static analysis (eslint-plugin-security)</t>
        </is>
      </c>
      <c r="G42" s="34" t="n"/>
      <c r="H42" s="34" t="inlineStr">
        <is>
          <t>Security engineer</t>
        </is>
      </c>
      <c r="I42" s="34" t="inlineStr">
        <is>
          <t>P3</t>
        </is>
      </c>
      <c r="J42" s="34" t="inlineStr">
        <is>
          <t>Major</t>
        </is>
      </c>
      <c r="K42" s="34" t="inlineStr">
        <is>
          <t>Auto</t>
        </is>
      </c>
      <c r="L42" s="34" t="inlineStr">
        <is>
          <t>1h</t>
        </is>
      </c>
      <c r="M42" s="34" t="inlineStr">
        <is>
          <t>0%</t>
        </is>
      </c>
      <c r="N42" s="34" t="inlineStr">
        <is>
          <t>Not Yet Run</t>
        </is>
      </c>
      <c r="O42" s="34" t="n"/>
      <c r="P42" s="34" t="inlineStr">
        <is>
          <t>F. Security!row 8</t>
        </is>
      </c>
    </row>
    <row r="43">
      <c r="A43" s="34" t="n">
        <v>39</v>
      </c>
      <c r="B43" s="34" t="inlineStr">
        <is>
          <t>F-005</t>
        </is>
      </c>
      <c r="C43" s="34" t="inlineStr">
        <is>
          <t>F</t>
        </is>
      </c>
      <c r="D43" s="34" t="inlineStr">
        <is>
          <t>CSP</t>
        </is>
      </c>
      <c r="E43" s="34" t="inlineStr">
        <is>
          <t>Content-Security-Policy header strictness</t>
        </is>
      </c>
      <c r="F43" s="34" t="inlineStr">
        <is>
          <t>n/a — manual evaluation</t>
        </is>
      </c>
      <c r="G43" s="34" t="n"/>
      <c r="H43" s="34" t="inlineStr">
        <is>
          <t>Security engineer</t>
        </is>
      </c>
      <c r="I43" s="34" t="inlineStr">
        <is>
          <t>P3</t>
        </is>
      </c>
      <c r="J43" s="34" t="inlineStr">
        <is>
          <t>Major</t>
        </is>
      </c>
      <c r="K43" s="34" t="inlineStr">
        <is>
          <t>Auto</t>
        </is>
      </c>
      <c r="L43" s="34" t="inlineStr">
        <is>
          <t>1h</t>
        </is>
      </c>
      <c r="M43" s="34" t="inlineStr">
        <is>
          <t>0%</t>
        </is>
      </c>
      <c r="N43" s="34" t="inlineStr">
        <is>
          <t>Not Yet Run</t>
        </is>
      </c>
      <c r="O43" s="34" t="n"/>
      <c r="P43" s="34" t="inlineStr">
        <is>
          <t>F. Security!row 9</t>
        </is>
      </c>
    </row>
    <row r="44">
      <c r="A44" s="34" t="n">
        <v>40</v>
      </c>
      <c r="B44" s="34" t="inlineStr">
        <is>
          <t>F-006</t>
        </is>
      </c>
      <c r="C44" s="34" t="inlineStr">
        <is>
          <t>F</t>
        </is>
      </c>
      <c r="D44" s="34" t="inlineStr">
        <is>
          <t>CSP</t>
        </is>
      </c>
      <c r="E44" s="34" t="inlineStr">
        <is>
          <t>frame-ancestors / X-Frame-Options (clickjacking)</t>
        </is>
      </c>
      <c r="F44" s="34" t="inlineStr">
        <is>
          <t>n/a — manual evaluation</t>
        </is>
      </c>
      <c r="G44" s="34" t="n"/>
      <c r="H44" s="34" t="inlineStr">
        <is>
          <t>Security engineer</t>
        </is>
      </c>
      <c r="I44" s="34" t="inlineStr">
        <is>
          <t>P3</t>
        </is>
      </c>
      <c r="J44" s="34" t="inlineStr">
        <is>
          <t>Major</t>
        </is>
      </c>
      <c r="K44" s="34" t="inlineStr">
        <is>
          <t>Auto</t>
        </is>
      </c>
      <c r="L44" s="34" t="inlineStr">
        <is>
          <t>1h</t>
        </is>
      </c>
      <c r="M44" s="34" t="inlineStr">
        <is>
          <t>0%</t>
        </is>
      </c>
      <c r="N44" s="34" t="inlineStr">
        <is>
          <t>Not Yet Run</t>
        </is>
      </c>
      <c r="O44" s="34" t="n"/>
      <c r="P44" s="34" t="inlineStr">
        <is>
          <t>F. Security!row 10</t>
        </is>
      </c>
    </row>
    <row r="45">
      <c r="A45" s="34" t="n">
        <v>41</v>
      </c>
      <c r="B45" s="34" t="inlineStr">
        <is>
          <t>F-009</t>
        </is>
      </c>
      <c r="C45" s="34" t="inlineStr">
        <is>
          <t>F</t>
        </is>
      </c>
      <c r="D45" s="34" t="inlineStr">
        <is>
          <t>Supply chain</t>
        </is>
      </c>
      <c r="E45" s="34" t="inlineStr">
        <is>
          <t>npm dependency CVE scan</t>
        </is>
      </c>
      <c r="F45" s="34" t="inlineStr">
        <is>
          <t>n/a — manual evaluation</t>
        </is>
      </c>
      <c r="G45" s="34" t="n"/>
      <c r="H45" s="34" t="inlineStr">
        <is>
          <t>Security engineer</t>
        </is>
      </c>
      <c r="I45" s="34" t="inlineStr">
        <is>
          <t>P3</t>
        </is>
      </c>
      <c r="J45" s="34" t="inlineStr">
        <is>
          <t>Major</t>
        </is>
      </c>
      <c r="K45" s="34" t="inlineStr">
        <is>
          <t>Auto</t>
        </is>
      </c>
      <c r="L45" s="34" t="inlineStr">
        <is>
          <t>4h</t>
        </is>
      </c>
      <c r="M45" s="34" t="inlineStr">
        <is>
          <t>0%</t>
        </is>
      </c>
      <c r="N45" s="34" t="inlineStr">
        <is>
          <t>Not Yet Run</t>
        </is>
      </c>
      <c r="O45" s="34" t="n"/>
      <c r="P45" s="34" t="inlineStr">
        <is>
          <t>F. Security!row 13</t>
        </is>
      </c>
    </row>
    <row r="46">
      <c r="A46" s="34" t="n">
        <v>42</v>
      </c>
      <c r="B46" s="34" t="inlineStr">
        <is>
          <t>F-010</t>
        </is>
      </c>
      <c r="C46" s="34" t="inlineStr">
        <is>
          <t>F</t>
        </is>
      </c>
      <c r="D46" s="34" t="inlineStr">
        <is>
          <t>Supply chain</t>
        </is>
      </c>
      <c r="E46" s="34" t="inlineStr">
        <is>
          <t>Python dependency CVE scan (pip-audit / safety)</t>
        </is>
      </c>
      <c r="F46" s="34" t="inlineStr">
        <is>
          <t>n/a — manual evaluation</t>
        </is>
      </c>
      <c r="G46" s="34" t="n"/>
      <c r="H46" s="34" t="inlineStr">
        <is>
          <t>Security engineer</t>
        </is>
      </c>
      <c r="I46" s="34" t="inlineStr">
        <is>
          <t>P3</t>
        </is>
      </c>
      <c r="J46" s="34" t="inlineStr">
        <is>
          <t>Major</t>
        </is>
      </c>
      <c r="K46" s="34" t="inlineStr">
        <is>
          <t>Auto</t>
        </is>
      </c>
      <c r="L46" s="34" t="inlineStr">
        <is>
          <t>4h</t>
        </is>
      </c>
      <c r="M46" s="34" t="inlineStr">
        <is>
          <t>0%</t>
        </is>
      </c>
      <c r="N46" s="34" t="inlineStr">
        <is>
          <t>Not Yet Run</t>
        </is>
      </c>
      <c r="O46" s="34" t="n"/>
      <c r="P46" s="34" t="inlineStr">
        <is>
          <t>F. Security!row 14</t>
        </is>
      </c>
    </row>
    <row r="47">
      <c r="A47" s="34" t="n">
        <v>43</v>
      </c>
      <c r="B47" s="34" t="inlineStr">
        <is>
          <t>F-011</t>
        </is>
      </c>
      <c r="C47" s="34" t="inlineStr">
        <is>
          <t>F</t>
        </is>
      </c>
      <c r="D47" s="34" t="inlineStr">
        <is>
          <t>Supply chain</t>
        </is>
      </c>
      <c r="E47" s="34" t="inlineStr">
        <is>
          <t>Transitive-dependency license-compliance scan</t>
        </is>
      </c>
      <c r="F47" s="34" t="inlineStr">
        <is>
          <t>n/a — manual evaluation</t>
        </is>
      </c>
      <c r="G47" s="34" t="n"/>
      <c r="H47" s="34" t="inlineStr">
        <is>
          <t>Security engineer</t>
        </is>
      </c>
      <c r="I47" s="34" t="inlineStr">
        <is>
          <t>P3</t>
        </is>
      </c>
      <c r="J47" s="34" t="inlineStr">
        <is>
          <t>Major</t>
        </is>
      </c>
      <c r="K47" s="34" t="inlineStr">
        <is>
          <t>Auto</t>
        </is>
      </c>
      <c r="L47" s="34" t="inlineStr">
        <is>
          <t>4h</t>
        </is>
      </c>
      <c r="M47" s="34" t="inlineStr">
        <is>
          <t>0%</t>
        </is>
      </c>
      <c r="N47" s="34" t="inlineStr">
        <is>
          <t>Not Yet Run</t>
        </is>
      </c>
      <c r="O47" s="34" t="n"/>
      <c r="P47" s="34" t="inlineStr">
        <is>
          <t>F. Security!row 15</t>
        </is>
      </c>
    </row>
    <row r="48" ht="29" customHeight="1" s="40">
      <c r="A48" s="34" t="n">
        <v>44</v>
      </c>
      <c r="B48" s="34" t="inlineStr">
        <is>
          <t>G-002</t>
        </is>
      </c>
      <c r="C48" s="34" t="inlineStr">
        <is>
          <t>G</t>
        </is>
      </c>
      <c r="D48" s="34" t="inlineStr">
        <is>
          <t>Privacy</t>
        </is>
      </c>
      <c r="E48" s="34" t="inlineStr">
        <is>
          <t>localStorage content audit (no PII)</t>
        </is>
      </c>
      <c r="F48" s="34" t="inlineStr">
        <is>
          <t>Custom Python (localStorage namespace scan + PII regex sweep)</t>
        </is>
      </c>
      <c r="G48" s="34" t="n"/>
      <c r="H48" s="34" t="inlineStr">
        <is>
          <t>Privacy / legal counsel</t>
        </is>
      </c>
      <c r="I48" s="34" t="inlineStr">
        <is>
          <t>P3</t>
        </is>
      </c>
      <c r="J48" s="34" t="inlineStr">
        <is>
          <t>Major</t>
        </is>
      </c>
      <c r="K48" s="34" t="inlineStr">
        <is>
          <t>Auto</t>
        </is>
      </c>
      <c r="L48" s="34" t="inlineStr">
        <is>
          <t>1h</t>
        </is>
      </c>
      <c r="M48" s="34" t="inlineStr">
        <is>
          <t>0%</t>
        </is>
      </c>
      <c r="N48" s="34" t="inlineStr">
        <is>
          <t>Not Yet Run</t>
        </is>
      </c>
      <c r="O48" s="34" t="n"/>
      <c r="P48" s="34" t="inlineStr">
        <is>
          <t>G. Privacy and legal!row 6</t>
        </is>
      </c>
    </row>
    <row r="49">
      <c r="A49" s="34" t="n">
        <v>45</v>
      </c>
      <c r="B49" s="34" t="inlineStr">
        <is>
          <t>G-011</t>
        </is>
      </c>
      <c r="C49" s="34" t="inlineStr">
        <is>
          <t>G</t>
        </is>
      </c>
      <c r="D49" s="34" t="inlineStr">
        <is>
          <t>License compliance</t>
        </is>
      </c>
      <c r="E49" s="34" t="inlineStr">
        <is>
          <t>Transitive npm-license compatibility</t>
        </is>
      </c>
      <c r="F49" s="34" t="inlineStr">
        <is>
          <t>n/a — manual evaluation</t>
        </is>
      </c>
      <c r="G49" s="34" t="n"/>
      <c r="H49" s="34" t="inlineStr">
        <is>
          <t>Privacy / legal counsel</t>
        </is>
      </c>
      <c r="I49" s="34" t="inlineStr">
        <is>
          <t>P3</t>
        </is>
      </c>
      <c r="J49" s="34" t="inlineStr">
        <is>
          <t>Major</t>
        </is>
      </c>
      <c r="K49" s="34" t="inlineStr">
        <is>
          <t>Auto</t>
        </is>
      </c>
      <c r="L49" s="34" t="inlineStr">
        <is>
          <t>4h</t>
        </is>
      </c>
      <c r="M49" s="34" t="inlineStr">
        <is>
          <t>0%</t>
        </is>
      </c>
      <c r="N49" s="34" t="inlineStr">
        <is>
          <t>Not Yet Run</t>
        </is>
      </c>
      <c r="O49" s="34" t="n"/>
      <c r="P49" s="34" t="inlineStr">
        <is>
          <t>G. Privacy and legal!row 15</t>
        </is>
      </c>
    </row>
    <row r="50" ht="29" customHeight="1" s="40">
      <c r="A50" s="34" t="n">
        <v>46</v>
      </c>
      <c r="B50" s="34" t="inlineStr">
        <is>
          <t>H-001</t>
        </is>
      </c>
      <c r="C50" s="34" t="inlineStr">
        <is>
          <t>H</t>
        </is>
      </c>
      <c r="D50" s="34" t="inlineStr">
        <is>
          <t>Core Web Vitals</t>
        </is>
      </c>
      <c r="E50" s="34" t="inlineStr">
        <is>
          <t>LCP (Largest Contentful Paint) &lt; 2.5s on 3G</t>
        </is>
      </c>
      <c r="F50" s="34" t="inlineStr">
        <is>
          <t>n/a — manual evaluation</t>
        </is>
      </c>
      <c r="G50" s="34" t="n"/>
      <c r="H50" s="34" t="inlineStr">
        <is>
          <t>Web-performance engineer</t>
        </is>
      </c>
      <c r="I50" s="34" t="inlineStr">
        <is>
          <t>P3</t>
        </is>
      </c>
      <c r="J50" s="34" t="inlineStr">
        <is>
          <t>Major</t>
        </is>
      </c>
      <c r="K50" s="34" t="inlineStr">
        <is>
          <t>Auto</t>
        </is>
      </c>
      <c r="L50" s="34" t="inlineStr">
        <is>
          <t>1h</t>
        </is>
      </c>
      <c r="M50" s="34" t="inlineStr">
        <is>
          <t>0%</t>
        </is>
      </c>
      <c r="N50" s="34" t="inlineStr">
        <is>
          <t>Not Yet Run</t>
        </is>
      </c>
      <c r="O50" s="34" t="n"/>
      <c r="P50" s="34" t="inlineStr">
        <is>
          <t>H. Performance!row 5</t>
        </is>
      </c>
    </row>
    <row r="51" ht="29" customHeight="1" s="40">
      <c r="A51" s="34" t="n">
        <v>47</v>
      </c>
      <c r="B51" s="34" t="inlineStr">
        <is>
          <t>H-002</t>
        </is>
      </c>
      <c r="C51" s="34" t="inlineStr">
        <is>
          <t>H</t>
        </is>
      </c>
      <c r="D51" s="34" t="inlineStr">
        <is>
          <t>Core Web Vitals</t>
        </is>
      </c>
      <c r="E51" s="34" t="inlineStr">
        <is>
          <t>FID / INP &lt; 100ms</t>
        </is>
      </c>
      <c r="F51" s="34" t="inlineStr">
        <is>
          <t>n/a — manual evaluation</t>
        </is>
      </c>
      <c r="G51" s="34" t="n"/>
      <c r="H51" s="34" t="inlineStr">
        <is>
          <t>Web-performance engineer</t>
        </is>
      </c>
      <c r="I51" s="34" t="inlineStr">
        <is>
          <t>P3</t>
        </is>
      </c>
      <c r="J51" s="34" t="inlineStr">
        <is>
          <t>Major</t>
        </is>
      </c>
      <c r="K51" s="34" t="inlineStr">
        <is>
          <t>Auto</t>
        </is>
      </c>
      <c r="L51" s="34" t="inlineStr">
        <is>
          <t>1h</t>
        </is>
      </c>
      <c r="M51" s="34" t="inlineStr">
        <is>
          <t>0%</t>
        </is>
      </c>
      <c r="N51" s="34" t="inlineStr">
        <is>
          <t>Not Yet Run</t>
        </is>
      </c>
      <c r="O51" s="34" t="n"/>
      <c r="P51" s="34" t="inlineStr">
        <is>
          <t>H. Performance!row 6</t>
        </is>
      </c>
    </row>
    <row r="52" ht="29" customHeight="1" s="40">
      <c r="A52" s="34" t="n">
        <v>48</v>
      </c>
      <c r="B52" s="34" t="inlineStr">
        <is>
          <t>H-003</t>
        </is>
      </c>
      <c r="C52" s="34" t="inlineStr">
        <is>
          <t>H</t>
        </is>
      </c>
      <c r="D52" s="34" t="inlineStr">
        <is>
          <t>Core Web Vitals</t>
        </is>
      </c>
      <c r="E52" s="34" t="inlineStr">
        <is>
          <t>CLS &lt; 0.1</t>
        </is>
      </c>
      <c r="F52" s="34" t="inlineStr">
        <is>
          <t>n/a — manual evaluation</t>
        </is>
      </c>
      <c r="G52" s="34" t="n"/>
      <c r="H52" s="34" t="inlineStr">
        <is>
          <t>Web-performance engineer</t>
        </is>
      </c>
      <c r="I52" s="34" t="inlineStr">
        <is>
          <t>P3</t>
        </is>
      </c>
      <c r="J52" s="34" t="inlineStr">
        <is>
          <t>Major</t>
        </is>
      </c>
      <c r="K52" s="34" t="inlineStr">
        <is>
          <t>Auto</t>
        </is>
      </c>
      <c r="L52" s="34" t="inlineStr">
        <is>
          <t>1h</t>
        </is>
      </c>
      <c r="M52" s="34" t="inlineStr">
        <is>
          <t>0%</t>
        </is>
      </c>
      <c r="N52" s="34" t="inlineStr">
        <is>
          <t>Not Yet Run</t>
        </is>
      </c>
      <c r="O52" s="34" t="n"/>
      <c r="P52" s="34" t="inlineStr">
        <is>
          <t>H. Performance!row 7</t>
        </is>
      </c>
    </row>
    <row r="53" ht="29" customHeight="1" s="40">
      <c r="A53" s="34" t="n">
        <v>49</v>
      </c>
      <c r="B53" s="34" t="inlineStr">
        <is>
          <t>H-004</t>
        </is>
      </c>
      <c r="C53" s="34" t="inlineStr">
        <is>
          <t>H</t>
        </is>
      </c>
      <c r="D53" s="34" t="inlineStr">
        <is>
          <t>Bundle size</t>
        </is>
      </c>
      <c r="E53" s="34" t="inlineStr">
        <is>
          <t>Total JS bundle size on initial load</t>
        </is>
      </c>
      <c r="F53" s="34" t="inlineStr">
        <is>
          <t>n/a — manual evaluation</t>
        </is>
      </c>
      <c r="G53" s="34" t="n"/>
      <c r="H53" s="34" t="inlineStr">
        <is>
          <t>Web-performance engineer</t>
        </is>
      </c>
      <c r="I53" s="34" t="inlineStr">
        <is>
          <t>P3</t>
        </is>
      </c>
      <c r="J53" s="34" t="inlineStr">
        <is>
          <t>Major</t>
        </is>
      </c>
      <c r="K53" s="34" t="inlineStr">
        <is>
          <t>Auto</t>
        </is>
      </c>
      <c r="L53" s="34" t="inlineStr">
        <is>
          <t>4h</t>
        </is>
      </c>
      <c r="M53" s="34" t="inlineStr">
        <is>
          <t>0%</t>
        </is>
      </c>
      <c r="N53" s="34" t="inlineStr">
        <is>
          <t>Not Yet Run</t>
        </is>
      </c>
      <c r="O53" s="34" t="n"/>
      <c r="P53" s="34" t="inlineStr">
        <is>
          <t>H. Performance!row 8</t>
        </is>
      </c>
    </row>
    <row r="54" ht="29" customHeight="1" s="40">
      <c r="A54" s="34" t="n">
        <v>50</v>
      </c>
      <c r="B54" s="34" t="inlineStr">
        <is>
          <t>H-015</t>
        </is>
      </c>
      <c r="C54" s="34" t="inlineStr">
        <is>
          <t>H</t>
        </is>
      </c>
      <c r="D54" s="34" t="inlineStr">
        <is>
          <t>Mobile-responsive</t>
        </is>
      </c>
      <c r="E54" s="34" t="inlineStr">
        <is>
          <t>Sub-360px viewport rendering</t>
        </is>
      </c>
      <c r="F54" s="34" t="inlineStr">
        <is>
          <t>n/a — manual evaluation</t>
        </is>
      </c>
      <c r="G54" s="34" t="n"/>
      <c r="H54" s="34" t="inlineStr">
        <is>
          <t>Web-performance engineer</t>
        </is>
      </c>
      <c r="I54" s="34" t="inlineStr">
        <is>
          <t>P3</t>
        </is>
      </c>
      <c r="J54" s="34" t="inlineStr">
        <is>
          <t>Major</t>
        </is>
      </c>
      <c r="K54" s="34" t="inlineStr">
        <is>
          <t>Auto</t>
        </is>
      </c>
      <c r="L54" s="34" t="inlineStr">
        <is>
          <t>1h</t>
        </is>
      </c>
      <c r="M54" s="34" t="inlineStr">
        <is>
          <t>0%</t>
        </is>
      </c>
      <c r="N54" s="34" t="inlineStr">
        <is>
          <t>Not Yet Run</t>
        </is>
      </c>
      <c r="O54" s="34" t="n"/>
      <c r="P54" s="34" t="inlineStr">
        <is>
          <t>H. Performance!row 19</t>
        </is>
      </c>
    </row>
    <row r="55">
      <c r="A55" s="34" t="n">
        <v>51</v>
      </c>
      <c r="B55" s="34" t="inlineStr">
        <is>
          <t>I-001</t>
        </is>
      </c>
      <c r="C55" s="34" t="inlineStr">
        <is>
          <t>I</t>
        </is>
      </c>
      <c r="D55" s="34" t="inlineStr">
        <is>
          <t>Schema validation</t>
        </is>
      </c>
      <c r="E55" s="34" t="inlineStr">
        <is>
          <t>JSON-schema validation for all data/*.json beyond CI invariants</t>
        </is>
      </c>
      <c r="F55" s="34" t="inlineStr">
        <is>
          <t>n/a — manual evaluation</t>
        </is>
      </c>
      <c r="G55" s="34" t="inlineStr">
        <is>
          <t>JA-97</t>
        </is>
      </c>
      <c r="H55" s="34" t="inlineStr">
        <is>
          <t>Data engineer</t>
        </is>
      </c>
      <c r="I55" s="34" t="inlineStr">
        <is>
          <t>P3</t>
        </is>
      </c>
      <c r="J55" s="34" t="inlineStr">
        <is>
          <t>Major</t>
        </is>
      </c>
      <c r="K55" s="34" t="inlineStr">
        <is>
          <t>Auto</t>
        </is>
      </c>
      <c r="L55" s="34" t="inlineStr">
        <is>
          <t>4h</t>
        </is>
      </c>
      <c r="M55" s="34" t="inlineStr">
        <is>
          <t>0%</t>
        </is>
      </c>
      <c r="N55" s="34" t="inlineStr">
        <is>
          <t>Not Yet Run</t>
        </is>
      </c>
      <c r="O55" s="34" t="n"/>
      <c r="P55" s="34" t="inlineStr">
        <is>
          <t>I. Data engineering!row 5</t>
        </is>
      </c>
    </row>
    <row r="56">
      <c r="A56" s="34" t="n">
        <v>52</v>
      </c>
      <c r="B56" s="34" t="inlineStr">
        <is>
          <t>I-003</t>
        </is>
      </c>
      <c r="C56" s="34" t="inlineStr">
        <is>
          <t>I</t>
        </is>
      </c>
      <c r="D56" s="34" t="inlineStr">
        <is>
          <t>Schema validation</t>
        </is>
      </c>
      <c r="E56" s="34" t="inlineStr">
        <is>
          <t>Cross-corpus FK integrity (vocab_id, grammarPatternId, kbSourceId)</t>
        </is>
      </c>
      <c r="F56" s="34" t="inlineStr">
        <is>
          <t>n/a — manual evaluation</t>
        </is>
      </c>
      <c r="G56" s="34" t="inlineStr">
        <is>
          <t>JA-100</t>
        </is>
      </c>
      <c r="H56" s="34" t="inlineStr">
        <is>
          <t>Data engineer</t>
        </is>
      </c>
      <c r="I56" s="34" t="inlineStr">
        <is>
          <t>P3</t>
        </is>
      </c>
      <c r="J56" s="34" t="inlineStr">
        <is>
          <t>Major</t>
        </is>
      </c>
      <c r="K56" s="34" t="inlineStr">
        <is>
          <t>Auto</t>
        </is>
      </c>
      <c r="L56" s="34" t="inlineStr">
        <is>
          <t>4h</t>
        </is>
      </c>
      <c r="M56" s="34" t="inlineStr">
        <is>
          <t>0%</t>
        </is>
      </c>
      <c r="N56" s="34" t="inlineStr">
        <is>
          <t>Not Yet Run</t>
        </is>
      </c>
      <c r="O56" s="34" t="n"/>
      <c r="P56" s="34" t="inlineStr">
        <is>
          <t>I. Data engineering!row 7</t>
        </is>
      </c>
    </row>
    <row r="57" ht="29" customHeight="1" s="40">
      <c r="A57" s="34" t="n">
        <v>53</v>
      </c>
      <c r="B57" s="34" t="inlineStr">
        <is>
          <t>I-019</t>
        </is>
      </c>
      <c r="C57" s="34" t="inlineStr">
        <is>
          <t>I</t>
        </is>
      </c>
      <c r="D57" s="34" t="inlineStr">
        <is>
          <t>Cross-section dedup</t>
        </is>
      </c>
      <c r="E57" s="34" t="inlineStr">
        <is>
          <t>Automated subset-gloss duplicate detection in vocab.json — same (form, reading) + same POS + gloss-B ⊂ gloss-A</t>
        </is>
      </c>
      <c r="F57" s="34" t="inlineStr">
        <is>
          <t>Custom Python (subset-detector script in F.21.5 of procedure manual)</t>
        </is>
      </c>
      <c r="G57" s="34" t="n"/>
      <c r="H57" s="34" t="inlineStr">
        <is>
          <t>Data engineer</t>
        </is>
      </c>
      <c r="I57" s="34" t="inlineStr">
        <is>
          <t>P3</t>
        </is>
      </c>
      <c r="J57" s="34" t="inlineStr">
        <is>
          <t>Minor</t>
        </is>
      </c>
      <c r="K57" s="34" t="inlineStr">
        <is>
          <t>Auto+Manual</t>
        </is>
      </c>
      <c r="L57" s="34" t="inlineStr">
        <is>
          <t>4h</t>
        </is>
      </c>
      <c r="M57" s="34" t="inlineStr">
        <is>
          <t>0%</t>
        </is>
      </c>
      <c r="N57" s="34" t="inlineStr">
        <is>
          <t>Not Yet Run</t>
        </is>
      </c>
      <c r="O57" s="34" t="n"/>
      <c r="P57" s="34" t="inlineStr">
        <is>
          <t>I. Data engineering!row 20</t>
        </is>
      </c>
    </row>
    <row r="58" ht="29" customHeight="1" s="40">
      <c r="A58" s="34" t="n">
        <v>54</v>
      </c>
      <c r="B58" s="34" t="inlineStr">
        <is>
          <t>I-021</t>
        </is>
      </c>
      <c r="C58" s="34" t="inlineStr">
        <is>
          <t>I</t>
        </is>
      </c>
      <c r="D58" s="34" t="inlineStr">
        <is>
          <t>Field naming canonicalization</t>
        </is>
      </c>
      <c r="E58" s="34" t="inlineStr">
        <is>
          <t>kanji.json `examples[]` use `form` field name only, not legacy `lemma` (JA-101)</t>
        </is>
      </c>
      <c r="F58" s="34" t="inlineStr">
        <is>
          <t>tools/check_content_integrity.py (JA-101)</t>
        </is>
      </c>
      <c r="G58" s="34" t="inlineStr">
        <is>
          <t>JA-101</t>
        </is>
      </c>
      <c r="H58" s="34" t="inlineStr">
        <is>
          <t>Data engineer</t>
        </is>
      </c>
      <c r="I58" s="34" t="inlineStr">
        <is>
          <t>P3</t>
        </is>
      </c>
      <c r="J58" s="34" t="inlineStr">
        <is>
          <t>Minor</t>
        </is>
      </c>
      <c r="K58" s="34" t="inlineStr">
        <is>
          <t>Auto</t>
        </is>
      </c>
      <c r="L58" s="34" t="inlineStr">
        <is>
          <t>1h</t>
        </is>
      </c>
      <c r="M58" s="34" t="inlineStr">
        <is>
          <t>0%</t>
        </is>
      </c>
      <c r="N58" s="34" t="inlineStr">
        <is>
          <t>Not Yet Run</t>
        </is>
      </c>
      <c r="O58" s="34" t="n"/>
      <c r="P58" s="34" t="inlineStr">
        <is>
          <t>I. Data engineering!row 22</t>
        </is>
      </c>
    </row>
    <row r="59" ht="29" customHeight="1" s="40">
      <c r="A59" s="34" t="n">
        <v>55</v>
      </c>
      <c r="B59" s="34" t="inlineStr">
        <is>
          <t>I-022</t>
        </is>
      </c>
      <c r="C59" s="34" t="inlineStr">
        <is>
          <t>I</t>
        </is>
      </c>
      <c r="D59" s="34" t="inlineStr">
        <is>
          <t>Within-corpus uniqueness</t>
        </is>
      </c>
      <c r="E59" s="34" t="inlineStr">
        <is>
          <t>kanji.json n5_compounds: (form, reading) tuple unique within each kanji entry (JA-103)</t>
        </is>
      </c>
      <c r="F59" s="34" t="inlineStr">
        <is>
          <t>tools/check_content_integrity.py (JA-103)</t>
        </is>
      </c>
      <c r="G59" s="34" t="inlineStr">
        <is>
          <t>JA-103</t>
        </is>
      </c>
      <c r="H59" s="34" t="inlineStr">
        <is>
          <t>Data engineer</t>
        </is>
      </c>
      <c r="I59" s="34" t="inlineStr">
        <is>
          <t>P3</t>
        </is>
      </c>
      <c r="J59" s="34" t="inlineStr">
        <is>
          <t>Minor</t>
        </is>
      </c>
      <c r="K59" s="34" t="inlineStr">
        <is>
          <t>Auto</t>
        </is>
      </c>
      <c r="L59" s="34" t="inlineStr">
        <is>
          <t>1h</t>
        </is>
      </c>
      <c r="M59" s="34" t="inlineStr">
        <is>
          <t>0%</t>
        </is>
      </c>
      <c r="N59" s="34" t="inlineStr">
        <is>
          <t>Not Yet Run</t>
        </is>
      </c>
      <c r="O59" s="34" t="n"/>
      <c r="P59" s="34" t="inlineStr">
        <is>
          <t>I. Data engineering!row 23</t>
        </is>
      </c>
    </row>
    <row r="60" ht="29" customHeight="1" s="40">
      <c r="A60" s="34" t="n">
        <v>56</v>
      </c>
      <c r="B60" s="34" t="inlineStr">
        <is>
          <t>J-001</t>
        </is>
      </c>
      <c r="C60" s="34" t="inlineStr">
        <is>
          <t>J</t>
        </is>
      </c>
      <c r="D60" s="34" t="inlineStr">
        <is>
          <t>SLA</t>
        </is>
      </c>
      <c r="E60" s="34" t="inlineStr">
        <is>
          <t>Curriculum dependency graph: ≥80% of vocab used in lesson L's example sentences must appear in lessons ≤L</t>
        </is>
      </c>
      <c r="F60" s="34" t="inlineStr">
        <is>
          <t>Custom Python (curriculum-graph + token-membership check)</t>
        </is>
      </c>
      <c r="G60" s="34" t="n"/>
      <c r="H60" s="34" t="inlineStr">
        <is>
          <t>SLA pedagogy researcher</t>
        </is>
      </c>
      <c r="I60" s="34" t="inlineStr">
        <is>
          <t>P3</t>
        </is>
      </c>
      <c r="J60" s="34" t="inlineStr">
        <is>
          <t>Major</t>
        </is>
      </c>
      <c r="K60" s="34" t="inlineStr">
        <is>
          <t>Auto</t>
        </is>
      </c>
      <c r="L60" s="34" t="inlineStr">
        <is>
          <t>1d</t>
        </is>
      </c>
      <c r="M60" s="34" t="inlineStr">
        <is>
          <t>0%</t>
        </is>
      </c>
      <c r="N60" s="34" t="inlineStr">
        <is>
          <t>Not Yet Run</t>
        </is>
      </c>
      <c r="O60" s="34" t="n"/>
      <c r="P60" s="34" t="inlineStr">
        <is>
          <t>J. Pedagogy!row 5</t>
        </is>
      </c>
    </row>
    <row r="61" ht="29" customHeight="1" s="40">
      <c r="A61" s="34" t="n">
        <v>57</v>
      </c>
      <c r="B61" s="34" t="inlineStr">
        <is>
          <t>J-002</t>
        </is>
      </c>
      <c r="C61" s="34" t="inlineStr">
        <is>
          <t>J</t>
        </is>
      </c>
      <c r="D61" s="34" t="inlineStr">
        <is>
          <t>SLA</t>
        </is>
      </c>
      <c r="E61" s="34" t="inlineStr">
        <is>
          <t>Output-hypothesis adherence: each lesson has ≥1 production drill prompting the learner to use the new pattern</t>
        </is>
      </c>
      <c r="F61" s="34" t="inlineStr">
        <is>
          <t>tools/check_content_integrity.py (extend or new check)</t>
        </is>
      </c>
      <c r="G61" s="34" t="n"/>
      <c r="H61" s="34" t="inlineStr">
        <is>
          <t>SLA pedagogy researcher</t>
        </is>
      </c>
      <c r="I61" s="34" t="inlineStr">
        <is>
          <t>P3</t>
        </is>
      </c>
      <c r="J61" s="34" t="inlineStr">
        <is>
          <t>Major</t>
        </is>
      </c>
      <c r="K61" s="34" t="inlineStr">
        <is>
          <t>Auto</t>
        </is>
      </c>
      <c r="L61" s="34" t="inlineStr">
        <is>
          <t>1d</t>
        </is>
      </c>
      <c r="M61" s="34" t="inlineStr">
        <is>
          <t>0%</t>
        </is>
      </c>
      <c r="N61" s="34" t="inlineStr">
        <is>
          <t>Not Yet Run</t>
        </is>
      </c>
      <c r="O61" s="34" t="n"/>
      <c r="P61" s="34" t="inlineStr">
        <is>
          <t>J. Pedagogy!row 6</t>
        </is>
      </c>
    </row>
    <row r="62" ht="43.5" customHeight="1" s="40">
      <c r="A62" s="34" t="n">
        <v>58</v>
      </c>
      <c r="B62" s="34" t="inlineStr">
        <is>
          <t>J-004</t>
        </is>
      </c>
      <c r="C62" s="34" t="inlineStr">
        <is>
          <t>J</t>
        </is>
      </c>
      <c r="D62" s="34" t="inlineStr">
        <is>
          <t>SRS</t>
        </is>
      </c>
      <c r="E62" s="34" t="inlineStr">
        <is>
          <t>Lesson-to-test alignment: every test item ID in questions.json references a vocab/grammar item from a lesson ≤ the test's target lesson</t>
        </is>
      </c>
      <c r="F62" s="34" t="inlineStr">
        <is>
          <t>tools/check_content_integrity.py (new check)</t>
        </is>
      </c>
      <c r="G62" s="34" t="n"/>
      <c r="H62" s="34" t="inlineStr">
        <is>
          <t>SLA pedagogy researcher</t>
        </is>
      </c>
      <c r="I62" s="34" t="inlineStr">
        <is>
          <t>P3</t>
        </is>
      </c>
      <c r="J62" s="34" t="inlineStr">
        <is>
          <t>Major</t>
        </is>
      </c>
      <c r="K62" s="34" t="inlineStr">
        <is>
          <t>Auto</t>
        </is>
      </c>
      <c r="L62" s="34" t="inlineStr">
        <is>
          <t>1d</t>
        </is>
      </c>
      <c r="M62" s="34" t="inlineStr">
        <is>
          <t>0%</t>
        </is>
      </c>
      <c r="N62" s="34" t="inlineStr">
        <is>
          <t>Not Yet Run</t>
        </is>
      </c>
      <c r="O62" s="34" t="n"/>
      <c r="P62" s="34" t="inlineStr">
        <is>
          <t>J. Pedagogy!row 8</t>
        </is>
      </c>
    </row>
    <row r="63" ht="43.5" customHeight="1" s="40">
      <c r="A63" s="34" t="n">
        <v>59</v>
      </c>
      <c r="B63" s="34" t="inlineStr">
        <is>
          <t>J-005</t>
        </is>
      </c>
      <c r="C63" s="34" t="inlineStr">
        <is>
          <t>J</t>
        </is>
      </c>
      <c r="D63" s="34" t="inlineStr">
        <is>
          <t>SRS</t>
        </is>
      </c>
      <c r="E63" s="34" t="inlineStr">
        <is>
          <t>Distractor cognitive load: MCQ distractors are not so close to the correct answer that the test becomes a recognition test rather than a recall test</t>
        </is>
      </c>
      <c r="F63" s="34" t="inlineStr">
        <is>
          <t>Custom Python (Lev distance) + manual review</t>
        </is>
      </c>
      <c r="G63" s="34" t="n"/>
      <c r="H63" s="34" t="inlineStr">
        <is>
          <t>SLA pedagogy researcher</t>
        </is>
      </c>
      <c r="I63" s="34" t="inlineStr">
        <is>
          <t>P3</t>
        </is>
      </c>
      <c r="J63" s="34" t="inlineStr">
        <is>
          <t>Major</t>
        </is>
      </c>
      <c r="K63" s="34" t="inlineStr">
        <is>
          <t>Auto+Manual</t>
        </is>
      </c>
      <c r="L63" s="34" t="inlineStr">
        <is>
          <t>1d</t>
        </is>
      </c>
      <c r="M63" s="34" t="inlineStr">
        <is>
          <t>0%</t>
        </is>
      </c>
      <c r="N63" s="34" t="inlineStr">
        <is>
          <t>Not Yet Run</t>
        </is>
      </c>
      <c r="O63" s="34" t="n"/>
      <c r="P63" s="34" t="inlineStr">
        <is>
          <t>J. Pedagogy!row 9</t>
        </is>
      </c>
    </row>
    <row r="64" ht="29" customHeight="1" s="40">
      <c r="A64" s="34" t="n">
        <v>60</v>
      </c>
      <c r="B64" s="34" t="inlineStr">
        <is>
          <t>J-007</t>
        </is>
      </c>
      <c r="C64" s="34" t="inlineStr">
        <is>
          <t>J</t>
        </is>
      </c>
      <c r="D64" s="34" t="inlineStr">
        <is>
          <t>Curriculum</t>
        </is>
      </c>
      <c r="E64" s="34" t="inlineStr">
        <is>
          <t>Mnemonic coverage: ≥80% of kanji.json entries have a non-trivial mnemonic field</t>
        </is>
      </c>
      <c r="F64" s="34" t="inlineStr">
        <is>
          <t>Custom Python</t>
        </is>
      </c>
      <c r="G64" s="34" t="n"/>
      <c r="H64" s="34" t="inlineStr">
        <is>
          <t>SLA pedagogy researcher</t>
        </is>
      </c>
      <c r="I64" s="34" t="inlineStr">
        <is>
          <t>P3</t>
        </is>
      </c>
      <c r="J64" s="34" t="inlineStr">
        <is>
          <t>Major</t>
        </is>
      </c>
      <c r="K64" s="34" t="inlineStr">
        <is>
          <t>Auto</t>
        </is>
      </c>
      <c r="L64" s="34" t="inlineStr">
        <is>
          <t>1d</t>
        </is>
      </c>
      <c r="M64" s="34" t="inlineStr">
        <is>
          <t>0%</t>
        </is>
      </c>
      <c r="N64" s="34" t="inlineStr">
        <is>
          <t>Not Yet Run</t>
        </is>
      </c>
      <c r="O64" s="34" t="n"/>
      <c r="P64" s="34" t="inlineStr">
        <is>
          <t>J. Pedagogy!row 11</t>
        </is>
      </c>
    </row>
    <row r="65" ht="43.5" customHeight="1" s="40">
      <c r="A65" s="34" t="n">
        <v>61</v>
      </c>
      <c r="B65" s="34" t="inlineStr">
        <is>
          <t>J-008</t>
        </is>
      </c>
      <c r="C65" s="34" t="inlineStr">
        <is>
          <t>J</t>
        </is>
      </c>
      <c r="D65" s="34" t="inlineStr">
        <is>
          <t>Curriculum</t>
        </is>
      </c>
      <c r="E65" s="34" t="inlineStr">
        <is>
          <t>Hindi-L1 transfer-error coverage: common HI-L1 errors (postposition mapping, word order) have explicit common_mistakes entries</t>
        </is>
      </c>
      <c r="F65" s="34" t="inlineStr">
        <is>
          <t>Custom Python (grep grammar.json common_mistakes for transfer-error keywords)</t>
        </is>
      </c>
      <c r="G65" s="34" t="n"/>
      <c r="H65" s="34" t="inlineStr">
        <is>
          <t>SLA pedagogy researcher</t>
        </is>
      </c>
      <c r="I65" s="34" t="inlineStr">
        <is>
          <t>P3</t>
        </is>
      </c>
      <c r="J65" s="34" t="inlineStr">
        <is>
          <t>Major</t>
        </is>
      </c>
      <c r="K65" s="34" t="inlineStr">
        <is>
          <t>Auto</t>
        </is>
      </c>
      <c r="L65" s="34" t="inlineStr">
        <is>
          <t>1d</t>
        </is>
      </c>
      <c r="M65" s="34" t="inlineStr">
        <is>
          <t>0%</t>
        </is>
      </c>
      <c r="N65" s="34" t="inlineStr">
        <is>
          <t>Not Yet Run</t>
        </is>
      </c>
      <c r="O65" s="34" t="n"/>
      <c r="P65" s="34" t="inlineStr">
        <is>
          <t>J. Pedagogy!row 12</t>
        </is>
      </c>
    </row>
    <row r="66" ht="29" customHeight="1" s="40">
      <c r="A66" s="34" t="n">
        <v>62</v>
      </c>
      <c r="B66" s="34" t="inlineStr">
        <is>
          <t>J-009</t>
        </is>
      </c>
      <c r="C66" s="34" t="inlineStr">
        <is>
          <t>J</t>
        </is>
      </c>
      <c r="D66" s="34" t="inlineStr">
        <is>
          <t>Curriculum</t>
        </is>
      </c>
      <c r="E66" s="34" t="inlineStr">
        <is>
          <t>Spiral-review density: every kanji introduced in lesson L appears in ≥3 examples in lessons L+1..L+10</t>
        </is>
      </c>
      <c r="F66" s="34" t="inlineStr">
        <is>
          <t>Custom Python (kanji × lesson grid)</t>
        </is>
      </c>
      <c r="G66" s="34" t="n"/>
      <c r="H66" s="34" t="inlineStr">
        <is>
          <t>SLA pedagogy researcher</t>
        </is>
      </c>
      <c r="I66" s="34" t="inlineStr">
        <is>
          <t>P3</t>
        </is>
      </c>
      <c r="J66" s="34" t="inlineStr">
        <is>
          <t>Major</t>
        </is>
      </c>
      <c r="K66" s="34" t="inlineStr">
        <is>
          <t>Auto</t>
        </is>
      </c>
      <c r="L66" s="34" t="inlineStr">
        <is>
          <t>1d</t>
        </is>
      </c>
      <c r="M66" s="34" t="inlineStr">
        <is>
          <t>0%</t>
        </is>
      </c>
      <c r="N66" s="34" t="inlineStr">
        <is>
          <t>Not Yet Run</t>
        </is>
      </c>
      <c r="O66" s="34" t="n"/>
      <c r="P66" s="34" t="inlineStr">
        <is>
          <t>J. Pedagogy!row 13</t>
        </is>
      </c>
    </row>
    <row r="67">
      <c r="A67" s="34" t="n">
        <v>63</v>
      </c>
      <c r="B67" s="34" t="inlineStr">
        <is>
          <t>K-005</t>
        </is>
      </c>
      <c r="C67" s="34" t="inlineStr">
        <is>
          <t>K</t>
        </is>
      </c>
      <c r="D67" s="34" t="inlineStr">
        <is>
          <t>Automation</t>
        </is>
      </c>
      <c r="E67" s="34" t="inlineStr">
        <is>
          <t>Unit-test coverage for tools/*.py</t>
        </is>
      </c>
      <c r="F67" s="34" t="inlineStr">
        <is>
          <t>n/a — manual evaluation</t>
        </is>
      </c>
      <c r="G67" s="34" t="n"/>
      <c r="H67" s="34" t="inlineStr">
        <is>
          <t>QA tester</t>
        </is>
      </c>
      <c r="I67" s="34" t="inlineStr">
        <is>
          <t>P3</t>
        </is>
      </c>
      <c r="J67" s="34" t="inlineStr">
        <is>
          <t>Major</t>
        </is>
      </c>
      <c r="K67" s="34" t="inlineStr">
        <is>
          <t>Auto</t>
        </is>
      </c>
      <c r="L67" s="34" t="inlineStr">
        <is>
          <t>1d</t>
        </is>
      </c>
      <c r="M67" s="34" t="inlineStr">
        <is>
          <t>0%</t>
        </is>
      </c>
      <c r="N67" s="34" t="inlineStr">
        <is>
          <t>Not Yet Run</t>
        </is>
      </c>
      <c r="O67" s="34" t="n"/>
      <c r="P67" s="34" t="inlineStr">
        <is>
          <t>K. QA testing!row 9</t>
        </is>
      </c>
    </row>
    <row r="68">
      <c r="A68" s="34" t="n">
        <v>64</v>
      </c>
      <c r="B68" s="34" t="inlineStr">
        <is>
          <t>K-006</t>
        </is>
      </c>
      <c r="C68" s="34" t="inlineStr">
        <is>
          <t>K</t>
        </is>
      </c>
      <c r="D68" s="34" t="inlineStr">
        <is>
          <t>Automation</t>
        </is>
      </c>
      <c r="E68" s="34" t="inlineStr">
        <is>
          <t>Integration tests for data-loading + rendering</t>
        </is>
      </c>
      <c r="F68" s="34" t="inlineStr">
        <is>
          <t>n/a — manual evaluation</t>
        </is>
      </c>
      <c r="G68" s="34" t="n"/>
      <c r="H68" s="34" t="inlineStr">
        <is>
          <t>QA tester</t>
        </is>
      </c>
      <c r="I68" s="34" t="inlineStr">
        <is>
          <t>P3</t>
        </is>
      </c>
      <c r="J68" s="34" t="inlineStr">
        <is>
          <t>Major</t>
        </is>
      </c>
      <c r="K68" s="34" t="inlineStr">
        <is>
          <t>Auto</t>
        </is>
      </c>
      <c r="L68" s="34" t="inlineStr">
        <is>
          <t>1d</t>
        </is>
      </c>
      <c r="M68" s="34" t="inlineStr">
        <is>
          <t>0%</t>
        </is>
      </c>
      <c r="N68" s="34" t="inlineStr">
        <is>
          <t>Not Yet Run</t>
        </is>
      </c>
      <c r="O68" s="34" t="n"/>
      <c r="P68" s="34" t="inlineStr">
        <is>
          <t>K. QA testing!row 10</t>
        </is>
      </c>
    </row>
    <row r="69">
      <c r="A69" s="34" t="n">
        <v>65</v>
      </c>
      <c r="B69" s="34" t="inlineStr">
        <is>
          <t>K-007</t>
        </is>
      </c>
      <c r="C69" s="34" t="inlineStr">
        <is>
          <t>K</t>
        </is>
      </c>
      <c r="D69" s="34" t="inlineStr">
        <is>
          <t>Automation</t>
        </is>
      </c>
      <c r="E69" s="34" t="inlineStr">
        <is>
          <t>E2E test of complete user flow (vocab study → quiz → results)</t>
        </is>
      </c>
      <c r="F69" s="34" t="inlineStr">
        <is>
          <t>n/a — manual evaluation</t>
        </is>
      </c>
      <c r="G69" s="34" t="n"/>
      <c r="H69" s="34" t="inlineStr">
        <is>
          <t>QA tester</t>
        </is>
      </c>
      <c r="I69" s="34" t="inlineStr">
        <is>
          <t>P3</t>
        </is>
      </c>
      <c r="J69" s="34" t="inlineStr">
        <is>
          <t>Major</t>
        </is>
      </c>
      <c r="K69" s="34" t="inlineStr">
        <is>
          <t>Auto</t>
        </is>
      </c>
      <c r="L69" s="34" t="inlineStr">
        <is>
          <t>1d</t>
        </is>
      </c>
      <c r="M69" s="34" t="inlineStr">
        <is>
          <t>0%</t>
        </is>
      </c>
      <c r="N69" s="34" t="inlineStr">
        <is>
          <t>Not Yet Run</t>
        </is>
      </c>
      <c r="O69" s="34" t="n"/>
      <c r="P69" s="34" t="inlineStr">
        <is>
          <t>K. QA testing!row 11</t>
        </is>
      </c>
    </row>
    <row r="70" ht="29" customHeight="1" s="40">
      <c r="A70" s="34" t="n">
        <v>66</v>
      </c>
      <c r="B70" s="34" t="inlineStr">
        <is>
          <t>K-018</t>
        </is>
      </c>
      <c r="C70" s="34" t="inlineStr">
        <is>
          <t>K</t>
        </is>
      </c>
      <c r="D70" s="34" t="inlineStr">
        <is>
          <t>Cross-artifact sync</t>
        </is>
      </c>
      <c r="E70" s="34" t="inlineStr">
        <is>
          <t>Script-reference drift detection (INV-10 / JA-109)</t>
        </is>
      </c>
      <c r="F70" s="34" t="inlineStr">
        <is>
          <t>tools/check_content_integrity.py, tools/cross_artifact_sync_report.py</t>
        </is>
      </c>
      <c r="G70" s="34" t="inlineStr">
        <is>
          <t>JA-109</t>
        </is>
      </c>
      <c r="H70" s="34" t="inlineStr">
        <is>
          <t>QA / docs maintainer</t>
        </is>
      </c>
      <c r="I70" s="34" t="inlineStr">
        <is>
          <t>P3</t>
        </is>
      </c>
      <c r="J70" s="34" t="inlineStr">
        <is>
          <t>Minor</t>
        </is>
      </c>
      <c r="K70" s="34" t="inlineStr">
        <is>
          <t>Auto</t>
        </is>
      </c>
      <c r="L70" s="34" t="inlineStr">
        <is>
          <t>30m</t>
        </is>
      </c>
      <c r="M70" s="34" t="inlineStr">
        <is>
          <t>100%</t>
        </is>
      </c>
      <c r="N70" s="34" t="inlineStr">
        <is>
          <t>PASS</t>
        </is>
      </c>
      <c r="O70" s="34" t="inlineStr">
        <is>
          <t>2026-05-17</t>
        </is>
      </c>
      <c r="P70" s="34" t="inlineStr">
        <is>
          <t>K. QA testing!row 22</t>
        </is>
      </c>
    </row>
    <row r="71" ht="29" customHeight="1" s="40">
      <c r="A71" s="35" t="n">
        <v>67</v>
      </c>
      <c r="B71" s="35" t="inlineStr">
        <is>
          <t>A-016</t>
        </is>
      </c>
      <c r="C71" s="35" t="inlineStr">
        <is>
          <t>A</t>
        </is>
      </c>
      <c r="D71" s="35" t="inlineStr">
        <is>
          <t>Counters</t>
        </is>
      </c>
      <c r="E71" s="35" t="inlineStr">
        <is>
          <t>Native-counter (つ) range boundary (1-10)</t>
        </is>
      </c>
      <c r="F71" s="35" t="inlineStr">
        <is>
          <t>tools/check_content_integrity.py (JA-NN regex pass)</t>
        </is>
      </c>
      <c r="G71" s="35" t="n"/>
      <c r="H71" s="35" t="inlineStr">
        <is>
          <t>Native Japanese teacher</t>
        </is>
      </c>
      <c r="I71" s="35" t="inlineStr">
        <is>
          <t>P4</t>
        </is>
      </c>
      <c r="J71" s="35" t="inlineStr">
        <is>
          <t>Minor</t>
        </is>
      </c>
      <c r="K71" s="35" t="inlineStr">
        <is>
          <t>Auto</t>
        </is>
      </c>
      <c r="L71" s="35" t="inlineStr">
        <is>
          <t>1h</t>
        </is>
      </c>
      <c r="M71" s="35" t="inlineStr">
        <is>
          <t>0%</t>
        </is>
      </c>
      <c r="N71" s="35" t="inlineStr">
        <is>
          <t>Not Yet Run</t>
        </is>
      </c>
      <c r="O71" s="35" t="n"/>
      <c r="P71" s="35" t="inlineStr">
        <is>
          <t>A. Japanese language!row 20</t>
        </is>
      </c>
    </row>
    <row r="72" ht="29" customHeight="1" s="40">
      <c r="A72" s="35" t="n">
        <v>68</v>
      </c>
      <c r="B72" s="35" t="inlineStr">
        <is>
          <t>B-002</t>
        </is>
      </c>
      <c r="C72" s="35" t="inlineStr">
        <is>
          <t>B</t>
        </is>
      </c>
      <c r="D72" s="35" t="inlineStr">
        <is>
          <t>Mondai structure</t>
        </is>
      </c>
      <c r="E72" s="35" t="inlineStr">
        <is>
          <t>Choice count per mondai (3 vs 4 vs 1)</t>
        </is>
      </c>
      <c r="F72" s="35" t="inlineStr">
        <is>
          <t>tools/check_content_integrity.py (JA-33 — choices-per-mondai check)</t>
        </is>
      </c>
      <c r="G72" s="35" t="n"/>
      <c r="H72" s="35" t="inlineStr">
        <is>
          <t>JLPT exam expert (JEES-aligned)</t>
        </is>
      </c>
      <c r="I72" s="35" t="inlineStr">
        <is>
          <t>P4</t>
        </is>
      </c>
      <c r="J72" s="35" t="inlineStr">
        <is>
          <t>Minor</t>
        </is>
      </c>
      <c r="K72" s="35" t="inlineStr">
        <is>
          <t>Auto</t>
        </is>
      </c>
      <c r="L72" s="35" t="inlineStr">
        <is>
          <t>1h</t>
        </is>
      </c>
      <c r="M72" s="35" t="inlineStr">
        <is>
          <t>0%</t>
        </is>
      </c>
      <c r="N72" s="35" t="inlineStr">
        <is>
          <t>Not Yet Run</t>
        </is>
      </c>
      <c r="O72" s="35" t="n"/>
      <c r="P72" s="35" t="inlineStr">
        <is>
          <t>B. JLPT format!row 6</t>
        </is>
      </c>
    </row>
    <row r="73" ht="29" customHeight="1" s="40">
      <c r="A73" s="35" t="n">
        <v>69</v>
      </c>
      <c r="B73" s="35" t="inlineStr">
        <is>
          <t>I-023</t>
        </is>
      </c>
      <c r="C73" s="35" t="inlineStr">
        <is>
          <t>I</t>
        </is>
      </c>
      <c r="D73" s="35" t="inlineStr">
        <is>
          <t>Auto-derivation freshness</t>
        </is>
      </c>
      <c r="E73" s="35" t="inlineStr">
        <is>
          <t>Every auto-derived array (kanji.n5_compounds, kanji.examples) is fresh vs its source (vocab.json last_modified)</t>
        </is>
      </c>
      <c r="F73" s="35" t="inlineStr">
        <is>
          <t>Custom Python (timestamp comparison; pending implementation)</t>
        </is>
      </c>
      <c r="G73" s="35" t="n"/>
      <c r="H73" s="35" t="inlineStr">
        <is>
          <t>Data engineer</t>
        </is>
      </c>
      <c r="I73" s="35" t="inlineStr">
        <is>
          <t>P4</t>
        </is>
      </c>
      <c r="J73" s="35" t="inlineStr">
        <is>
          <t>Minor</t>
        </is>
      </c>
      <c r="K73" s="35" t="inlineStr">
        <is>
          <t>Auto</t>
        </is>
      </c>
      <c r="L73" s="35" t="inlineStr">
        <is>
          <t>1d</t>
        </is>
      </c>
      <c r="M73" s="35" t="inlineStr">
        <is>
          <t>0%</t>
        </is>
      </c>
      <c r="N73" s="35" t="inlineStr">
        <is>
          <t>Not Yet Run</t>
        </is>
      </c>
      <c r="O73" s="35" t="n"/>
      <c r="P73" s="35" t="inlineStr">
        <is>
          <t>I. Data engineering!row 24</t>
        </is>
      </c>
    </row>
    <row r="74" ht="29" customHeight="1" s="40">
      <c r="A74" s="35" t="n">
        <v>70</v>
      </c>
      <c r="B74" s="35" t="inlineStr">
        <is>
          <t>J-006</t>
        </is>
      </c>
      <c r="C74" s="35" t="inlineStr">
        <is>
          <t>J</t>
        </is>
      </c>
      <c r="D74" s="35" t="inlineStr">
        <is>
          <t>SRS</t>
        </is>
      </c>
      <c r="E74" s="35" t="inlineStr">
        <is>
          <t>Productive-vs-receptive balance: total drill count is ≥30% production (output) drills, not just MCQ (recognition)</t>
        </is>
      </c>
      <c r="F74" s="35" t="inlineStr">
        <is>
          <t>Custom Python (drill-type tally)</t>
        </is>
      </c>
      <c r="G74" s="35" t="n"/>
      <c r="H74" s="35" t="inlineStr">
        <is>
          <t>SLA pedagogy researcher</t>
        </is>
      </c>
      <c r="I74" s="35" t="inlineStr">
        <is>
          <t>P4</t>
        </is>
      </c>
      <c r="J74" s="35" t="inlineStr">
        <is>
          <t>Minor</t>
        </is>
      </c>
      <c r="K74" s="35" t="inlineStr">
        <is>
          <t>Auto</t>
        </is>
      </c>
      <c r="L74" s="35" t="inlineStr">
        <is>
          <t>1d</t>
        </is>
      </c>
      <c r="M74" s="35" t="inlineStr">
        <is>
          <t>0%</t>
        </is>
      </c>
      <c r="N74" s="35" t="inlineStr">
        <is>
          <t>Not Yet Run</t>
        </is>
      </c>
      <c r="O74" s="35" t="n"/>
      <c r="P74" s="35" t="inlineStr">
        <is>
          <t>J. Pedagogy!row 10</t>
        </is>
      </c>
    </row>
    <row r="75" ht="29" customHeight="1" s="40">
      <c r="A75" s="35" t="n">
        <v>71</v>
      </c>
      <c r="B75" s="35" t="inlineStr">
        <is>
          <t>J-010</t>
        </is>
      </c>
      <c r="C75" s="35" t="inlineStr">
        <is>
          <t>J</t>
        </is>
      </c>
      <c r="D75" s="35" t="inlineStr">
        <is>
          <t>Assessment</t>
        </is>
      </c>
      <c r="E75" s="35" t="inlineStr">
        <is>
          <t>Lesson-completion time budget: each lesson takes 30–60 min for a HI-L1 learner; measured by content volume × reading speed</t>
        </is>
      </c>
      <c r="F75" s="35" t="inlineStr">
        <is>
          <t>Custom Python (lesson-budget calc)</t>
        </is>
      </c>
      <c r="G75" s="35" t="n"/>
      <c r="H75" s="35" t="inlineStr">
        <is>
          <t>SLA pedagogy researcher</t>
        </is>
      </c>
      <c r="I75" s="35" t="inlineStr">
        <is>
          <t>P4</t>
        </is>
      </c>
      <c r="J75" s="35" t="inlineStr">
        <is>
          <t>Major</t>
        </is>
      </c>
      <c r="K75" s="35" t="inlineStr">
        <is>
          <t>Auto</t>
        </is>
      </c>
      <c r="L75" s="35" t="inlineStr">
        <is>
          <t>1d</t>
        </is>
      </c>
      <c r="M75" s="35" t="inlineStr">
        <is>
          <t>0%</t>
        </is>
      </c>
      <c r="N75" s="35" t="inlineStr">
        <is>
          <t>Not Yet Run</t>
        </is>
      </c>
      <c r="O75" s="35" t="n"/>
      <c r="P75" s="35" t="inlineStr">
        <is>
          <t>J. Pedagogy!row 14</t>
        </is>
      </c>
    </row>
    <row r="76" ht="43.5" customHeight="1" s="40">
      <c r="A76" s="35" t="n">
        <v>72</v>
      </c>
      <c r="B76" s="35" t="inlineStr">
        <is>
          <t>J-011</t>
        </is>
      </c>
      <c r="C76" s="35" t="inlineStr">
        <is>
          <t>J</t>
        </is>
      </c>
      <c r="D76" s="35" t="inlineStr">
        <is>
          <t>Assessment</t>
        </is>
      </c>
      <c r="E76" s="35" t="inlineStr">
        <is>
          <t>Difficulty progression monotonicity: lesson N is no easier than lesson N-1 by a measurable proxy (vocab frequency-rank floor, kanji-stroke-count avg)</t>
        </is>
      </c>
      <c r="F76" s="35" t="inlineStr">
        <is>
          <t>Custom Python (difficulty-progression check)</t>
        </is>
      </c>
      <c r="G76" s="35" t="n"/>
      <c r="H76" s="35" t="inlineStr">
        <is>
          <t>SLA pedagogy researcher</t>
        </is>
      </c>
      <c r="I76" s="35" t="inlineStr">
        <is>
          <t>P4</t>
        </is>
      </c>
      <c r="J76" s="35" t="inlineStr">
        <is>
          <t>Major</t>
        </is>
      </c>
      <c r="K76" s="35" t="inlineStr">
        <is>
          <t>Auto</t>
        </is>
      </c>
      <c r="L76" s="35" t="inlineStr">
        <is>
          <t>1d</t>
        </is>
      </c>
      <c r="M76" s="35" t="inlineStr">
        <is>
          <t>0%</t>
        </is>
      </c>
      <c r="N76" s="35" t="inlineStr">
        <is>
          <t>Not Yet Run</t>
        </is>
      </c>
      <c r="O76" s="35" t="n"/>
      <c r="P76" s="35" t="inlineStr">
        <is>
          <t>J. Pedagogy!row 15</t>
        </is>
      </c>
    </row>
    <row r="77" ht="29" customHeight="1" s="40">
      <c r="A77" s="35" t="n">
        <v>73</v>
      </c>
      <c r="B77" s="35" t="inlineStr">
        <is>
          <t>J-012</t>
        </is>
      </c>
      <c r="C77" s="35" t="inlineStr">
        <is>
          <t>J</t>
        </is>
      </c>
      <c r="D77" s="35" t="inlineStr">
        <is>
          <t>Comparative</t>
        </is>
      </c>
      <c r="E77" s="35" t="inlineStr">
        <is>
          <t>Authentic-input ratio: ≥15% of reading + listening content is from authentic sources (signs, menus, announcements) vs constructed</t>
        </is>
      </c>
      <c r="F77" s="35" t="inlineStr">
        <is>
          <t>Custom Python</t>
        </is>
      </c>
      <c r="G77" s="35" t="n"/>
      <c r="H77" s="35" t="inlineStr">
        <is>
          <t>SLA pedagogy researcher</t>
        </is>
      </c>
      <c r="I77" s="35" t="inlineStr">
        <is>
          <t>P4</t>
        </is>
      </c>
      <c r="J77" s="35" t="inlineStr">
        <is>
          <t>Minor</t>
        </is>
      </c>
      <c r="K77" s="35" t="inlineStr">
        <is>
          <t>Auto</t>
        </is>
      </c>
      <c r="L77" s="35" t="inlineStr">
        <is>
          <t>1d</t>
        </is>
      </c>
      <c r="M77" s="35" t="inlineStr">
        <is>
          <t>0%</t>
        </is>
      </c>
      <c r="N77" s="35" t="inlineStr">
        <is>
          <t>Not Yet Run</t>
        </is>
      </c>
      <c r="O77" s="35" t="n"/>
      <c r="P77" s="35" t="inlineStr">
        <is>
          <t>J. Pedagogy!row 16</t>
        </is>
      </c>
    </row>
    <row r="78" ht="29" customHeight="1" s="40">
      <c r="A78" s="35" t="n">
        <v>74</v>
      </c>
      <c r="B78" s="35" t="inlineStr">
        <is>
          <t>J-013</t>
        </is>
      </c>
      <c r="C78" s="35" t="inlineStr">
        <is>
          <t>J</t>
        </is>
      </c>
      <c r="D78" s="35" t="inlineStr">
        <is>
          <t>Comparative</t>
        </is>
      </c>
      <c r="E78" s="35" t="inlineStr">
        <is>
          <t>Cultural-context attachment: every grammar pattern has a cultural_callout field; locked by JA-53</t>
        </is>
      </c>
      <c r="F78" s="35" t="inlineStr">
        <is>
          <t>tools/check_content_integrity.py (JA-53)</t>
        </is>
      </c>
      <c r="G78" s="35" t="n"/>
      <c r="H78" s="35" t="inlineStr">
        <is>
          <t>SLA pedagogy researcher</t>
        </is>
      </c>
      <c r="I78" s="35" t="inlineStr">
        <is>
          <t>P4</t>
        </is>
      </c>
      <c r="J78" s="35" t="inlineStr">
        <is>
          <t>Minor</t>
        </is>
      </c>
      <c r="K78" s="35" t="inlineStr">
        <is>
          <t>Auto</t>
        </is>
      </c>
      <c r="L78" s="35" t="inlineStr">
        <is>
          <t>1d</t>
        </is>
      </c>
      <c r="M78" s="35" t="inlineStr">
        <is>
          <t>0%</t>
        </is>
      </c>
      <c r="N78" s="35" t="inlineStr">
        <is>
          <t>Not Yet Run</t>
        </is>
      </c>
      <c r="O78" s="35" t="n"/>
      <c r="P78" s="35" t="inlineStr">
        <is>
          <t>J. Pedagogy!row 17</t>
        </is>
      </c>
    </row>
    <row r="79" ht="29" customHeight="1" s="40">
      <c r="A79" s="35" t="n">
        <v>75</v>
      </c>
      <c r="B79" s="35" t="inlineStr">
        <is>
          <t>N-012</t>
        </is>
      </c>
      <c r="C79" s="35" t="inlineStr">
        <is>
          <t>N</t>
        </is>
      </c>
      <c r="D79" s="35" t="inlineStr">
        <is>
          <t>Mobile / emerging-market</t>
        </is>
      </c>
      <c r="E79" s="35" t="inlineStr">
        <is>
          <t>Data-quota efficiency (per-session MB transferred)</t>
        </is>
      </c>
      <c r="F79" s="35" t="inlineStr">
        <is>
          <t>n/a — manual evaluation</t>
        </is>
      </c>
      <c r="G79" s="35" t="n"/>
      <c r="H79" s="35" t="inlineStr">
        <is>
          <t>Primary-persona learner (HI-L1, EN-L2)</t>
        </is>
      </c>
      <c r="I79" s="35" t="inlineStr">
        <is>
          <t>P4</t>
        </is>
      </c>
      <c r="J79" s="35" t="inlineStr">
        <is>
          <t>Minor</t>
        </is>
      </c>
      <c r="K79" s="35" t="inlineStr">
        <is>
          <t>Auto</t>
        </is>
      </c>
      <c r="L79" s="35" t="inlineStr">
        <is>
          <t>1wk</t>
        </is>
      </c>
      <c r="M79" s="35" t="inlineStr">
        <is>
          <t>0%</t>
        </is>
      </c>
      <c r="N79" s="35" t="inlineStr">
        <is>
          <t>Not Yet Run</t>
        </is>
      </c>
      <c r="O79" s="35" t="n"/>
      <c r="P79" s="35" t="inlineStr">
        <is>
          <t>N. End-user POV!row 16</t>
        </is>
      </c>
    </row>
    <row r="80">
      <c r="A80" s="36" t="n">
        <v>76</v>
      </c>
      <c r="B80" s="36" t="inlineStr">
        <is>
          <t>A-027</t>
        </is>
      </c>
      <c r="C80" s="36" t="inlineStr">
        <is>
          <t>A</t>
        </is>
      </c>
      <c r="D80" s="36" t="inlineStr">
        <is>
          <t>Romaji</t>
        </is>
      </c>
      <c r="E80" s="36" t="inlineStr">
        <is>
          <t>Hepburn vs Kunrei consistency across all romanized strings</t>
        </is>
      </c>
      <c r="F80" s="36" t="inlineStr">
        <is>
          <t>n/a — manual evaluation</t>
        </is>
      </c>
      <c r="G80" s="36" t="n"/>
      <c r="H80" s="36" t="inlineStr">
        <is>
          <t>Native Japanese teacher</t>
        </is>
      </c>
      <c r="I80" s="36" t="inlineStr">
        <is>
          <t>P5</t>
        </is>
      </c>
      <c r="J80" s="36" t="inlineStr">
        <is>
          <t>Minor</t>
        </is>
      </c>
      <c r="K80" s="36" t="inlineStr">
        <is>
          <t>Auto</t>
        </is>
      </c>
      <c r="L80" s="36" t="inlineStr">
        <is>
          <t>1h</t>
        </is>
      </c>
      <c r="M80" s="36" t="inlineStr">
        <is>
          <t>0%</t>
        </is>
      </c>
      <c r="N80" s="36" t="inlineStr">
        <is>
          <t>Not Yet Run</t>
        </is>
      </c>
      <c r="O80" s="36" t="n"/>
      <c r="P80" s="36" t="inlineStr">
        <is>
          <t>A. Japanese language!row 31</t>
        </is>
      </c>
    </row>
    <row r="81" ht="29" customHeight="1" s="40">
      <c r="A81" s="36" t="n">
        <v>77</v>
      </c>
      <c r="B81" s="36" t="inlineStr">
        <is>
          <t>B-005</t>
        </is>
      </c>
      <c r="C81" s="36" t="inlineStr">
        <is>
          <t>B</t>
        </is>
      </c>
      <c r="D81" s="36" t="inlineStr">
        <is>
          <t>Distractor pedagogy</t>
        </is>
      </c>
      <c r="E81" s="36" t="inlineStr">
        <is>
          <t>Distractor-uniqueness (no duplicate distractors across questions)</t>
        </is>
      </c>
      <c r="F81" s="36" t="inlineStr">
        <is>
          <t>tools/check_content_integrity.py (JA-11 — duplicate MCQ choice guard)</t>
        </is>
      </c>
      <c r="G81" s="36" t="n"/>
      <c r="H81" s="36" t="inlineStr">
        <is>
          <t>JLPT exam expert (JEES-aligned)</t>
        </is>
      </c>
      <c r="I81" s="36" t="inlineStr">
        <is>
          <t>P5</t>
        </is>
      </c>
      <c r="J81" s="36" t="inlineStr">
        <is>
          <t>Minor</t>
        </is>
      </c>
      <c r="K81" s="36" t="inlineStr">
        <is>
          <t>Auto</t>
        </is>
      </c>
      <c r="L81" s="36" t="inlineStr">
        <is>
          <t>1h</t>
        </is>
      </c>
      <c r="M81" s="36" t="inlineStr">
        <is>
          <t>0%</t>
        </is>
      </c>
      <c r="N81" s="36" t="inlineStr">
        <is>
          <t>Not Yet Run</t>
        </is>
      </c>
      <c r="O81" s="36" t="n"/>
      <c r="P81" s="36" t="inlineStr">
        <is>
          <t>B. JLPT format!row 9</t>
        </is>
      </c>
    </row>
    <row r="82" ht="29" customHeight="1" s="40">
      <c r="A82" s="36" t="n">
        <v>78</v>
      </c>
      <c r="B82" s="36" t="inlineStr">
        <is>
          <t>B-012</t>
        </is>
      </c>
      <c r="C82" s="36" t="inlineStr">
        <is>
          <t>B</t>
        </is>
      </c>
      <c r="D82" s="36" t="inlineStr">
        <is>
          <t>Item validity</t>
        </is>
      </c>
      <c r="E82" s="36" t="inlineStr">
        <is>
          <t>Item-difficulty p-value estimation (when learner data accumulates)</t>
        </is>
      </c>
      <c r="F82" s="36" t="inlineStr">
        <is>
          <t>n/a — manual evaluation</t>
        </is>
      </c>
      <c r="G82" s="36" t="n"/>
      <c r="H82" s="36" t="inlineStr">
        <is>
          <t>JLPT exam expert (JEES-aligned)</t>
        </is>
      </c>
      <c r="I82" s="36" t="inlineStr">
        <is>
          <t>P5</t>
        </is>
      </c>
      <c r="J82" s="36" t="inlineStr">
        <is>
          <t>Minor</t>
        </is>
      </c>
      <c r="K82" s="36" t="inlineStr">
        <is>
          <t>Auto</t>
        </is>
      </c>
      <c r="L82" s="36" t="inlineStr">
        <is>
          <t>4h</t>
        </is>
      </c>
      <c r="M82" s="36" t="inlineStr">
        <is>
          <t>0%</t>
        </is>
      </c>
      <c r="N82" s="36" t="inlineStr">
        <is>
          <t>Not Yet Run</t>
        </is>
      </c>
      <c r="O82" s="36" t="n"/>
      <c r="P82" s="36" t="inlineStr">
        <is>
          <t>B. JLPT format!row 16</t>
        </is>
      </c>
    </row>
    <row r="83" ht="29" customHeight="1" s="40">
      <c r="A83" s="36" t="n">
        <v>79</v>
      </c>
      <c r="B83" s="36" t="inlineStr">
        <is>
          <t>B-013</t>
        </is>
      </c>
      <c r="C83" s="36" t="inlineStr">
        <is>
          <t>B</t>
        </is>
      </c>
      <c r="D83" s="36" t="inlineStr">
        <is>
          <t>Item validity</t>
        </is>
      </c>
      <c r="E83" s="36" t="inlineStr">
        <is>
          <t>Item-discrimination (do top-scoring learners pass it?)</t>
        </is>
      </c>
      <c r="F83" s="36" t="inlineStr">
        <is>
          <t>n/a — manual evaluation</t>
        </is>
      </c>
      <c r="G83" s="36" t="n"/>
      <c r="H83" s="36" t="inlineStr">
        <is>
          <t>JLPT exam expert (JEES-aligned)</t>
        </is>
      </c>
      <c r="I83" s="36" t="inlineStr">
        <is>
          <t>P5</t>
        </is>
      </c>
      <c r="J83" s="36" t="inlineStr">
        <is>
          <t>Minor</t>
        </is>
      </c>
      <c r="K83" s="36" t="inlineStr">
        <is>
          <t>Auto</t>
        </is>
      </c>
      <c r="L83" s="36" t="inlineStr">
        <is>
          <t>4h</t>
        </is>
      </c>
      <c r="M83" s="36" t="inlineStr">
        <is>
          <t>0%</t>
        </is>
      </c>
      <c r="N83" s="36" t="inlineStr">
        <is>
          <t>Not Yet Run</t>
        </is>
      </c>
      <c r="O83" s="36" t="n"/>
      <c r="P83" s="36" t="inlineStr">
        <is>
          <t>B. JLPT format!row 17</t>
        </is>
      </c>
    </row>
    <row r="84">
      <c r="A84" s="36" t="n">
        <v>80</v>
      </c>
      <c r="B84" s="36" t="inlineStr">
        <is>
          <t>E-011</t>
        </is>
      </c>
      <c r="C84" s="36" t="inlineStr">
        <is>
          <t>E</t>
        </is>
      </c>
      <c r="D84" s="36" t="inlineStr">
        <is>
          <t>Motor</t>
        </is>
      </c>
      <c r="E84" s="36" t="inlineStr">
        <is>
          <t>Touch-target size ≥ 48x48 px on mobile</t>
        </is>
      </c>
      <c r="F84" s="36" t="inlineStr">
        <is>
          <t>n/a — manual evaluation</t>
        </is>
      </c>
      <c r="G84" s="36" t="n"/>
      <c r="H84" s="36" t="inlineStr">
        <is>
          <t>WCAG-AA auditor</t>
        </is>
      </c>
      <c r="I84" s="36" t="inlineStr">
        <is>
          <t>P5</t>
        </is>
      </c>
      <c r="J84" s="36" t="inlineStr">
        <is>
          <t>Minor</t>
        </is>
      </c>
      <c r="K84" s="36" t="inlineStr">
        <is>
          <t>Auto</t>
        </is>
      </c>
      <c r="L84" s="36" t="inlineStr">
        <is>
          <t>4h</t>
        </is>
      </c>
      <c r="M84" s="36" t="inlineStr">
        <is>
          <t>0%</t>
        </is>
      </c>
      <c r="N84" s="36" t="inlineStr">
        <is>
          <t>Not Yet Run</t>
        </is>
      </c>
      <c r="O84" s="36" t="n"/>
      <c r="P84" s="36" t="inlineStr">
        <is>
          <t>E. Accessibility!row 15</t>
        </is>
      </c>
    </row>
    <row r="85">
      <c r="A85" s="36" t="n">
        <v>81</v>
      </c>
      <c r="B85" s="36" t="inlineStr">
        <is>
          <t>F-007</t>
        </is>
      </c>
      <c r="C85" s="36" t="inlineStr">
        <is>
          <t>F</t>
        </is>
      </c>
      <c r="D85" s="36" t="inlineStr">
        <is>
          <t>CSP</t>
        </is>
      </c>
      <c r="E85" s="36" t="inlineStr">
        <is>
          <t>Referrer-Policy header</t>
        </is>
      </c>
      <c r="F85" s="36" t="inlineStr">
        <is>
          <t>n/a — manual evaluation</t>
        </is>
      </c>
      <c r="G85" s="36" t="n"/>
      <c r="H85" s="36" t="inlineStr">
        <is>
          <t>Security engineer</t>
        </is>
      </c>
      <c r="I85" s="36" t="inlineStr">
        <is>
          <t>P5</t>
        </is>
      </c>
      <c r="J85" s="36" t="inlineStr">
        <is>
          <t>Minor</t>
        </is>
      </c>
      <c r="K85" s="36" t="inlineStr">
        <is>
          <t>Auto</t>
        </is>
      </c>
      <c r="L85" s="36" t="inlineStr">
        <is>
          <t>1h</t>
        </is>
      </c>
      <c r="M85" s="36" t="inlineStr">
        <is>
          <t>0%</t>
        </is>
      </c>
      <c r="N85" s="36" t="inlineStr">
        <is>
          <t>Not Yet Run</t>
        </is>
      </c>
      <c r="O85" s="36" t="n"/>
      <c r="P85" s="36" t="inlineStr">
        <is>
          <t>F. Security!row 11</t>
        </is>
      </c>
    </row>
    <row r="86">
      <c r="A86" s="36" t="n">
        <v>82</v>
      </c>
      <c r="B86" s="36" t="inlineStr">
        <is>
          <t>F-008</t>
        </is>
      </c>
      <c r="C86" s="36" t="inlineStr">
        <is>
          <t>F</t>
        </is>
      </c>
      <c r="D86" s="36" t="inlineStr">
        <is>
          <t>CSP</t>
        </is>
      </c>
      <c r="E86" s="36" t="inlineStr">
        <is>
          <t>Permissions-Policy header (mic / camera / geolocation)</t>
        </is>
      </c>
      <c r="F86" s="36" t="inlineStr">
        <is>
          <t>n/a — manual evaluation</t>
        </is>
      </c>
      <c r="G86" s="36" t="n"/>
      <c r="H86" s="36" t="inlineStr">
        <is>
          <t>Security engineer</t>
        </is>
      </c>
      <c r="I86" s="36" t="inlineStr">
        <is>
          <t>P5</t>
        </is>
      </c>
      <c r="J86" s="36" t="inlineStr">
        <is>
          <t>Minor</t>
        </is>
      </c>
      <c r="K86" s="36" t="inlineStr">
        <is>
          <t>Auto</t>
        </is>
      </c>
      <c r="L86" s="36" t="inlineStr">
        <is>
          <t>1h</t>
        </is>
      </c>
      <c r="M86" s="36" t="inlineStr">
        <is>
          <t>0%</t>
        </is>
      </c>
      <c r="N86" s="36" t="inlineStr">
        <is>
          <t>Not Yet Run</t>
        </is>
      </c>
      <c r="O86" s="36" t="n"/>
      <c r="P86" s="36" t="inlineStr">
        <is>
          <t>F. Security!row 12</t>
        </is>
      </c>
    </row>
    <row r="87" ht="29" customHeight="1" s="40">
      <c r="A87" s="36" t="n">
        <v>83</v>
      </c>
      <c r="B87" s="36" t="inlineStr">
        <is>
          <t>H-005</t>
        </is>
      </c>
      <c r="C87" s="36" t="inlineStr">
        <is>
          <t>H</t>
        </is>
      </c>
      <c r="D87" s="36" t="inlineStr">
        <is>
          <t>Bundle size</t>
        </is>
      </c>
      <c r="E87" s="36" t="inlineStr">
        <is>
          <t>Per-route code-splitting effectiveness</t>
        </is>
      </c>
      <c r="F87" s="36" t="inlineStr">
        <is>
          <t>n/a — manual evaluation</t>
        </is>
      </c>
      <c r="G87" s="36" t="n"/>
      <c r="H87" s="36" t="inlineStr">
        <is>
          <t>Web-performance engineer</t>
        </is>
      </c>
      <c r="I87" s="36" t="inlineStr">
        <is>
          <t>P5</t>
        </is>
      </c>
      <c r="J87" s="36" t="inlineStr">
        <is>
          <t>Minor</t>
        </is>
      </c>
      <c r="K87" s="36" t="inlineStr">
        <is>
          <t>Auto</t>
        </is>
      </c>
      <c r="L87" s="36" t="inlineStr">
        <is>
          <t>4h</t>
        </is>
      </c>
      <c r="M87" s="36" t="inlineStr">
        <is>
          <t>0%</t>
        </is>
      </c>
      <c r="N87" s="36" t="inlineStr">
        <is>
          <t>Not Yet Run</t>
        </is>
      </c>
      <c r="O87" s="36" t="n"/>
      <c r="P87" s="36" t="inlineStr">
        <is>
          <t>H. Performance!row 9</t>
        </is>
      </c>
    </row>
    <row r="88" ht="29" customHeight="1" s="40">
      <c r="A88" s="36" t="n">
        <v>84</v>
      </c>
      <c r="B88" s="36" t="inlineStr">
        <is>
          <t>H-022</t>
        </is>
      </c>
      <c r="C88" s="36" t="inlineStr">
        <is>
          <t>H</t>
        </is>
      </c>
      <c r="D88" s="36" t="inlineStr">
        <is>
          <t>SEO</t>
        </is>
      </c>
      <c r="E88" s="36" t="inlineStr">
        <is>
          <t>Sitemap.xml presence + accuracy</t>
        </is>
      </c>
      <c r="F88" s="36" t="inlineStr">
        <is>
          <t>n/a — manual evaluation</t>
        </is>
      </c>
      <c r="G88" s="36" t="n"/>
      <c r="H88" s="36" t="inlineStr">
        <is>
          <t>Web-performance engineer</t>
        </is>
      </c>
      <c r="I88" s="36" t="inlineStr">
        <is>
          <t>P5</t>
        </is>
      </c>
      <c r="J88" s="36" t="inlineStr">
        <is>
          <t>Minor</t>
        </is>
      </c>
      <c r="K88" s="36" t="inlineStr">
        <is>
          <t>Auto</t>
        </is>
      </c>
      <c r="L88" s="36" t="inlineStr">
        <is>
          <t>4h</t>
        </is>
      </c>
      <c r="M88" s="36" t="inlineStr">
        <is>
          <t>0%</t>
        </is>
      </c>
      <c r="N88" s="36" t="inlineStr">
        <is>
          <t>Not Yet Run</t>
        </is>
      </c>
      <c r="O88" s="36" t="n"/>
      <c r="P88" s="36" t="inlineStr">
        <is>
          <t>H. Performance!row 26</t>
        </is>
      </c>
    </row>
    <row r="89" ht="29" customHeight="1" s="40">
      <c r="A89" s="36" t="n">
        <v>85</v>
      </c>
      <c r="B89" s="36" t="inlineStr">
        <is>
          <t>H-023</t>
        </is>
      </c>
      <c r="C89" s="36" t="inlineStr">
        <is>
          <t>H</t>
        </is>
      </c>
      <c r="D89" s="36" t="inlineStr">
        <is>
          <t>SEO</t>
        </is>
      </c>
      <c r="E89" s="36" t="inlineStr">
        <is>
          <t>Per-page meta-description + Open Graph tags</t>
        </is>
      </c>
      <c r="F89" s="36" t="inlineStr">
        <is>
          <t>n/a — manual evaluation</t>
        </is>
      </c>
      <c r="G89" s="36" t="n"/>
      <c r="H89" s="36" t="inlineStr">
        <is>
          <t>Web-performance engineer</t>
        </is>
      </c>
      <c r="I89" s="36" t="inlineStr">
        <is>
          <t>P5</t>
        </is>
      </c>
      <c r="J89" s="36" t="inlineStr">
        <is>
          <t>Minor</t>
        </is>
      </c>
      <c r="K89" s="36" t="inlineStr">
        <is>
          <t>Auto</t>
        </is>
      </c>
      <c r="L89" s="36" t="inlineStr">
        <is>
          <t>4h</t>
        </is>
      </c>
      <c r="M89" s="36" t="inlineStr">
        <is>
          <t>0%</t>
        </is>
      </c>
      <c r="N89" s="36" t="inlineStr">
        <is>
          <t>Not Yet Run</t>
        </is>
      </c>
      <c r="O89" s="36" t="n"/>
      <c r="P89" s="36" t="inlineStr">
        <is>
          <t>H. Performance!row 27</t>
        </is>
      </c>
    </row>
    <row r="90" ht="29" customHeight="1" s="40">
      <c r="A90" s="36" t="n">
        <v>86</v>
      </c>
      <c r="B90" s="36" t="inlineStr">
        <is>
          <t>H-024</t>
        </is>
      </c>
      <c r="C90" s="36" t="inlineStr">
        <is>
          <t>H</t>
        </is>
      </c>
      <c r="D90" s="36" t="inlineStr">
        <is>
          <t>SEO</t>
        </is>
      </c>
      <c r="E90" s="36" t="inlineStr">
        <is>
          <t>Canonical-URL handling</t>
        </is>
      </c>
      <c r="F90" s="36" t="inlineStr">
        <is>
          <t>n/a — manual evaluation</t>
        </is>
      </c>
      <c r="G90" s="36" t="n"/>
      <c r="H90" s="36" t="inlineStr">
        <is>
          <t>Web-performance engineer</t>
        </is>
      </c>
      <c r="I90" s="36" t="inlineStr">
        <is>
          <t>P5</t>
        </is>
      </c>
      <c r="J90" s="36" t="inlineStr">
        <is>
          <t>Minor</t>
        </is>
      </c>
      <c r="K90" s="36" t="inlineStr">
        <is>
          <t>Auto</t>
        </is>
      </c>
      <c r="L90" s="36" t="inlineStr">
        <is>
          <t>4h</t>
        </is>
      </c>
      <c r="M90" s="36" t="inlineStr">
        <is>
          <t>0%</t>
        </is>
      </c>
      <c r="N90" s="36" t="inlineStr">
        <is>
          <t>Not Yet Run</t>
        </is>
      </c>
      <c r="O90" s="36" t="n"/>
      <c r="P90" s="36" t="inlineStr">
        <is>
          <t>H. Performance!row 28</t>
        </is>
      </c>
    </row>
    <row r="91">
      <c r="A91" s="36" t="n">
        <v>87</v>
      </c>
      <c r="B91" s="36" t="inlineStr">
        <is>
          <t>I-011</t>
        </is>
      </c>
      <c r="C91" s="36" t="inlineStr">
        <is>
          <t>I</t>
        </is>
      </c>
      <c r="D91" s="36" t="inlineStr">
        <is>
          <t>Build / CI</t>
        </is>
      </c>
      <c r="E91" s="36" t="inlineStr">
        <is>
          <t>CI runtime budget (build + tests &lt; 5 min)</t>
        </is>
      </c>
      <c r="F91" s="36" t="inlineStr">
        <is>
          <t>n/a — manual evaluation</t>
        </is>
      </c>
      <c r="G91" s="36" t="n"/>
      <c r="H91" s="36" t="inlineStr">
        <is>
          <t>Data engineer</t>
        </is>
      </c>
      <c r="I91" s="36" t="inlineStr">
        <is>
          <t>P5</t>
        </is>
      </c>
      <c r="J91" s="36" t="inlineStr">
        <is>
          <t>Minor</t>
        </is>
      </c>
      <c r="K91" s="36" t="inlineStr">
        <is>
          <t>Auto</t>
        </is>
      </c>
      <c r="L91" s="36" t="inlineStr">
        <is>
          <t>4h</t>
        </is>
      </c>
      <c r="M91" s="36" t="inlineStr">
        <is>
          <t>0%</t>
        </is>
      </c>
      <c r="N91" s="36" t="inlineStr">
        <is>
          <t>Not Yet Run</t>
        </is>
      </c>
      <c r="O91" s="36" t="n"/>
      <c r="P91" s="36" t="inlineStr">
        <is>
          <t>I. Data engineering!row 15</t>
        </is>
      </c>
    </row>
    <row r="92" ht="29" customHeight="1" s="40">
      <c r="A92" s="36" t="n">
        <v>88</v>
      </c>
      <c r="B92" s="36" t="inlineStr">
        <is>
          <t>J-003</t>
        </is>
      </c>
      <c r="C92" s="36" t="inlineStr">
        <is>
          <t>J</t>
        </is>
      </c>
      <c r="D92" s="36" t="inlineStr">
        <is>
          <t>SLA</t>
        </is>
      </c>
      <c r="E92" s="36" t="inlineStr">
        <is>
          <t>Spaced-repetition interval validation: SRS algorithm produces intervals within ±20% of SuperMemo SM-2 reference</t>
        </is>
      </c>
      <c r="F92" s="36" t="inlineStr">
        <is>
          <t>Custom Python (SRS trajectory simulation)</t>
        </is>
      </c>
      <c r="G92" s="36" t="n"/>
      <c r="H92" s="36" t="inlineStr">
        <is>
          <t>SLA pedagogy researcher</t>
        </is>
      </c>
      <c r="I92" s="36" t="inlineStr">
        <is>
          <t>P5</t>
        </is>
      </c>
      <c r="J92" s="36" t="inlineStr">
        <is>
          <t>Minor</t>
        </is>
      </c>
      <c r="K92" s="36" t="inlineStr">
        <is>
          <t>Auto</t>
        </is>
      </c>
      <c r="L92" s="36" t="inlineStr">
        <is>
          <t>1d</t>
        </is>
      </c>
      <c r="M92" s="36" t="inlineStr">
        <is>
          <t>0%</t>
        </is>
      </c>
      <c r="N92" s="36" t="inlineStr">
        <is>
          <t>Not Yet Run</t>
        </is>
      </c>
      <c r="O92" s="36" t="n"/>
      <c r="P92" s="36" t="inlineStr">
        <is>
          <t>J. Pedagogy!row 7</t>
        </is>
      </c>
    </row>
    <row r="93" ht="29" customHeight="1" s="40">
      <c r="A93" s="36" t="n">
        <v>89</v>
      </c>
      <c r="B93" s="36" t="inlineStr">
        <is>
          <t>J-014</t>
        </is>
      </c>
      <c r="C93" s="36" t="inlineStr">
        <is>
          <t>J</t>
        </is>
      </c>
      <c r="D93" s="36" t="inlineStr">
        <is>
          <t>Hindi-L1 error anticipation</t>
        </is>
      </c>
      <c r="E93" s="36" t="inlineStr">
        <is>
          <t>Postposition-mapping confusion coverage: 4 most-common HI-L1 → JA particle errors have explicit teaching entries</t>
        </is>
      </c>
      <c r="F93" s="36" t="inlineStr">
        <is>
          <t>Custom Python (grammar.json contrast scan)</t>
        </is>
      </c>
      <c r="G93" s="36" t="n"/>
      <c r="H93" s="36" t="inlineStr">
        <is>
          <t>SLA pedagogy researcher</t>
        </is>
      </c>
      <c r="I93" s="36" t="inlineStr">
        <is>
          <t>P5</t>
        </is>
      </c>
      <c r="J93" s="36" t="inlineStr">
        <is>
          <t>Minor</t>
        </is>
      </c>
      <c r="K93" s="36" t="inlineStr">
        <is>
          <t>Auto</t>
        </is>
      </c>
      <c r="L93" s="36" t="inlineStr">
        <is>
          <t>1d</t>
        </is>
      </c>
      <c r="M93" s="36" t="inlineStr">
        <is>
          <t>0%</t>
        </is>
      </c>
      <c r="N93" s="36" t="inlineStr">
        <is>
          <t>Not Yet Run</t>
        </is>
      </c>
      <c r="O93" s="36" t="n"/>
      <c r="P93" s="36" t="inlineStr">
        <is>
          <t>J. Pedagogy!row 18</t>
        </is>
      </c>
    </row>
    <row r="94" ht="29" customHeight="1" s="40">
      <c r="A94" s="36" t="n">
        <v>90</v>
      </c>
      <c r="B94" s="36" t="inlineStr">
        <is>
          <t>J-015</t>
        </is>
      </c>
      <c r="C94" s="36" t="inlineStr">
        <is>
          <t>J</t>
        </is>
      </c>
      <c r="D94" s="36" t="inlineStr">
        <is>
          <t>Hindi-L1 error anticipation</t>
        </is>
      </c>
      <c r="E94" s="36" t="inlineStr">
        <is>
          <t>Pedagogical progression vs Genki/Minna alignment: chapter order matches at least one canonical textbook within ±10% drift</t>
        </is>
      </c>
      <c r="F94" s="36" t="inlineStr">
        <is>
          <t>Custom Python (rank-correlation)</t>
        </is>
      </c>
      <c r="G94" s="36" t="n"/>
      <c r="H94" s="36" t="inlineStr">
        <is>
          <t>SLA pedagogy researcher</t>
        </is>
      </c>
      <c r="I94" s="36" t="inlineStr">
        <is>
          <t>P5</t>
        </is>
      </c>
      <c r="J94" s="36" t="inlineStr">
        <is>
          <t>Minor</t>
        </is>
      </c>
      <c r="K94" s="36" t="inlineStr">
        <is>
          <t>Auto</t>
        </is>
      </c>
      <c r="L94" s="36" t="inlineStr">
        <is>
          <t>1d</t>
        </is>
      </c>
      <c r="M94" s="36" t="inlineStr">
        <is>
          <t>0%</t>
        </is>
      </c>
      <c r="N94" s="36" t="inlineStr">
        <is>
          <t>Not Yet Run</t>
        </is>
      </c>
      <c r="O94" s="36" t="n"/>
      <c r="P94" s="36" t="inlineStr">
        <is>
          <t>J. Pedagogy!row 19</t>
        </is>
      </c>
    </row>
    <row r="95">
      <c r="A95" s="36" t="n">
        <v>91</v>
      </c>
      <c r="B95" s="36" t="inlineStr">
        <is>
          <t>K-009</t>
        </is>
      </c>
      <c r="C95" s="36" t="inlineStr">
        <is>
          <t>K</t>
        </is>
      </c>
      <c r="D95" s="36" t="inlineStr">
        <is>
          <t>Visual regression</t>
        </is>
      </c>
      <c r="E95" s="36" t="inlineStr">
        <is>
          <t>Pixel-diff baseline for each route</t>
        </is>
      </c>
      <c r="F95" s="36" t="inlineStr">
        <is>
          <t>n/a — manual evaluation</t>
        </is>
      </c>
      <c r="G95" s="36" t="n"/>
      <c r="H95" s="36" t="inlineStr">
        <is>
          <t>QA tester</t>
        </is>
      </c>
      <c r="I95" s="36" t="inlineStr">
        <is>
          <t>P5</t>
        </is>
      </c>
      <c r="J95" s="36" t="inlineStr">
        <is>
          <t>Minor</t>
        </is>
      </c>
      <c r="K95" s="36" t="inlineStr">
        <is>
          <t>Auto</t>
        </is>
      </c>
      <c r="L95" s="36" t="inlineStr">
        <is>
          <t>1d</t>
        </is>
      </c>
      <c r="M95" s="36" t="inlineStr">
        <is>
          <t>0%</t>
        </is>
      </c>
      <c r="N95" s="36" t="inlineStr">
        <is>
          <t>Not Yet Run</t>
        </is>
      </c>
      <c r="O95" s="36" t="n"/>
      <c r="P95" s="36" t="inlineStr">
        <is>
          <t>K. QA testing!row 13</t>
        </is>
      </c>
    </row>
    <row r="96">
      <c r="A96" s="36" t="n">
        <v>92</v>
      </c>
      <c r="B96" s="36" t="inlineStr">
        <is>
          <t>K-010</t>
        </is>
      </c>
      <c r="C96" s="36" t="inlineStr">
        <is>
          <t>K</t>
        </is>
      </c>
      <c r="D96" s="36" t="inlineStr">
        <is>
          <t>Visual regression</t>
        </is>
      </c>
      <c r="E96" s="36" t="inlineStr">
        <is>
          <t>Layout-shift detection</t>
        </is>
      </c>
      <c r="F96" s="36" t="inlineStr">
        <is>
          <t>n/a — manual evaluation</t>
        </is>
      </c>
      <c r="G96" s="36" t="n"/>
      <c r="H96" s="36" t="inlineStr">
        <is>
          <t>QA tester</t>
        </is>
      </c>
      <c r="I96" s="36" t="inlineStr">
        <is>
          <t>P5</t>
        </is>
      </c>
      <c r="J96" s="36" t="inlineStr">
        <is>
          <t>Minor</t>
        </is>
      </c>
      <c r="K96" s="36" t="inlineStr">
        <is>
          <t>Auto</t>
        </is>
      </c>
      <c r="L96" s="36" t="inlineStr">
        <is>
          <t>1d</t>
        </is>
      </c>
      <c r="M96" s="36" t="inlineStr">
        <is>
          <t>0%</t>
        </is>
      </c>
      <c r="N96" s="36" t="inlineStr">
        <is>
          <t>Not Yet Run</t>
        </is>
      </c>
      <c r="O96" s="36" t="n"/>
      <c r="P96" s="36" t="inlineStr">
        <is>
          <t>K. QA testing!row 14</t>
        </is>
      </c>
    </row>
    <row r="97">
      <c r="A97" s="36" t="n">
        <v>93</v>
      </c>
      <c r="B97" s="36" t="inlineStr">
        <is>
          <t>M-009</t>
        </is>
      </c>
      <c r="C97" s="36" t="inlineStr">
        <is>
          <t>M</t>
        </is>
      </c>
      <c r="D97" s="36" t="inlineStr">
        <is>
          <t>Documentation</t>
        </is>
      </c>
      <c r="E97" s="36" t="inlineStr">
        <is>
          <t>Cross-link integrity within /docs</t>
        </is>
      </c>
      <c r="F97" s="36" t="inlineStr">
        <is>
          <t>n/a — manual evaluation</t>
        </is>
      </c>
      <c r="G97" s="36" t="n"/>
      <c r="H97" s="36" t="inlineStr">
        <is>
          <t>DevOps / SRE</t>
        </is>
      </c>
      <c r="I97" s="36" t="inlineStr">
        <is>
          <t>P5</t>
        </is>
      </c>
      <c r="J97" s="36" t="inlineStr">
        <is>
          <t>Minor</t>
        </is>
      </c>
      <c r="K97" s="36" t="inlineStr">
        <is>
          <t>Auto</t>
        </is>
      </c>
      <c r="L97" s="36" t="inlineStr">
        <is>
          <t>4h</t>
        </is>
      </c>
      <c r="M97" s="36" t="inlineStr">
        <is>
          <t>0%</t>
        </is>
      </c>
      <c r="N97" s="36" t="inlineStr">
        <is>
          <t>Not Yet Run</t>
        </is>
      </c>
      <c r="O97" s="36" t="n"/>
      <c r="P97" s="36" t="inlineStr">
        <is>
          <t>M. Operations!row 13</t>
        </is>
      </c>
    </row>
    <row r="99">
      <c r="A99" s="37" t="inlineStr">
        <is>
          <t>Summary by priority:</t>
        </is>
      </c>
    </row>
    <row r="100">
      <c r="A100" t="inlineStr">
        <is>
          <t>P1</t>
        </is>
      </c>
      <c r="B100" t="n">
        <v>10</v>
      </c>
      <c r="C100" t="inlineStr">
        <is>
          <t>10.8%</t>
        </is>
      </c>
    </row>
    <row r="101">
      <c r="A101" t="inlineStr">
        <is>
          <t>P2</t>
        </is>
      </c>
      <c r="B101" t="n">
        <v>11</v>
      </c>
      <c r="C101" t="inlineStr">
        <is>
          <t>11.8%</t>
        </is>
      </c>
    </row>
    <row r="102">
      <c r="A102" t="inlineStr">
        <is>
          <t>P3</t>
        </is>
      </c>
      <c r="B102" t="n">
        <v>45</v>
      </c>
      <c r="C102" t="inlineStr">
        <is>
          <t>48.4%</t>
        </is>
      </c>
    </row>
    <row r="103">
      <c r="A103" t="inlineStr">
        <is>
          <t>P4</t>
        </is>
      </c>
      <c r="B103" t="n">
        <v>9</v>
      </c>
      <c r="C103" t="inlineStr">
        <is>
          <t>9.7%</t>
        </is>
      </c>
    </row>
    <row r="104">
      <c r="A104" t="inlineStr">
        <is>
          <t>P5</t>
        </is>
      </c>
      <c r="B104" t="n">
        <v>18</v>
      </c>
      <c r="C104" t="inlineStr">
        <is>
          <t>19.4%</t>
        </is>
      </c>
    </row>
    <row r="106">
      <c r="A106" s="37" t="inlineStr">
        <is>
          <t>With CI invariant linkage:</t>
        </is>
      </c>
      <c r="B106" t="inlineStr">
        <is>
          <t>21 / 93 (22.6%)</t>
        </is>
      </c>
    </row>
  </sheetData>
  <autoFilter ref="A4:P97"/>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45"/>
  <sheetViews>
    <sheetView workbookViewId="0">
      <pane ySplit="4" topLeftCell="A5" activePane="bottomLeft" state="frozen"/>
      <selection pane="bottomLeft" activeCell="H24" sqref="H24"/>
    </sheetView>
  </sheetViews>
  <sheetFormatPr baseColWidth="8" defaultRowHeight="14.5"/>
  <cols>
    <col width="10" customWidth="1" style="40" min="1" max="1"/>
    <col width="19.08984375" customWidth="1" style="40" min="2" max="2"/>
    <col width="9.08984375" customWidth="1" style="40" min="3" max="3"/>
    <col width="43.6328125" customWidth="1" style="40" min="4" max="4"/>
    <col width="50.90625" customWidth="1" style="40" min="5" max="5"/>
    <col width="40" customWidth="1" style="40" min="6" max="6"/>
    <col width="14.54296875" customWidth="1" style="40" min="7" max="7"/>
    <col width="16.36328125" customWidth="1" style="40" min="8" max="8"/>
    <col width="14.54296875" customWidth="1" style="40" min="9" max="9"/>
    <col width="32.7265625" customWidth="1" style="40" min="10" max="10"/>
    <col width="16" customWidth="1" style="40" min="11" max="11"/>
    <col width="24" customWidth="1" style="40" min="12" max="12"/>
    <col width="32" customWidth="1" style="40" min="13" max="13"/>
    <col width="14" customWidth="1" style="40" min="14" max="15"/>
    <col width="18" customWidth="1" style="40" min="16" max="16"/>
    <col width="16" customWidth="1" style="40" min="17" max="17"/>
    <col width="12" customWidth="1" style="40" min="18" max="18"/>
  </cols>
  <sheetData>
    <row r="1" ht="28" customHeight="1" s="40">
      <c r="A1" s="39" t="inlineStr">
        <is>
          <t>A. Japanese language</t>
        </is>
      </c>
    </row>
    <row r="2" ht="36" customHeight="1" s="40">
      <c r="A2" s="42" t="inlineStr">
        <is>
          <t>Perspectives: Native Japanese teacher, JLPT-N5 specialist, pitch-accent, TTS-reviewer, sociolinguist, translator, counter specialist, kanji specialist, romaji, furigana</t>
        </is>
      </c>
    </row>
    <row r="4" ht="24" customHeight="1" s="40">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6" customHeight="1" s="40">
      <c r="A5" s="7" t="inlineStr">
        <is>
          <t>A-001</t>
        </is>
      </c>
      <c r="B5" s="5" t="inlineStr">
        <is>
          <t>Naturalness</t>
        </is>
      </c>
      <c r="C5" s="6" t="inlineStr">
        <is>
          <t>1</t>
        </is>
      </c>
      <c r="D5" s="5" t="inlineStr">
        <is>
          <t>Random-sample 200 vocab examples for native-speaker naturalness</t>
        </is>
      </c>
      <c r="E5" s="5"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5" t="inlineStr">
        <is>
          <t>≥98% NATURAL, 0 UNNATURAL with high confidence</t>
        </is>
      </c>
      <c r="G5" s="6" t="inlineStr">
        <is>
          <t>P2</t>
        </is>
      </c>
      <c r="H5" s="6" t="inlineStr">
        <is>
          <t>Major</t>
        </is>
      </c>
      <c r="I5" s="6" t="inlineStr">
        <is>
          <t>Manual</t>
        </is>
      </c>
      <c r="J5" s="5"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O5" t="inlineStr">
        <is>
          <t>Not Yet Run</t>
        </is>
      </c>
      <c r="Q5" t="inlineStr">
        <is>
          <t>—</t>
        </is>
      </c>
      <c r="R5" t="inlineStr">
        <is>
          <t>0%</t>
        </is>
      </c>
    </row>
    <row r="6" ht="43" customHeight="1" s="40">
      <c r="A6" s="7" t="inlineStr">
        <is>
          <t>A-002</t>
        </is>
      </c>
      <c r="B6" s="5" t="inlineStr">
        <is>
          <t>Naturalness</t>
        </is>
      </c>
      <c r="C6" s="6" t="inlineStr">
        <is>
          <t>1</t>
        </is>
      </c>
      <c r="D6" s="5" t="inlineStr">
        <is>
          <t>Random-sample 100 grammar pattern examples for register coherence</t>
        </is>
      </c>
      <c r="E6" s="5" t="inlineStr">
        <is>
          <t>1. Random-sample 100 grammar.json examples
2. Verify register inside each example is consistent
3. Flag mixed plain だ + polite です</t>
        </is>
      </c>
      <c r="F6" s="5" t="inlineStr">
        <is>
          <t>0 register-mixing within an example</t>
        </is>
      </c>
      <c r="G6" s="6" t="inlineStr">
        <is>
          <t>P2</t>
        </is>
      </c>
      <c r="H6" s="6" t="inlineStr">
        <is>
          <t>Major</t>
        </is>
      </c>
      <c r="I6" s="6" t="inlineStr">
        <is>
          <t>Manual</t>
        </is>
      </c>
      <c r="J6" s="5" t="inlineStr">
        <is>
          <t>Programmatic L4 check covers across-passage; intra-example may differ</t>
        </is>
      </c>
      <c r="K6" t="inlineStr">
        <is>
          <t>1d</t>
        </is>
      </c>
      <c r="L6" t="inlineStr">
        <is>
          <t>Native Japanese teacher</t>
        </is>
      </c>
      <c r="M6" t="inlineStr">
        <is>
          <t>n/a — manual evaluation</t>
        </is>
      </c>
      <c r="O6" t="inlineStr">
        <is>
          <t>Not Yet Run</t>
        </is>
      </c>
      <c r="Q6" t="inlineStr">
        <is>
          <t>—</t>
        </is>
      </c>
      <c r="R6" t="inlineStr">
        <is>
          <t>0%</t>
        </is>
      </c>
    </row>
    <row r="7" ht="37" customHeight="1" s="40">
      <c r="A7" s="7" t="inlineStr">
        <is>
          <t>A-003</t>
        </is>
      </c>
      <c r="B7" s="5" t="inlineStr">
        <is>
          <t>Naturalness</t>
        </is>
      </c>
      <c r="C7" s="6" t="inlineStr">
        <is>
          <t>1</t>
        </is>
      </c>
      <c r="D7" s="5" t="inlineStr">
        <is>
          <t>Sample 50 listening scripts for cross-line register coherence</t>
        </is>
      </c>
      <c r="E7" s="5" t="inlineStr">
        <is>
          <t>1. Pull 50 listening.json items
2. Native teacher reads full dialogue
3. Flag unintended polite/casual switching</t>
        </is>
      </c>
      <c r="F7" s="5" t="inlineStr">
        <is>
          <t>Register changes only when narratively justified</t>
        </is>
      </c>
      <c r="G7" s="6" t="inlineStr">
        <is>
          <t>P2</t>
        </is>
      </c>
      <c r="H7" s="6" t="inlineStr">
        <is>
          <t>Major</t>
        </is>
      </c>
      <c r="I7" s="6" t="inlineStr">
        <is>
          <t>Manual</t>
        </is>
      </c>
      <c r="J7" s="5" t="inlineStr">
        <is>
          <t>Dialogue-level not currently checked</t>
        </is>
      </c>
      <c r="K7" t="inlineStr">
        <is>
          <t>1d</t>
        </is>
      </c>
      <c r="L7" t="inlineStr">
        <is>
          <t>Native Japanese teacher</t>
        </is>
      </c>
      <c r="M7" t="inlineStr">
        <is>
          <t>n/a — manual evaluation</t>
        </is>
      </c>
      <c r="O7" t="inlineStr">
        <is>
          <t>Not Yet Run</t>
        </is>
      </c>
      <c r="Q7" t="inlineStr">
        <is>
          <t>—</t>
        </is>
      </c>
      <c r="R7" t="inlineStr">
        <is>
          <t>0%</t>
        </is>
      </c>
    </row>
    <row r="8" ht="35" customHeight="1" s="40">
      <c r="A8" s="7" t="inlineStr">
        <is>
          <t>A-004</t>
        </is>
      </c>
      <c r="B8" s="5" t="inlineStr">
        <is>
          <t>Naturalness</t>
        </is>
      </c>
      <c r="C8" s="6" t="inlineStr">
        <is>
          <t>1</t>
        </is>
      </c>
      <c r="D8" s="5" t="inlineStr">
        <is>
          <t>Sample 80 reading passages for paragraph-flow naturalness</t>
        </is>
      </c>
      <c r="E8" s="5" t="inlineStr">
        <is>
          <t>1. Pull all 54 reading.json passages + 26 dokkai
2. Verify sentence-to-sentence cohesion (接続 / 指示 / 省略 use)</t>
        </is>
      </c>
      <c r="F8" s="5" t="inlineStr">
        <is>
          <t>All passages flow as a native author would write them</t>
        </is>
      </c>
      <c r="G8" s="6" t="inlineStr">
        <is>
          <t>P2</t>
        </is>
      </c>
      <c r="H8" s="6" t="inlineStr">
        <is>
          <t>Major</t>
        </is>
      </c>
      <c r="I8" s="6" t="inlineStr">
        <is>
          <t>Manual</t>
        </is>
      </c>
      <c r="J8" s="5" t="inlineStr">
        <is>
          <t>No automated check today — manual only.</t>
        </is>
      </c>
      <c r="K8" t="inlineStr">
        <is>
          <t>1d</t>
        </is>
      </c>
      <c r="L8" t="inlineStr">
        <is>
          <t>Native Japanese teacher</t>
        </is>
      </c>
      <c r="M8" t="inlineStr">
        <is>
          <t>n/a — manual evaluation</t>
        </is>
      </c>
      <c r="O8" t="inlineStr">
        <is>
          <t>Not Yet Run</t>
        </is>
      </c>
      <c r="Q8" t="inlineStr">
        <is>
          <t>—</t>
        </is>
      </c>
      <c r="R8" t="inlineStr">
        <is>
          <t>0%</t>
        </is>
      </c>
    </row>
    <row r="9" ht="48" customHeight="1" s="40">
      <c r="A9" s="7" t="inlineStr">
        <is>
          <t>A-005</t>
        </is>
      </c>
      <c r="B9" s="5" t="inlineStr">
        <is>
          <t>Particles</t>
        </is>
      </c>
      <c r="C9" s="6" t="inlineStr">
        <is>
          <t>1</t>
        </is>
      </c>
      <c r="D9" s="5" t="inlineStr">
        <is>
          <t>は vs が discourse-choice in topic-introduction contexts</t>
        </is>
      </c>
      <c r="E9" s="5" t="inlineStr">
        <is>
          <t>1. Filter all sentences containing は OR が as topic marker (not contrast/exclusive)
2. Verify per-context: は = known, が = new info
3. Flag misuse</t>
        </is>
      </c>
      <c r="F9" s="5" t="inlineStr">
        <is>
          <t>0 discourse-incorrect は/が in shipped sentences</t>
        </is>
      </c>
      <c r="G9" s="6" t="inlineStr">
        <is>
          <t>P2</t>
        </is>
      </c>
      <c r="H9" s="6" t="inlineStr">
        <is>
          <t>Major</t>
        </is>
      </c>
      <c r="I9" s="6" t="inlineStr">
        <is>
          <t>Manual</t>
        </is>
      </c>
      <c r="J9" s="5" t="inlineStr">
        <is>
          <t>Currently listed as Not Checked / requires semantic context | Related: BUG-009 (が-pattern using は) — A-036 new.</t>
        </is>
      </c>
      <c r="K9" t="inlineStr">
        <is>
          <t>1d</t>
        </is>
      </c>
      <c r="L9" t="inlineStr">
        <is>
          <t>Native Japanese teacher</t>
        </is>
      </c>
      <c r="M9" t="inlineStr">
        <is>
          <t>n/a — manual evaluation</t>
        </is>
      </c>
      <c r="O9" t="inlineStr">
        <is>
          <t>Not Yet Run</t>
        </is>
      </c>
      <c r="Q9" t="inlineStr">
        <is>
          <t>—</t>
        </is>
      </c>
      <c r="R9" t="inlineStr">
        <is>
          <t>0%</t>
        </is>
      </c>
    </row>
    <row r="10" ht="32" customHeight="1" s="40">
      <c r="A10" s="7" t="inlineStr">
        <is>
          <t>A-006</t>
        </is>
      </c>
      <c r="B10" s="5" t="inlineStr">
        <is>
          <t>Particles</t>
        </is>
      </c>
      <c r="C10" s="6" t="inlineStr">
        <is>
          <t>1</t>
        </is>
      </c>
      <c r="D10" s="5" t="inlineStr">
        <is>
          <t>に vs で disambiguation for movement vs activity locations</t>
        </is>
      </c>
      <c r="E10" s="5" t="inlineStr">
        <is>
          <t>1. Filter sentences with both に + で
2. Verify each particle's role per verb
3. Flag swapped usage</t>
        </is>
      </c>
      <c r="F10" s="5" t="inlineStr">
        <is>
          <t>0 swapped に/で usage</t>
        </is>
      </c>
      <c r="G10" s="6" t="inlineStr">
        <is>
          <t>P2</t>
        </is>
      </c>
      <c r="H10" s="6" t="inlineStr">
        <is>
          <t>Major</t>
        </is>
      </c>
      <c r="I10" s="6" t="inlineStr">
        <is>
          <t>Manual</t>
        </is>
      </c>
      <c r="J10" s="5" t="inlineStr">
        <is>
          <t>AUDIT-COVERAGE flags this dimension explicitly</t>
        </is>
      </c>
      <c r="K10" t="inlineStr">
        <is>
          <t>1d</t>
        </is>
      </c>
      <c r="L10" t="inlineStr">
        <is>
          <t>Native Japanese teacher</t>
        </is>
      </c>
      <c r="M10" t="inlineStr">
        <is>
          <t>n/a — manual evaluation</t>
        </is>
      </c>
      <c r="O10" t="inlineStr">
        <is>
          <t>Not Yet Run</t>
        </is>
      </c>
      <c r="Q10" t="inlineStr">
        <is>
          <t>—</t>
        </is>
      </c>
      <c r="R10" t="inlineStr">
        <is>
          <t>0%</t>
        </is>
      </c>
    </row>
    <row r="11" ht="30" customHeight="1" s="40">
      <c r="A11" s="7" t="inlineStr">
        <is>
          <t>A-007</t>
        </is>
      </c>
      <c r="B11" s="5" t="inlineStr">
        <is>
          <t>Particles</t>
        </is>
      </c>
      <c r="C11" s="6" t="inlineStr">
        <is>
          <t>1</t>
        </is>
      </c>
      <c r="D11" s="5" t="inlineStr">
        <is>
          <t>を vs が with potential-form verbs (好き / できる / わかる)</t>
        </is>
      </c>
      <c r="E11" s="5" t="inlineStr">
        <is>
          <t>1. Scan all sentences with 好き / できる / わかる / ほしい
2. Confirm particle = が</t>
        </is>
      </c>
      <c r="F11" s="5" t="inlineStr">
        <is>
          <t>All stative-adj + want-verb sentences use が</t>
        </is>
      </c>
      <c r="G11" s="6" t="inlineStr">
        <is>
          <t>P1</t>
        </is>
      </c>
      <c r="H11" s="6" t="inlineStr">
        <is>
          <t>Critical</t>
        </is>
      </c>
      <c r="I11" s="6" t="inlineStr">
        <is>
          <t>Auto+Manual</t>
        </is>
      </c>
      <c r="J11" s="5" t="inlineStr">
        <is>
          <t>JA-88 already locks the 14 named patterns; this is the extension scan | Related: BUG-009 (particle alignment) — A-036 new.</t>
        </is>
      </c>
      <c r="K11" t="inlineStr">
        <is>
          <t>1d</t>
        </is>
      </c>
      <c r="L11" t="inlineStr">
        <is>
          <t>Native Japanese teacher</t>
        </is>
      </c>
      <c r="M11" t="inlineStr">
        <is>
          <t>n/a — manual evaluation</t>
        </is>
      </c>
      <c r="O11" t="inlineStr">
        <is>
          <t>Not Yet Run</t>
        </is>
      </c>
      <c r="Q11" t="inlineStr">
        <is>
          <t>—</t>
        </is>
      </c>
      <c r="R11" t="inlineStr">
        <is>
          <t>0%</t>
        </is>
      </c>
    </row>
    <row r="12" ht="42" customHeight="1" s="40">
      <c r="A12" s="7" t="inlineStr">
        <is>
          <t>A-008</t>
        </is>
      </c>
      <c r="B12" s="5" t="inlineStr">
        <is>
          <t>Conjugation</t>
        </is>
      </c>
      <c r="C12" s="6" t="inlineStr">
        <is>
          <t>1</t>
        </is>
      </c>
      <c r="D12" s="5" t="inlineStr">
        <is>
          <t>Verb-class accuracy: dictionary-form vs class tag</t>
        </is>
      </c>
      <c r="E12" s="5" t="inlineStr">
        <is>
          <t>1. For every vocab verb entry, verify pos.verb_class matches dictionary-form shape
2. Flag mismatches (e.g., 帰る tagged ichidan)</t>
        </is>
      </c>
      <c r="F12" s="5" t="inlineStr">
        <is>
          <t>0 mis-tagged verbs</t>
        </is>
      </c>
      <c r="G12" s="6" t="inlineStr">
        <is>
          <t>P1</t>
        </is>
      </c>
      <c r="H12" s="6" t="inlineStr">
        <is>
          <t>Critical</t>
        </is>
      </c>
      <c r="I12" s="6" t="inlineStr">
        <is>
          <t>Auto</t>
        </is>
      </c>
      <c r="J12" s="5"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O12" t="inlineStr">
        <is>
          <t>Not Yet Run</t>
        </is>
      </c>
      <c r="Q12" t="inlineStr">
        <is>
          <t>—</t>
        </is>
      </c>
      <c r="R12" t="inlineStr">
        <is>
          <t>0%</t>
        </is>
      </c>
    </row>
    <row r="13" ht="47" customHeight="1" s="40">
      <c r="A13" s="7" t="inlineStr">
        <is>
          <t>A-009</t>
        </is>
      </c>
      <c r="B13" s="5" t="inlineStr">
        <is>
          <t>Conjugation</t>
        </is>
      </c>
      <c r="C13" s="6" t="inlineStr">
        <is>
          <t>1</t>
        </is>
      </c>
      <c r="D13" s="5" t="inlineStr">
        <is>
          <t>Past + negative + past-negative formation correctness across all 1009 verb entries</t>
        </is>
      </c>
      <c r="E13" s="5" t="inlineStr">
        <is>
          <t>1. Generate past/neg/past-neg programmatically per verb_class
2. Cross-check against any example forms in entries
3. Manual review of 50 random</t>
        </is>
      </c>
      <c r="F13" s="5" t="inlineStr">
        <is>
          <t>All inflected forms match canonical conjugation rules</t>
        </is>
      </c>
      <c r="G13" s="6" t="inlineStr">
        <is>
          <t>P2</t>
        </is>
      </c>
      <c r="H13" s="6" t="inlineStr">
        <is>
          <t>Major</t>
        </is>
      </c>
      <c r="I13" s="6" t="inlineStr">
        <is>
          <t>Hybrid</t>
        </is>
      </c>
      <c r="J13" s="5" t="inlineStr">
        <is>
          <t>No automated check today — manual only.</t>
        </is>
      </c>
      <c r="K13" t="inlineStr">
        <is>
          <t>1d</t>
        </is>
      </c>
      <c r="L13" t="inlineStr">
        <is>
          <t>Native Japanese teacher</t>
        </is>
      </c>
      <c r="M13" t="inlineStr">
        <is>
          <t>n/a — manual evaluation</t>
        </is>
      </c>
      <c r="O13" t="inlineStr">
        <is>
          <t>Not Yet Run</t>
        </is>
      </c>
      <c r="Q13" t="inlineStr">
        <is>
          <t>—</t>
        </is>
      </c>
      <c r="R13" t="inlineStr">
        <is>
          <t>0%</t>
        </is>
      </c>
    </row>
    <row r="14" ht="36" customHeight="1" s="40">
      <c r="A14" s="7" t="inlineStr">
        <is>
          <t>A-010</t>
        </is>
      </c>
      <c r="B14" s="5" t="inlineStr">
        <is>
          <t>Conjugation</t>
        </is>
      </c>
      <c r="C14" s="6" t="inlineStr">
        <is>
          <t>1</t>
        </is>
      </c>
      <c r="D14" s="5" t="inlineStr">
        <is>
          <t>I-adj vs Na-adj conjugation in shipped examples</t>
        </is>
      </c>
      <c r="E14" s="5" t="inlineStr">
        <is>
          <t>1. Scan all adjectives + their example forms
2. Verify い-adj uses くて/くない/かった
3. Verify な-adj uses で/じゃない/だった</t>
        </is>
      </c>
      <c r="F14" s="5" t="inlineStr">
        <is>
          <t>0 conjugation-class violations</t>
        </is>
      </c>
      <c r="G14" s="6" t="inlineStr">
        <is>
          <t>P1</t>
        </is>
      </c>
      <c r="H14" s="6" t="inlineStr">
        <is>
          <t>Critical</t>
        </is>
      </c>
      <c r="I14" s="6" t="inlineStr">
        <is>
          <t>Hybrid</t>
        </is>
      </c>
      <c r="J14" s="5" t="inlineStr">
        <is>
          <t>Wave-2 caught 0; broader sample could surface more</t>
        </is>
      </c>
      <c r="K14" t="inlineStr">
        <is>
          <t>1d</t>
        </is>
      </c>
      <c r="L14" t="inlineStr">
        <is>
          <t>Native Japanese teacher</t>
        </is>
      </c>
      <c r="M14" t="inlineStr">
        <is>
          <t>n/a — manual evaluation</t>
        </is>
      </c>
      <c r="O14" t="inlineStr">
        <is>
          <t>Not Yet Run</t>
        </is>
      </c>
      <c r="Q14" t="inlineStr">
        <is>
          <t>—</t>
        </is>
      </c>
      <c r="R14" t="inlineStr">
        <is>
          <t>0%</t>
        </is>
      </c>
    </row>
    <row r="15" ht="56" customHeight="1" s="40">
      <c r="A15" s="7" t="inlineStr">
        <is>
          <t>A-011</t>
        </is>
      </c>
      <c r="B15" s="5" t="inlineStr">
        <is>
          <t>Honorifics</t>
        </is>
      </c>
      <c r="C15" s="6" t="inlineStr">
        <is>
          <t>5</t>
        </is>
      </c>
      <c r="D15" s="5" t="inlineStr">
        <is>
          <t>尊敬語 form usage in customer/employee dialogue contexts</t>
        </is>
      </c>
      <c r="E15" s="5" t="inlineStr">
        <is>
          <t>1. Filter dialogues with role labels (店員, お客様, 先生, 学生)
2. Verify 尊敬語 (お~になる / いらっしゃる / ご~ください) on superior's actions
3. Verify 謙譲語 (お~する / 伺う / 申す) on inferior's actions</t>
        </is>
      </c>
      <c r="F15" s="5" t="inlineStr">
        <is>
          <t>Keigo register correct per role</t>
        </is>
      </c>
      <c r="G15" s="6" t="inlineStr">
        <is>
          <t>P3</t>
        </is>
      </c>
      <c r="H15" s="6" t="inlineStr">
        <is>
          <t>Major</t>
        </is>
      </c>
      <c r="I15" s="6" t="inlineStr">
        <is>
          <t>Manual</t>
        </is>
      </c>
      <c r="J15" s="5" t="inlineStr">
        <is>
          <t>AUDIT-COVERAGE: 'Not checked / requires N3+ pragmatic analysis'</t>
        </is>
      </c>
      <c r="K15" t="inlineStr">
        <is>
          <t>1d</t>
        </is>
      </c>
      <c r="L15" t="inlineStr">
        <is>
          <t>Native Japanese teacher</t>
        </is>
      </c>
      <c r="M15" t="inlineStr">
        <is>
          <t>n/a — manual evaluation</t>
        </is>
      </c>
      <c r="O15" t="inlineStr">
        <is>
          <t>Not Yet Run</t>
        </is>
      </c>
      <c r="Q15" t="inlineStr">
        <is>
          <t>—</t>
        </is>
      </c>
      <c r="R15" t="inlineStr">
        <is>
          <t>0%</t>
        </is>
      </c>
    </row>
    <row r="16" ht="41" customHeight="1" s="40">
      <c r="A16" s="7" t="inlineStr">
        <is>
          <t>A-012</t>
        </is>
      </c>
      <c r="B16" s="5" t="inlineStr">
        <is>
          <t>Honorifics</t>
        </is>
      </c>
      <c r="C16" s="6" t="inlineStr">
        <is>
          <t>5</t>
        </is>
      </c>
      <c r="D16" s="5" t="inlineStr">
        <is>
          <t>Polite-prefix お / ご correctness on noun classes</t>
        </is>
      </c>
      <c r="E16" s="5" t="inlineStr">
        <is>
          <t>1. Filter all お~ / ご~ noun examples
2. Verify お for wago (お茶, お水), ご for kango (ご飯 is exception)
3. Flag mis-prefixed entries</t>
        </is>
      </c>
      <c r="F16" s="5" t="inlineStr">
        <is>
          <t>All お/ご prefixes follow wago/kango rules with documented exceptions</t>
        </is>
      </c>
      <c r="G16" s="6" t="inlineStr">
        <is>
          <t>P3</t>
        </is>
      </c>
      <c r="H16" s="6" t="inlineStr">
        <is>
          <t>Major</t>
        </is>
      </c>
      <c r="I16" s="6" t="inlineStr">
        <is>
          <t>Hybrid</t>
        </is>
      </c>
      <c r="J16" s="5" t="inlineStr">
        <is>
          <t>No automated check today — manual only.</t>
        </is>
      </c>
      <c r="K16" t="inlineStr">
        <is>
          <t>1d</t>
        </is>
      </c>
      <c r="L16" t="inlineStr">
        <is>
          <t>Native Japanese teacher</t>
        </is>
      </c>
      <c r="M16" t="inlineStr">
        <is>
          <t>n/a — manual evaluation</t>
        </is>
      </c>
      <c r="O16" t="inlineStr">
        <is>
          <t>Not Yet Run</t>
        </is>
      </c>
      <c r="Q16" t="inlineStr">
        <is>
          <t>—</t>
        </is>
      </c>
      <c r="R16" t="inlineStr">
        <is>
          <t>0%</t>
        </is>
      </c>
    </row>
    <row r="17" ht="43" customHeight="1" s="40">
      <c r="A17" s="7" t="inlineStr">
        <is>
          <t>A-013</t>
        </is>
      </c>
      <c r="B17" s="5" t="inlineStr">
        <is>
          <t>Honorifics</t>
        </is>
      </c>
      <c r="C17" s="6" t="inlineStr">
        <is>
          <t>5</t>
        </is>
      </c>
      <c r="D17" s="5" t="inlineStr">
        <is>
          <t>Gendered sentence-final particles (わ, ぞ, ぜ) appropriateness</t>
        </is>
      </c>
      <c r="E17" s="5" t="inlineStr">
        <is>
          <t>1. Scan all dialogue lines for わ / ぞ / ぜ / わよ / だぜ
2. Verify speaker-role tag matches gender-register convention
3. Flag mismatches</t>
        </is>
      </c>
      <c r="F17" s="5" t="inlineStr">
        <is>
          <t>Gendered particles match speaker role</t>
        </is>
      </c>
      <c r="G17" s="6" t="inlineStr">
        <is>
          <t>P5</t>
        </is>
      </c>
      <c r="H17" s="6" t="inlineStr">
        <is>
          <t>Minor</t>
        </is>
      </c>
      <c r="I17" s="6" t="inlineStr">
        <is>
          <t>Manual</t>
        </is>
      </c>
      <c r="J17" s="5" t="inlineStr">
        <is>
          <t>May intentionally include stylized speech</t>
        </is>
      </c>
      <c r="K17" t="inlineStr">
        <is>
          <t>1d</t>
        </is>
      </c>
      <c r="L17" t="inlineStr">
        <is>
          <t>Native Japanese teacher</t>
        </is>
      </c>
      <c r="M17" t="inlineStr">
        <is>
          <t>n/a — manual evaluation</t>
        </is>
      </c>
      <c r="O17" t="inlineStr">
        <is>
          <t>Not Yet Run</t>
        </is>
      </c>
      <c r="Q17" t="inlineStr">
        <is>
          <t>—</t>
        </is>
      </c>
      <c r="R17" t="inlineStr">
        <is>
          <t>0%</t>
        </is>
      </c>
    </row>
    <row r="18" ht="45" customHeight="1" s="40">
      <c r="A18" s="7" t="inlineStr">
        <is>
          <t>A-014</t>
        </is>
      </c>
      <c r="B18" s="5" t="inlineStr">
        <is>
          <t>Counters</t>
        </is>
      </c>
      <c r="C18" s="6" t="inlineStr">
        <is>
          <t>7</t>
        </is>
      </c>
      <c r="D18" s="5" t="inlineStr">
        <is>
          <t>Counter rendaku correctness across all numeric+counter pairs</t>
        </is>
      </c>
      <c r="E18" s="5" t="inlineStr">
        <is>
          <t>1. Scan all sentences with 数字+counter
2. Verify rendaku per phonological rules (3本=さんぼん, 6本=ろっぽん, 8本=はっぽん)
3. Manual review of 50 random</t>
        </is>
      </c>
      <c r="F18" s="5" t="inlineStr">
        <is>
          <t>All rendaku alternants spelled correctly</t>
        </is>
      </c>
      <c r="G18" s="6" t="inlineStr">
        <is>
          <t>P2</t>
        </is>
      </c>
      <c r="H18" s="6" t="inlineStr">
        <is>
          <t>Major</t>
        </is>
      </c>
      <c r="I18" s="6" t="inlineStr">
        <is>
          <t>Auto+Manual</t>
        </is>
      </c>
      <c r="J18" s="5" t="inlineStr">
        <is>
          <t>FP-5 documented; rendaku set may be incomplete</t>
        </is>
      </c>
      <c r="K18" t="inlineStr">
        <is>
          <t>1d</t>
        </is>
      </c>
      <c r="L18" t="inlineStr">
        <is>
          <t>Native Japanese teacher</t>
        </is>
      </c>
      <c r="M18" t="inlineStr">
        <is>
          <t>n/a — manual evaluation</t>
        </is>
      </c>
      <c r="O18" t="inlineStr">
        <is>
          <t>Not Yet Run</t>
        </is>
      </c>
      <c r="Q18" t="inlineStr">
        <is>
          <t>—</t>
        </is>
      </c>
      <c r="R18" t="inlineStr">
        <is>
          <t>0%</t>
        </is>
      </c>
    </row>
    <row r="19" ht="35" customHeight="1" s="40">
      <c r="A19" s="7" t="inlineStr">
        <is>
          <t>A-015</t>
        </is>
      </c>
      <c r="B19" s="5" t="inlineStr">
        <is>
          <t>Counters</t>
        </is>
      </c>
      <c r="C19" s="6" t="inlineStr">
        <is>
          <t>7</t>
        </is>
      </c>
      <c r="D19" s="5" t="inlineStr">
        <is>
          <t>Counter-noun pairing beyond the 8 canonical pairs</t>
        </is>
      </c>
      <c r="E19" s="5" t="inlineStr">
        <is>
          <t>1. Native teacher reviews 100 random counter-noun pairs
2. Flag textbook-non-canonical pairings (e.g., 雲一個)</t>
        </is>
      </c>
      <c r="F19" s="5" t="inlineStr">
        <is>
          <t>All counter-noun pairs are textbook-canonical or documented exception</t>
        </is>
      </c>
      <c r="G19" s="6" t="inlineStr">
        <is>
          <t>P3</t>
        </is>
      </c>
      <c r="H19" s="6" t="inlineStr">
        <is>
          <t>Major</t>
        </is>
      </c>
      <c r="I19" s="6" t="inlineStr">
        <is>
          <t>Manual</t>
        </is>
      </c>
      <c r="J19" s="5" t="inlineStr">
        <is>
          <t>JA-89 lock1 covers 6 caught instances; broader exists</t>
        </is>
      </c>
      <c r="K19" t="inlineStr">
        <is>
          <t>1d</t>
        </is>
      </c>
      <c r="L19" t="inlineStr">
        <is>
          <t>Native Japanese teacher</t>
        </is>
      </c>
      <c r="M19" t="inlineStr">
        <is>
          <t>n/a — manual evaluation</t>
        </is>
      </c>
      <c r="O19" t="inlineStr">
        <is>
          <t>Not Yet Run</t>
        </is>
      </c>
      <c r="Q19" t="inlineStr">
        <is>
          <t>—</t>
        </is>
      </c>
      <c r="R19" t="inlineStr">
        <is>
          <t>0%</t>
        </is>
      </c>
    </row>
    <row r="20" ht="30" customHeight="1" s="40">
      <c r="A20" s="7" t="inlineStr">
        <is>
          <t>A-016</t>
        </is>
      </c>
      <c r="B20" s="5" t="inlineStr">
        <is>
          <t>Counters</t>
        </is>
      </c>
      <c r="C20" s="6" t="inlineStr">
        <is>
          <t>7</t>
        </is>
      </c>
      <c r="D20" s="5" t="inlineStr">
        <is>
          <t>Native-counter (つ) range boundary (1-10)</t>
        </is>
      </c>
      <c r="E20" s="5" t="inlineStr">
        <is>
          <t>1. Filter all 〜つ examples
2. Verify count ≤ 10 (above 10, switch to 個 or specific counter)</t>
        </is>
      </c>
      <c r="F20" s="5" t="inlineStr">
        <is>
          <t>0 instances of 11つ / 20つ etc.</t>
        </is>
      </c>
      <c r="G20" s="6" t="inlineStr">
        <is>
          <t>P4</t>
        </is>
      </c>
      <c r="H20" s="6" t="inlineStr">
        <is>
          <t>Minor</t>
        </is>
      </c>
      <c r="I20" s="6" t="inlineStr">
        <is>
          <t>Auto</t>
        </is>
      </c>
      <c r="J20" s="5" t="inlineStr">
        <is>
          <t>No automated check today — manual only.</t>
        </is>
      </c>
      <c r="K20" t="inlineStr">
        <is>
          <t>1h</t>
        </is>
      </c>
      <c r="L20" t="inlineStr">
        <is>
          <t>Native Japanese teacher</t>
        </is>
      </c>
      <c r="M20" t="inlineStr">
        <is>
          <t>tools/check_content_integrity.py (JA-NN regex pass)</t>
        </is>
      </c>
      <c r="O20" t="inlineStr">
        <is>
          <t>Not Yet Run</t>
        </is>
      </c>
      <c r="Q20" t="inlineStr">
        <is>
          <t>—</t>
        </is>
      </c>
      <c r="R20" t="inlineStr">
        <is>
          <t>0%</t>
        </is>
      </c>
    </row>
    <row r="21" ht="38" customHeight="1" s="40">
      <c r="A21" s="7" t="inlineStr">
        <is>
          <t>A-017</t>
        </is>
      </c>
      <c r="B21" s="5" t="inlineStr">
        <is>
          <t>Kanji</t>
        </is>
      </c>
      <c r="C21" s="6" t="inlineStr">
        <is>
          <t>8</t>
        </is>
      </c>
      <c r="D21" s="5" t="inlineStr">
        <is>
          <t>On-yomi vs kun-yomi assignment correctness</t>
        </is>
      </c>
      <c r="E21" s="5" t="inlineStr">
        <is>
          <t>1. For each of 106 kanji, verify on-yomi list matches jōyō reference
2. Verify kun-yomi list matches jōyō reference</t>
        </is>
      </c>
      <c r="F21" s="5" t="inlineStr">
        <is>
          <t>0 misclassified readings</t>
        </is>
      </c>
      <c r="G21" s="6" t="inlineStr">
        <is>
          <t>P1</t>
        </is>
      </c>
      <c r="H21" s="6" t="inlineStr">
        <is>
          <t>Critical</t>
        </is>
      </c>
      <c r="I21" s="6" t="inlineStr">
        <is>
          <t>Manual</t>
        </is>
      </c>
      <c r="J21" s="5"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O21" t="inlineStr">
        <is>
          <t>Not Yet Run</t>
        </is>
      </c>
      <c r="Q21" t="inlineStr">
        <is>
          <t>—</t>
        </is>
      </c>
      <c r="R21" t="inlineStr">
        <is>
          <t>0%</t>
        </is>
      </c>
    </row>
    <row r="22" ht="39" customHeight="1" s="40">
      <c r="A22" s="7" t="inlineStr">
        <is>
          <t>A-018</t>
        </is>
      </c>
      <c r="B22" s="5" t="inlineStr">
        <is>
          <t>Kanji</t>
        </is>
      </c>
      <c r="C22" s="6" t="inlineStr">
        <is>
          <t>8</t>
        </is>
      </c>
      <c r="D22" s="5" t="inlineStr">
        <is>
          <t>Stroke-count vs stroke-order data accuracy</t>
        </is>
      </c>
      <c r="E22" s="5" t="inlineStr">
        <is>
          <t>1. Cross-check each kanji's stroke-count vs Unicode CJK reference
2. Cross-check stroke-order SVG vs KanjiVG canonical</t>
        </is>
      </c>
      <c r="F22" s="5" t="inlineStr">
        <is>
          <t>0 discrepancies</t>
        </is>
      </c>
      <c r="G22" s="6" t="inlineStr">
        <is>
          <t>P3</t>
        </is>
      </c>
      <c r="H22" s="6" t="inlineStr">
        <is>
          <t>Major</t>
        </is>
      </c>
      <c r="I22" s="6" t="inlineStr">
        <is>
          <t>Auto</t>
        </is>
      </c>
      <c r="J22" s="5" t="inlineStr">
        <is>
          <t>No automated check today — manual only.</t>
        </is>
      </c>
      <c r="K22" t="inlineStr">
        <is>
          <t>1h</t>
        </is>
      </c>
      <c r="L22" t="inlineStr">
        <is>
          <t>Native Japanese teacher</t>
        </is>
      </c>
      <c r="M22" t="inlineStr">
        <is>
          <t>n/a — manual evaluation</t>
        </is>
      </c>
      <c r="O22" t="inlineStr">
        <is>
          <t>Not Yet Run</t>
        </is>
      </c>
      <c r="Q22" t="inlineStr">
        <is>
          <t>—</t>
        </is>
      </c>
      <c r="R22" t="inlineStr">
        <is>
          <t>0%</t>
        </is>
      </c>
    </row>
    <row r="23" ht="59" customHeight="1" s="40">
      <c r="A23" s="7" t="inlineStr">
        <is>
          <t>A-019</t>
        </is>
      </c>
      <c r="B23" s="5" t="inlineStr">
        <is>
          <t>Kanji</t>
        </is>
      </c>
      <c r="C23" s="6" t="inlineStr">
        <is>
          <t>8</t>
        </is>
      </c>
      <c r="D23" s="5" t="inlineStr">
        <is>
          <t>Furigana correctness in compound words</t>
        </is>
      </c>
      <c r="E23" s="5" t="inlineStr">
        <is>
          <t>1. For all compound kanji-entries, verify furigana matches the compound's actual reading (not the sum of individual readings)
2. Spot 連濁 (rendaku in compounds): 山+川=やまかわ vs やまがわ</t>
        </is>
      </c>
      <c r="F23" s="5" t="inlineStr">
        <is>
          <t>Compound readings match canonical reference (NHK accent dict or similar)</t>
        </is>
      </c>
      <c r="G23" s="6" t="inlineStr">
        <is>
          <t>P3</t>
        </is>
      </c>
      <c r="H23" s="6" t="inlineStr">
        <is>
          <t>Major</t>
        </is>
      </c>
      <c r="I23" s="6" t="inlineStr">
        <is>
          <t>Manual</t>
        </is>
      </c>
      <c r="J23" s="5" t="inlineStr">
        <is>
          <t>No automated check today — manual only.</t>
        </is>
      </c>
      <c r="K23" t="inlineStr">
        <is>
          <t>1d</t>
        </is>
      </c>
      <c r="L23" t="inlineStr">
        <is>
          <t>Native Japanese teacher</t>
        </is>
      </c>
      <c r="M23" t="inlineStr">
        <is>
          <t>n/a — manual evaluation</t>
        </is>
      </c>
      <c r="O23" t="inlineStr">
        <is>
          <t>Not Yet Run</t>
        </is>
      </c>
      <c r="Q23" t="inlineStr">
        <is>
          <t>—</t>
        </is>
      </c>
      <c r="R23" t="inlineStr">
        <is>
          <t>0%</t>
        </is>
      </c>
    </row>
    <row r="24" ht="46" customHeight="1" s="40">
      <c r="A24" s="7" t="inlineStr">
        <is>
          <t>A-020</t>
        </is>
      </c>
      <c r="B24" s="5" t="inlineStr">
        <is>
          <t>Pitch accent</t>
        </is>
      </c>
      <c r="C24" s="6" t="inlineStr">
        <is>
          <t>3</t>
        </is>
      </c>
      <c r="D24" s="5" t="inlineStr">
        <is>
          <t>Auditory verification of 944 kanjium-MATCH entries</t>
        </is>
      </c>
      <c r="E24" s="5" t="inlineStr">
        <is>
          <t>1. Native ear listens to TTS render of each
2. Verify drop position audibly matches kanjium prediction
3. Flag VOICEVOX-vs-NHK disagreements</t>
        </is>
      </c>
      <c r="F24" s="5" t="inlineStr">
        <is>
          <t>≥95% audible-match</t>
        </is>
      </c>
      <c r="G24" s="6" t="inlineStr">
        <is>
          <t>P2</t>
        </is>
      </c>
      <c r="H24" s="6" t="inlineStr">
        <is>
          <t>Major</t>
        </is>
      </c>
      <c r="I24" s="6" t="inlineStr">
        <is>
          <t>Manual</t>
        </is>
      </c>
      <c r="J24" s="5"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O24" t="inlineStr">
        <is>
          <t>Not Yet Run</t>
        </is>
      </c>
      <c r="Q24" t="inlineStr">
        <is>
          <t>—</t>
        </is>
      </c>
      <c r="R24" t="inlineStr">
        <is>
          <t>0%</t>
        </is>
      </c>
    </row>
    <row r="25" ht="32" customHeight="1" s="40">
      <c r="A25" s="7" t="inlineStr">
        <is>
          <t>A-021</t>
        </is>
      </c>
      <c r="B25" s="5" t="inlineStr">
        <is>
          <t>Pitch accent</t>
        </is>
      </c>
      <c r="C25" s="6" t="inlineStr">
        <is>
          <t>3</t>
        </is>
      </c>
      <c r="D25" s="5" t="inlineStr">
        <is>
          <t>Auditory verification of 43 low/unverified entries (16 low + 27 unverified)</t>
        </is>
      </c>
      <c r="E25" s="5" t="inlineStr">
        <is>
          <t>1. Native ear listens to TTS render of each
2. Promote to 'high' confidence or flag for correction</t>
        </is>
      </c>
      <c r="F25" s="5" t="inlineStr">
        <is>
          <t>All 43 entries resolved</t>
        </is>
      </c>
      <c r="G25" s="6" t="inlineStr">
        <is>
          <t>P2</t>
        </is>
      </c>
      <c r="H25" s="6" t="inlineStr">
        <is>
          <t>Major</t>
        </is>
      </c>
      <c r="I25" s="6" t="inlineStr">
        <is>
          <t>Manual</t>
        </is>
      </c>
      <c r="J25" s="5" t="inlineStr">
        <is>
          <t>Explicit gap in PITCH-ACCENT-RECONCILIATION doc</t>
        </is>
      </c>
      <c r="K25" t="inlineStr">
        <is>
          <t>1d</t>
        </is>
      </c>
      <c r="L25" t="inlineStr">
        <is>
          <t>Native Japanese teacher</t>
        </is>
      </c>
      <c r="M25" t="inlineStr">
        <is>
          <t>n/a — manual evaluation</t>
        </is>
      </c>
      <c r="O25" t="inlineStr">
        <is>
          <t>Not Yet Run</t>
        </is>
      </c>
      <c r="Q25" t="inlineStr">
        <is>
          <t>—</t>
        </is>
      </c>
      <c r="R25" t="inlineStr">
        <is>
          <t>0%</t>
        </is>
      </c>
    </row>
    <row r="26" ht="39" customHeight="1" s="40">
      <c r="A26" s="7" t="inlineStr">
        <is>
          <t>A-022</t>
        </is>
      </c>
      <c r="B26" s="5" t="inlineStr">
        <is>
          <t>Pitch accent</t>
        </is>
      </c>
      <c r="C26" s="6" t="inlineStr">
        <is>
          <t>3</t>
        </is>
      </c>
      <c r="D26" s="5" t="inlineStr">
        <is>
          <t>Devoiced-vowel marking on standard-Tokyo positions</t>
        </is>
      </c>
      <c r="E26" s="5" t="inlineStr">
        <is>
          <t>1. Scan vocab entries with /i/ or /u/ between voiceless consonants
2. Verify devoicing-marker (◌̥) presence if rendered</t>
        </is>
      </c>
      <c r="F26" s="5" t="inlineStr">
        <is>
          <t>Devoicing marked where standard</t>
        </is>
      </c>
      <c r="G26" s="6" t="inlineStr">
        <is>
          <t>P5</t>
        </is>
      </c>
      <c r="H26" s="6" t="inlineStr">
        <is>
          <t>Minor</t>
        </is>
      </c>
      <c r="I26" s="6" t="inlineStr">
        <is>
          <t>Hybrid</t>
        </is>
      </c>
      <c r="J26" s="5" t="inlineStr">
        <is>
          <t>Not currently in data model</t>
        </is>
      </c>
      <c r="K26" t="inlineStr">
        <is>
          <t>1d</t>
        </is>
      </c>
      <c r="L26" t="inlineStr">
        <is>
          <t>Native Japanese teacher</t>
        </is>
      </c>
      <c r="M26" t="inlineStr">
        <is>
          <t>n/a — manual evaluation</t>
        </is>
      </c>
      <c r="O26" t="inlineStr">
        <is>
          <t>Not Yet Run</t>
        </is>
      </c>
      <c r="Q26" t="inlineStr">
        <is>
          <t>—</t>
        </is>
      </c>
      <c r="R26" t="inlineStr">
        <is>
          <t>0%</t>
        </is>
      </c>
    </row>
    <row r="27" ht="32" customHeight="1" s="40">
      <c r="A27" s="7" t="inlineStr">
        <is>
          <t>A-023</t>
        </is>
      </c>
      <c r="B27" s="5" t="inlineStr">
        <is>
          <t>Pitch accent</t>
        </is>
      </c>
      <c r="C27" s="6" t="inlineStr">
        <is>
          <t>3</t>
        </is>
      </c>
      <c r="D27" s="5" t="inlineStr">
        <is>
          <t>Multi-dialect accent variants (currently Tokyo-only)</t>
        </is>
      </c>
      <c r="E27" s="5" t="inlineStr">
        <is>
          <t>1. For high-frequency vocab, document Kansai/Kyushu alternants
2. Decide if UI should expose them</t>
        </is>
      </c>
      <c r="F27" s="5" t="inlineStr">
        <is>
          <t>Documented; project decision recorded</t>
        </is>
      </c>
      <c r="G27" s="6" t="inlineStr">
        <is>
          <t>P5</t>
        </is>
      </c>
      <c r="H27" s="6" t="inlineStr">
        <is>
          <t>Minor</t>
        </is>
      </c>
      <c r="I27" s="6" t="inlineStr">
        <is>
          <t>Manual</t>
        </is>
      </c>
      <c r="J27" s="5" t="inlineStr">
        <is>
          <t>Scope decision; not a bug</t>
        </is>
      </c>
      <c r="K27" t="inlineStr">
        <is>
          <t>1d</t>
        </is>
      </c>
      <c r="L27" t="inlineStr">
        <is>
          <t>Native Japanese teacher</t>
        </is>
      </c>
      <c r="M27" t="inlineStr">
        <is>
          <t>n/a — manual evaluation</t>
        </is>
      </c>
      <c r="O27" t="inlineStr">
        <is>
          <t>Not Yet Run</t>
        </is>
      </c>
      <c r="Q27" t="inlineStr">
        <is>
          <t>—</t>
        </is>
      </c>
      <c r="R27" t="inlineStr">
        <is>
          <t>0%</t>
        </is>
      </c>
    </row>
    <row r="28" ht="30" customHeight="1" s="40">
      <c r="A28" s="7" t="inlineStr">
        <is>
          <t>A-024</t>
        </is>
      </c>
      <c r="B28" s="5" t="inlineStr">
        <is>
          <t>Translation</t>
        </is>
      </c>
      <c r="C28" s="6" t="inlineStr">
        <is>
          <t>6</t>
        </is>
      </c>
      <c r="D28" s="5" t="inlineStr">
        <is>
          <t>translation_en idiomatic naturalness across 6,309 sentences</t>
        </is>
      </c>
      <c r="E28" s="5" t="inlineStr">
        <is>
          <t>1. Random-sample 200 EN translations
2. Native EN reviewer rates each NATURAL/AWKWARD/WRONG</t>
        </is>
      </c>
      <c r="F28" s="5" t="inlineStr">
        <is>
          <t>≥95% NATURAL</t>
        </is>
      </c>
      <c r="G28" s="6" t="inlineStr">
        <is>
          <t>P3</t>
        </is>
      </c>
      <c r="H28" s="6" t="inlineStr">
        <is>
          <t>Major</t>
        </is>
      </c>
      <c r="I28" s="6" t="inlineStr">
        <is>
          <t>Manual</t>
        </is>
      </c>
      <c r="J28" s="5"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t>
        </is>
      </c>
      <c r="K28" t="inlineStr">
        <is>
          <t>1wk</t>
        </is>
      </c>
      <c r="L28" t="inlineStr">
        <is>
          <t>Native Japanese teacher</t>
        </is>
      </c>
      <c r="M28" t="inlineStr">
        <is>
          <t>n/a — manual evaluation</t>
        </is>
      </c>
      <c r="O28" t="inlineStr">
        <is>
          <t>Not Yet Run</t>
        </is>
      </c>
      <c r="Q28" t="inlineStr">
        <is>
          <t>—</t>
        </is>
      </c>
      <c r="R28" t="inlineStr">
        <is>
          <t>0%</t>
        </is>
      </c>
    </row>
    <row r="29" ht="30" customHeight="1" s="40">
      <c r="A29" s="7" t="inlineStr">
        <is>
          <t>A-025</t>
        </is>
      </c>
      <c r="B29" s="5" t="inlineStr">
        <is>
          <t>Translation</t>
        </is>
      </c>
      <c r="C29" s="6" t="inlineStr">
        <is>
          <t>6</t>
        </is>
      </c>
      <c r="D29" s="5" t="inlineStr">
        <is>
          <t>Aspect/tense translation correctness (perfective vs imperfective)</t>
        </is>
      </c>
      <c r="E29" s="5" t="inlineStr">
        <is>
          <t>1. Filter ました vs ています examples
2. Verify EN tense choice matches Japanese aspect</t>
        </is>
      </c>
      <c r="F29" s="5" t="inlineStr">
        <is>
          <t>0 aspect-mistranslations</t>
        </is>
      </c>
      <c r="G29" s="6" t="inlineStr">
        <is>
          <t>P3</t>
        </is>
      </c>
      <c r="H29" s="6" t="inlineStr">
        <is>
          <t>Major</t>
        </is>
      </c>
      <c r="I29" s="6" t="inlineStr">
        <is>
          <t>Manual</t>
        </is>
      </c>
      <c r="J29" s="5" t="inlineStr">
        <is>
          <t>No automated check today — manual only.</t>
        </is>
      </c>
      <c r="K29" t="inlineStr">
        <is>
          <t>1d</t>
        </is>
      </c>
      <c r="L29" t="inlineStr">
        <is>
          <t>Native Japanese teacher</t>
        </is>
      </c>
      <c r="M29" t="inlineStr">
        <is>
          <t>n/a — manual evaluation</t>
        </is>
      </c>
      <c r="O29" t="inlineStr">
        <is>
          <t>Not Yet Run</t>
        </is>
      </c>
      <c r="Q29" t="inlineStr">
        <is>
          <t>—</t>
        </is>
      </c>
      <c r="R29" t="inlineStr">
        <is>
          <t>0%</t>
        </is>
      </c>
    </row>
    <row r="30" ht="40" customHeight="1" s="40">
      <c r="A30" s="7" t="inlineStr">
        <is>
          <t>A-026</t>
        </is>
      </c>
      <c r="B30" s="5" t="inlineStr">
        <is>
          <t>Translation</t>
        </is>
      </c>
      <c r="C30" s="6" t="inlineStr">
        <is>
          <t>6</t>
        </is>
      </c>
      <c r="D30" s="5" t="inlineStr">
        <is>
          <t>Article use (a/an/the/zero) in EN translations of bare-noun JA</t>
        </is>
      </c>
      <c r="E30" s="5" t="inlineStr">
        <is>
          <t>1. Filter JA sentences with bare common nouns
2. Verify EN translation uses appropriate article (or zero article + plural)</t>
        </is>
      </c>
      <c r="F30" s="5" t="inlineStr">
        <is>
          <t>0 bare-article ungrammatical EN</t>
        </is>
      </c>
      <c r="G30" s="6" t="inlineStr">
        <is>
          <t>P3</t>
        </is>
      </c>
      <c r="H30" s="6" t="inlineStr">
        <is>
          <t>Major</t>
        </is>
      </c>
      <c r="I30" s="6" t="inlineStr">
        <is>
          <t>Hybrid</t>
        </is>
      </c>
      <c r="J30" s="5" t="inlineStr">
        <is>
          <t>74 caught; checker covers 'There is X' template only</t>
        </is>
      </c>
      <c r="K30" t="inlineStr">
        <is>
          <t>1d</t>
        </is>
      </c>
      <c r="L30" t="inlineStr">
        <is>
          <t>Native Japanese teacher</t>
        </is>
      </c>
      <c r="M30" t="inlineStr">
        <is>
          <t>n/a — manual evaluation</t>
        </is>
      </c>
      <c r="O30" t="inlineStr">
        <is>
          <t>Not Yet Run</t>
        </is>
      </c>
      <c r="Q30" t="inlineStr">
        <is>
          <t>—</t>
        </is>
      </c>
      <c r="R30" t="inlineStr">
        <is>
          <t>0%</t>
        </is>
      </c>
    </row>
    <row r="31" ht="30" customHeight="1" s="40">
      <c r="A31" s="7" t="inlineStr">
        <is>
          <t>A-027</t>
        </is>
      </c>
      <c r="B31" s="5" t="inlineStr">
        <is>
          <t>Romaji</t>
        </is>
      </c>
      <c r="C31" s="6" t="inlineStr">
        <is>
          <t>9</t>
        </is>
      </c>
      <c r="D31" s="5" t="inlineStr">
        <is>
          <t>Hepburn vs Kunrei consistency across all romanized strings</t>
        </is>
      </c>
      <c r="E31" s="5" t="inlineStr">
        <is>
          <t>1. Scan any romaji output in data/ for し vs si, つ vs tu
2. Pick one convention; flag drifts</t>
        </is>
      </c>
      <c r="F31" s="5" t="inlineStr">
        <is>
          <t>100% consistent within chosen convention</t>
        </is>
      </c>
      <c r="G31" s="6" t="inlineStr">
        <is>
          <t>P5</t>
        </is>
      </c>
      <c r="H31" s="6" t="inlineStr">
        <is>
          <t>Minor</t>
        </is>
      </c>
      <c r="I31" s="6" t="inlineStr">
        <is>
          <t>Auto</t>
        </is>
      </c>
      <c r="J31" s="5" t="inlineStr">
        <is>
          <t>No automated check today — manual only.</t>
        </is>
      </c>
      <c r="K31" t="inlineStr">
        <is>
          <t>1h</t>
        </is>
      </c>
      <c r="L31" t="inlineStr">
        <is>
          <t>Native Japanese teacher</t>
        </is>
      </c>
      <c r="M31" t="inlineStr">
        <is>
          <t>n/a — manual evaluation</t>
        </is>
      </c>
      <c r="O31" t="inlineStr">
        <is>
          <t>Not Yet Run</t>
        </is>
      </c>
      <c r="Q31" t="inlineStr">
        <is>
          <t>—</t>
        </is>
      </c>
      <c r="R31" t="inlineStr">
        <is>
          <t>0%</t>
        </is>
      </c>
    </row>
    <row r="32" ht="50" customHeight="1" s="40">
      <c r="A32" s="7" t="inlineStr">
        <is>
          <t>A-028</t>
        </is>
      </c>
      <c r="B32" s="5" t="inlineStr">
        <is>
          <t>Vocabulary scope</t>
        </is>
      </c>
      <c r="C32" s="6" t="inlineStr">
        <is>
          <t>2</t>
        </is>
      </c>
      <c r="D32" s="5" t="inlineStr">
        <is>
          <t>N5-scope vocab vs out-of-scope (N4+) contamination</t>
        </is>
      </c>
      <c r="E32" s="5" t="inlineStr">
        <is>
          <t>1. Cross-check vocab.json forms against N5 official word-list (n5_vocab_official.json)
2. Flag entries flagged tier=n4_borderline using N5-scope kanji</t>
        </is>
      </c>
      <c r="F32" s="5" t="inlineStr">
        <is>
          <t>All tier-flags accurate; no silent N4 contamination</t>
        </is>
      </c>
      <c r="G32" s="6" t="inlineStr">
        <is>
          <t>P2</t>
        </is>
      </c>
      <c r="H32" s="6" t="inlineStr">
        <is>
          <t>Major</t>
        </is>
      </c>
      <c r="I32" s="6" t="inlineStr">
        <is>
          <t>Auto+Manual</t>
        </is>
      </c>
      <c r="J32" s="5" t="inlineStr">
        <is>
          <t>No automated check today — manual only. | Related: BUG-017 (3 OOS kanji 倍/籍/末 in vocab.form) — JA-99 + A-040 new.</t>
        </is>
      </c>
      <c r="K32" t="inlineStr">
        <is>
          <t>1d</t>
        </is>
      </c>
      <c r="L32" t="inlineStr">
        <is>
          <t>Native Japanese teacher</t>
        </is>
      </c>
      <c r="M32" t="inlineStr">
        <is>
          <t>n/a — manual evaluation</t>
        </is>
      </c>
      <c r="O32" t="inlineStr">
        <is>
          <t>Not Yet Run</t>
        </is>
      </c>
      <c r="Q32" t="inlineStr">
        <is>
          <t>—</t>
        </is>
      </c>
      <c r="R32" t="inlineStr">
        <is>
          <t>0%</t>
        </is>
      </c>
    </row>
    <row r="33" ht="38" customHeight="1" s="40">
      <c r="A33" s="7" t="inlineStr">
        <is>
          <t>A-029</t>
        </is>
      </c>
      <c r="B33" s="5" t="inlineStr">
        <is>
          <t>Vocabulary scope</t>
        </is>
      </c>
      <c r="C33" s="6" t="inlineStr">
        <is>
          <t>2</t>
        </is>
      </c>
      <c r="D33" s="5" t="inlineStr">
        <is>
          <t>Senses-per-entry: does each vocab entry list N5-relevant sense first?</t>
        </is>
      </c>
      <c r="E33" s="5" t="inlineStr">
        <is>
          <t>1. For polysemous entries, verify sense[0] is the N5-textbook-typical sense
2. Flag entries where rare sense leads</t>
        </is>
      </c>
      <c r="F33" s="5" t="inlineStr">
        <is>
          <t>All entries lead with N5-canonical sense</t>
        </is>
      </c>
      <c r="G33" s="6" t="inlineStr">
        <is>
          <t>P3</t>
        </is>
      </c>
      <c r="H33" s="6" t="inlineStr">
        <is>
          <t>Major</t>
        </is>
      </c>
      <c r="I33" s="6" t="inlineStr">
        <is>
          <t>Manual</t>
        </is>
      </c>
      <c r="J33" s="5" t="inlineStr">
        <is>
          <t>No automated check today — manual only.</t>
        </is>
      </c>
      <c r="K33" t="inlineStr">
        <is>
          <t>1d</t>
        </is>
      </c>
      <c r="L33" t="inlineStr">
        <is>
          <t>Native Japanese teacher</t>
        </is>
      </c>
      <c r="M33" t="inlineStr">
        <is>
          <t>n/a — manual evaluation</t>
        </is>
      </c>
      <c r="O33" t="inlineStr">
        <is>
          <t>Not Yet Run</t>
        </is>
      </c>
      <c r="Q33" t="inlineStr">
        <is>
          <t>—</t>
        </is>
      </c>
      <c r="R33" t="inlineStr">
        <is>
          <t>0%</t>
        </is>
      </c>
    </row>
    <row r="34" ht="46" customHeight="1" s="40">
      <c r="A34" s="7" t="inlineStr">
        <is>
          <t>A-030</t>
        </is>
      </c>
      <c r="B34" s="5" t="inlineStr">
        <is>
          <t>Grammar scope</t>
        </is>
      </c>
      <c r="C34" s="6" t="inlineStr">
        <is>
          <t>2</t>
        </is>
      </c>
      <c r="D34" s="5" t="inlineStr">
        <is>
          <t>Grammar-pattern scope vs N5 canonical 178 patterns</t>
        </is>
      </c>
      <c r="E34" s="5" t="inlineStr">
        <is>
          <t>1. Cross-check pattern IDs against published N5 grammar list (e.g., Bunpro, Renshuu)
2. Flag any pattern out-of-scope or missing canonical</t>
        </is>
      </c>
      <c r="F34" s="5" t="inlineStr">
        <is>
          <t>All 178 patterns are N5-canonical</t>
        </is>
      </c>
      <c r="G34" s="6" t="inlineStr">
        <is>
          <t>P3</t>
        </is>
      </c>
      <c r="H34" s="6" t="inlineStr">
        <is>
          <t>Major</t>
        </is>
      </c>
      <c r="I34" s="6" t="inlineStr">
        <is>
          <t>Manual</t>
        </is>
      </c>
      <c r="J34" s="5" t="inlineStr">
        <is>
          <t>No automated check today — manual only.</t>
        </is>
      </c>
      <c r="K34" t="inlineStr">
        <is>
          <t>1d</t>
        </is>
      </c>
      <c r="L34" t="inlineStr">
        <is>
          <t>Native Japanese teacher</t>
        </is>
      </c>
      <c r="M34" t="inlineStr">
        <is>
          <t>n/a — manual evaluation</t>
        </is>
      </c>
      <c r="O34" t="inlineStr">
        <is>
          <t>Not Yet Run</t>
        </is>
      </c>
      <c r="Q34" t="inlineStr">
        <is>
          <t>—</t>
        </is>
      </c>
      <c r="R34" t="inlineStr">
        <is>
          <t>0%</t>
        </is>
      </c>
    </row>
    <row r="35" ht="72.5" customHeight="1" s="40">
      <c r="A35" s="18" t="inlineStr">
        <is>
          <t>A-031</t>
        </is>
      </c>
      <c r="B35" s="18" t="inlineStr">
        <is>
          <t>Hindi-locale audio</t>
        </is>
      </c>
      <c r="C35" s="18" t="inlineStr">
        <is>
          <t>3</t>
        </is>
      </c>
      <c r="D35" s="18" t="inlineStr">
        <is>
          <t>Auditory verification of Hindi-locale pedagogical audio (Hindi UI strings or explanations spoken in Hindi)</t>
        </is>
      </c>
      <c r="E35" s="18" t="inlineStr">
        <is>
          <t>1. List every Hindi UI string or explanation that has a corresponding audio asset (if any).
2. Native Hindi speaker auditions each.
3. Mark NATURAL / UNNATURAL / NO-AUDIO.
4. Pass: NATURAL or NO-AUDIO; 0 UNNATURAL.</t>
        </is>
      </c>
      <c r="F35" s="18" t="inlineStr">
        <is>
          <t>0 UNNATURAL Hindi audio renderings.</t>
        </is>
      </c>
      <c r="G35" s="18" t="inlineStr">
        <is>
          <t>P3</t>
        </is>
      </c>
      <c r="H35" s="18" t="inlineStr">
        <is>
          <t>Major</t>
        </is>
      </c>
      <c r="I35" s="18" t="inlineStr">
        <is>
          <t>Manual</t>
        </is>
      </c>
      <c r="J35" s="18" t="inlineStr">
        <is>
          <t>[BUG-032 new] Coverage gap. Currently audio is JA-only; this confirms or scopes Hindi audio addition.</t>
        </is>
      </c>
      <c r="K35" s="18" t="inlineStr">
        <is>
          <t>1d</t>
        </is>
      </c>
      <c r="L35" s="18" t="inlineStr">
        <is>
          <t>Native Hindi teacher</t>
        </is>
      </c>
      <c r="M35" s="18" t="inlineStr">
        <is>
          <t>Manual review by native Hindi speaker</t>
        </is>
      </c>
      <c r="N35" s="18" t="n"/>
      <c r="O35" s="18" t="inlineStr">
        <is>
          <t>Not Yet Run</t>
        </is>
      </c>
      <c r="P35" s="18" t="n"/>
      <c r="Q35" s="18" t="inlineStr">
        <is>
          <t>—</t>
        </is>
      </c>
      <c r="R35" s="18" t="inlineStr">
        <is>
          <t>0%</t>
        </is>
      </c>
    </row>
    <row r="36" ht="116" customHeight="1" s="40">
      <c r="A36" s="18" t="inlineStr">
        <is>
          <t>A-032</t>
        </is>
      </c>
      <c r="B36" s="18" t="inlineStr">
        <is>
          <t>Cross-pattern contamination</t>
        </is>
      </c>
      <c r="C36" s="18" t="inlineStr">
        <is>
          <t>1</t>
        </is>
      </c>
      <c r="D36" s="18" t="inlineStr">
        <is>
          <t>Cross-pattern explanation_en uniqueness (Levenshtein) — catches BUG-003-class contamination</t>
        </is>
      </c>
      <c r="E36" s="18"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18" t="inlineStr">
        <is>
          <t>0 unintentional explanation-similarity hits ≥0.85 across the 178 patterns. Flagged pairs documented as intentional contrast pairs OR rewritten.</t>
        </is>
      </c>
      <c r="G36" s="18" t="inlineStr">
        <is>
          <t>P3</t>
        </is>
      </c>
      <c r="H36" s="18" t="inlineStr">
        <is>
          <t>Major</t>
        </is>
      </c>
      <c r="I36" s="18" t="inlineStr">
        <is>
          <t>Auto+Manual</t>
        </is>
      </c>
      <c r="J36" s="18" t="inlineStr">
        <is>
          <t>Planned CI invariant JA-91 (currently as Phase-0 regression in prompts/N5Improvement.txt). Promotion to hard gate queued. Covers BUG-003.</t>
        </is>
      </c>
      <c r="K36" s="18" t="inlineStr">
        <is>
          <t>4h</t>
        </is>
      </c>
      <c r="L36" s="18" t="inlineStr">
        <is>
          <t>Native Japanese teacher + SLA pedagogy researcher</t>
        </is>
      </c>
      <c r="M36" s="18" t="inlineStr">
        <is>
          <t>Custom Python (Levenshtein cross-similarity scan)</t>
        </is>
      </c>
      <c r="N36" s="18" t="n"/>
      <c r="O36" s="18" t="inlineStr">
        <is>
          <t>Not Yet Run</t>
        </is>
      </c>
      <c r="P36" s="18" t="n"/>
      <c r="Q36" s="18" t="inlineStr">
        <is>
          <t>—</t>
        </is>
      </c>
      <c r="R36" s="18" t="inlineStr">
        <is>
          <t>0%</t>
        </is>
      </c>
    </row>
    <row r="37" ht="130.5" customHeight="1" s="40">
      <c r="A37" s="18" t="inlineStr">
        <is>
          <t>A-033</t>
        </is>
      </c>
      <c r="B37" s="18" t="inlineStr">
        <is>
          <t>Cross-pattern contamination</t>
        </is>
      </c>
      <c r="C37" s="18" t="inlineStr">
        <is>
          <t>1</t>
        </is>
      </c>
      <c r="D37" s="18" t="inlineStr">
        <is>
          <t>Per-example JA-EN content-word overlap — catches BUG-005-class translation_en stuck on one string</t>
        </is>
      </c>
      <c r="E37" s="18"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18" t="inlineStr">
        <is>
          <t>0 patterns with ≥3 zero-overlap examples post-LLM-judge.</t>
        </is>
      </c>
      <c r="G37" s="18" t="inlineStr">
        <is>
          <t>P3</t>
        </is>
      </c>
      <c r="H37" s="18" t="inlineStr">
        <is>
          <t>Major</t>
        </is>
      </c>
      <c r="I37" s="18" t="inlineStr">
        <is>
          <t>Auto+Manual</t>
        </is>
      </c>
      <c r="J37" s="18" t="inlineStr">
        <is>
          <t>Planned CI invariant JA-92. Covers BUG-005.</t>
        </is>
      </c>
      <c r="K37" s="18" t="inlineStr">
        <is>
          <t>1d</t>
        </is>
      </c>
      <c r="L37" s="18" t="inlineStr">
        <is>
          <t>Native Japanese teacher + LLM judge</t>
        </is>
      </c>
      <c r="M37" s="18" t="inlineStr">
        <is>
          <t>Custom Python (content-word overlap heuristic) + LLM-judge pass</t>
        </is>
      </c>
      <c r="N37" s="18" t="n"/>
      <c r="O37" s="18" t="inlineStr">
        <is>
          <t>Not Yet Run</t>
        </is>
      </c>
      <c r="P37" s="18" t="n"/>
      <c r="Q37" s="18" t="inlineStr">
        <is>
          <t>—</t>
        </is>
      </c>
      <c r="R37" s="18" t="inlineStr">
        <is>
          <t>0%</t>
        </is>
      </c>
    </row>
    <row r="38" ht="130.5" customHeight="1" s="40">
      <c r="A38" s="18" t="inlineStr">
        <is>
          <t>A-034</t>
        </is>
      </c>
      <c r="B38" s="18" t="inlineStr">
        <is>
          <t>Pattern-instance contamination</t>
        </is>
      </c>
      <c r="C38" s="18" t="inlineStr">
        <is>
          <t>1</t>
        </is>
      </c>
      <c r="D38" s="18" t="inlineStr">
        <is>
          <t>Every grammar example contains ≥1 pattern-defining surface marker (planned JA-94)</t>
        </is>
      </c>
      <c r="E38" s="18"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18" t="inlineStr">
        <is>
          <t>0 examples lacking a pattern-defining marker.</t>
        </is>
      </c>
      <c r="G38" s="18" t="inlineStr">
        <is>
          <t>P3</t>
        </is>
      </c>
      <c r="H38" s="18" t="inlineStr">
        <is>
          <t>Major</t>
        </is>
      </c>
      <c r="I38" s="18" t="inlineStr">
        <is>
          <t>Auto</t>
        </is>
      </c>
      <c r="J38" s="18" t="inlineStr">
        <is>
          <t>Planned CI invariant JA-94 (Phase-0 regression block in prompts/N5Improvement.txt today). Promotion gated on pattern_markers.json authoring. Covers BUG-006.</t>
        </is>
      </c>
      <c r="K38" s="18" t="inlineStr">
        <is>
          <t>1d</t>
        </is>
      </c>
      <c r="L38" s="18" t="inlineStr">
        <is>
          <t>Data engineer + native Japanese teacher (for marker authoring)</t>
        </is>
      </c>
      <c r="M38" s="18" t="inlineStr">
        <is>
          <t>Custom Python (`data/pattern_markers.json` + regex scan)</t>
        </is>
      </c>
      <c r="N38" s="18" t="n"/>
      <c r="O38" s="18" t="inlineStr">
        <is>
          <t>Not Yet Run</t>
        </is>
      </c>
      <c r="P38" s="18" t="n"/>
      <c r="Q38" s="18" t="inlineStr">
        <is>
          <t>—</t>
        </is>
      </c>
      <c r="R38" s="18" t="inlineStr">
        <is>
          <t>0%</t>
        </is>
      </c>
    </row>
    <row r="39" ht="101.5" customHeight="1" s="40">
      <c r="A39" s="18" t="inlineStr">
        <is>
          <t>A-035</t>
        </is>
      </c>
      <c r="B39" s="18" t="inlineStr">
        <is>
          <t>Folk-linguistic terminology</t>
        </is>
      </c>
      <c r="C39" s="18" t="inlineStr">
        <is>
          <t>1</t>
        </is>
      </c>
      <c r="D39" s="18" t="inlineStr">
        <is>
          <t>common_mistakes WHY rationales use canonical grammar terminology (Genki / Tobira / A Dictionary of Basic Japanese Grammar) — not folk shortcuts</t>
        </is>
      </c>
      <c r="E39" s="18"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18" t="inlineStr">
        <is>
          <t>0 folk-linguistic terminology hits in common_mistakes WHY fields.</t>
        </is>
      </c>
      <c r="G39" s="18" t="inlineStr">
        <is>
          <t>P3</t>
        </is>
      </c>
      <c r="H39" s="18" t="inlineStr">
        <is>
          <t>Major</t>
        </is>
      </c>
      <c r="I39" s="18" t="inlineStr">
        <is>
          <t>Auto+Manual</t>
        </is>
      </c>
      <c r="J39" s="18" t="inlineStr">
        <is>
          <t>Phase-0 regression block A53 in prompts/N5Improvement.txt. Covers BUG-008.</t>
        </is>
      </c>
      <c r="K39" s="18" t="inlineStr">
        <is>
          <t>4h</t>
        </is>
      </c>
      <c r="L39" s="18" t="inlineStr">
        <is>
          <t>Native Japanese teacher</t>
        </is>
      </c>
      <c r="M39" s="18" t="inlineStr">
        <is>
          <t>Custom Python (regex scan) + manual review</t>
        </is>
      </c>
      <c r="N39" s="18" t="n"/>
      <c r="O39" s="18" t="inlineStr">
        <is>
          <t>Not Yet Run</t>
        </is>
      </c>
      <c r="P39" s="18" t="n"/>
      <c r="Q39" s="18" t="inlineStr">
        <is>
          <t>—</t>
        </is>
      </c>
      <c r="R39" s="18" t="inlineStr">
        <is>
          <t>0%</t>
        </is>
      </c>
    </row>
    <row r="40" ht="116" customHeight="1" s="40">
      <c r="A40" s="18" t="inlineStr">
        <is>
          <t>A-036</t>
        </is>
      </c>
      <c r="B40" s="18" t="inlineStr">
        <is>
          <t>Particle-pattern alignment</t>
        </is>
      </c>
      <c r="C40" s="18" t="inlineStr">
        <is>
          <t>1</t>
        </is>
      </c>
      <c r="D40" s="18" t="inlineStr">
        <is>
          <t>Particle-introducing patterns: every example JA contains the canonical particle (planned JA-95)</t>
        </is>
      </c>
      <c r="E40" s="18"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18" t="inlineStr">
        <is>
          <t>0 examples missing their pattern's canonical particle.</t>
        </is>
      </c>
      <c r="G40" s="18" t="inlineStr">
        <is>
          <t>P3</t>
        </is>
      </c>
      <c r="H40" s="18" t="inlineStr">
        <is>
          <t>Major</t>
        </is>
      </c>
      <c r="I40" s="18" t="inlineStr">
        <is>
          <t>Auto</t>
        </is>
      </c>
      <c r="J40" s="18" t="inlineStr">
        <is>
          <t>Planned CI invariant JA-95 (Phase-0 regression block today). Covers BUG-009.</t>
        </is>
      </c>
      <c r="K40" s="18" t="inlineStr">
        <is>
          <t>4h</t>
        </is>
      </c>
      <c r="L40" s="18" t="inlineStr">
        <is>
          <t>Data engineer + native Japanese teacher</t>
        </is>
      </c>
      <c r="M40" s="18" t="inlineStr">
        <is>
          <t>Custom Python (per-pattern particle-presence assertion)</t>
        </is>
      </c>
      <c r="N40" s="18" t="n"/>
      <c r="O40" s="18" t="inlineStr">
        <is>
          <t>Not Yet Run</t>
        </is>
      </c>
      <c r="P40" s="18" t="n"/>
      <c r="Q40" s="18" t="inlineStr">
        <is>
          <t>—</t>
        </is>
      </c>
      <c r="R40" s="18" t="inlineStr">
        <is>
          <t>0%</t>
        </is>
      </c>
    </row>
    <row r="41" ht="130.5" customHeight="1" s="40">
      <c r="A41" s="18" t="inlineStr">
        <is>
          <t>A-037</t>
        </is>
      </c>
      <c r="B41" s="18" t="inlineStr">
        <is>
          <t>Register-variant schema</t>
        </is>
      </c>
      <c r="C41" s="18" t="inlineStr">
        <is>
          <t>1</t>
        </is>
      </c>
      <c r="D41" s="18" t="inlineStr">
        <is>
          <t>common_mistakes entries marked `kind: "register_variant"` use form_a/form_b keys, not wrong/right</t>
        </is>
      </c>
      <c r="E41" s="18"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18" t="inlineStr">
        <is>
          <t>0 entries where WHY signals register-variant but kind is absent. 0 entries with kind=register_variant carrying stale wrong/right keys.</t>
        </is>
      </c>
      <c r="G41" s="18" t="inlineStr">
        <is>
          <t>P2</t>
        </is>
      </c>
      <c r="H41" s="18" t="inlineStr">
        <is>
          <t>Major</t>
        </is>
      </c>
      <c r="I41" s="18" t="inlineStr">
        <is>
          <t>Auto</t>
        </is>
      </c>
      <c r="J41" s="18" t="inlineStr">
        <is>
          <t>CI invariant JA-64 enforces required fields by kind. Phase-0 A57 catches stale keys + unflagged variants. Covers BUG-007/011/013.</t>
        </is>
      </c>
      <c r="K41" s="18" t="inlineStr">
        <is>
          <t>1h</t>
        </is>
      </c>
      <c r="L41" s="18" t="inlineStr">
        <is>
          <t>Data engineer</t>
        </is>
      </c>
      <c r="M41" s="18" t="inlineStr">
        <is>
          <t>tools/check_content_integrity.py (JA-64 + Phase-0 A57 in N5Improvement.txt)</t>
        </is>
      </c>
      <c r="N41" s="18" t="n"/>
      <c r="O41" s="18" t="inlineStr">
        <is>
          <t>Not Yet Run</t>
        </is>
      </c>
      <c r="P41" s="18" t="n"/>
      <c r="Q41" s="18" t="inlineStr">
        <is>
          <t>—</t>
        </is>
      </c>
      <c r="R41" s="18" t="inlineStr">
        <is>
          <t>0%</t>
        </is>
      </c>
    </row>
    <row r="42" ht="87" customHeight="1" s="40">
      <c r="A42" s="18" t="inlineStr">
        <is>
          <t>A-038</t>
        </is>
      </c>
      <c r="B42" s="18" t="inlineStr">
        <is>
          <t>Template-nonsense vocab examples</t>
        </is>
      </c>
      <c r="C42" s="18" t="inlineStr">
        <is>
          <t>1</t>
        </is>
      </c>
      <c r="D42" s="18" t="inlineStr">
        <is>
          <t>No vocab example uses bare `&lt;form&gt;が あります/います` template (JA-96)</t>
        </is>
      </c>
      <c r="E42" s="18" t="inlineStr">
        <is>
          <t>1. Run tools/check_content_integrity.py JA-96.
2. Pass: 0 vocab examples matching the bare-template regex.
3. Reference: BUG-014 (19 such examples on time/abstract/location nouns) + F.21.1 authoring rule (classify noun type before applying template).</t>
        </is>
      </c>
      <c r="F42" s="18" t="inlineStr">
        <is>
          <t>JA-96 PASS — 0 bare-template examples across 998 vocab entries.</t>
        </is>
      </c>
      <c r="G42" s="18" t="inlineStr">
        <is>
          <t>P2</t>
        </is>
      </c>
      <c r="H42" s="18" t="inlineStr">
        <is>
          <t>Major</t>
        </is>
      </c>
      <c r="I42" s="18" t="inlineStr">
        <is>
          <t>Auto</t>
        </is>
      </c>
      <c r="J42" s="18" t="inlineStr">
        <is>
          <t>Locked by CI invariant JA-96 (added 2026-05-16 from BUG-014). Strict regex match — no false positives expected.</t>
        </is>
      </c>
      <c r="K42" s="18" t="inlineStr">
        <is>
          <t>1h</t>
        </is>
      </c>
      <c r="L42" s="18" t="inlineStr">
        <is>
          <t>Data engineer</t>
        </is>
      </c>
      <c r="M42" s="18" t="inlineStr">
        <is>
          <t>tools/check_content_integrity.py (JA-96)</t>
        </is>
      </c>
      <c r="N42" s="18" t="n"/>
      <c r="O42" s="18" t="inlineStr">
        <is>
          <t>Not Yet Run</t>
        </is>
      </c>
      <c r="P42" s="18" t="n"/>
      <c r="Q42" s="18" t="inlineStr">
        <is>
          <t>—</t>
        </is>
      </c>
      <c r="R42" s="18" t="inlineStr">
        <is>
          <t>0%</t>
        </is>
      </c>
    </row>
    <row r="43" ht="72.5" customHeight="1" s="40">
      <c r="A43" s="18" t="inlineStr">
        <is>
          <t>A-039</t>
        </is>
      </c>
      <c r="B43" s="18" t="inlineStr">
        <is>
          <t>Verb transitivity coverage</t>
        </is>
      </c>
      <c r="C43" s="18" t="inlineStr">
        <is>
          <t>1</t>
        </is>
      </c>
      <c r="D43" s="18" t="inlineStr">
        <is>
          <t>Every vocab verb (verb-1/verb-2/verb-3) has `transitivity` in {transitive, intransitive, contact} (JA-98)</t>
        </is>
      </c>
      <c r="E43" s="18" t="inlineStr">
        <is>
          <t>1. Run tools/check_content_integrity.py JA-98.
2. Pass: 132/132 verbs declared with closed-enum value.
3. Spot-check 10 random verbs against JMdict vt/vi tags for accuracy.
4. Reference: BUG-016 + F.21.3 (field-coverage gap class).</t>
        </is>
      </c>
      <c r="F43" s="18" t="inlineStr">
        <is>
          <t>JA-98 PASS — 132/132 verbs classified; spot-check shows ≥9/10 agreement with JMdict.</t>
        </is>
      </c>
      <c r="G43" s="18" t="inlineStr">
        <is>
          <t>P2</t>
        </is>
      </c>
      <c r="H43" s="18" t="inlineStr">
        <is>
          <t>Major</t>
        </is>
      </c>
      <c r="I43" s="18" t="inlineStr">
        <is>
          <t>Auto+Manual</t>
        </is>
      </c>
      <c r="J43" s="18" t="inlineStr">
        <is>
          <t>Locked by JA-98. 'contact' value reserved for encounter verbs per BUG-008 lesson.</t>
        </is>
      </c>
      <c r="K43" s="18" t="inlineStr">
        <is>
          <t>4h</t>
        </is>
      </c>
      <c r="L43" s="18" t="inlineStr">
        <is>
          <t>Data engineer + native Japanese teacher</t>
        </is>
      </c>
      <c r="M43" s="18" t="inlineStr">
        <is>
          <t>tools/check_content_integrity.py (JA-98) + manual JMdict cross-check</t>
        </is>
      </c>
      <c r="N43" s="18" t="n"/>
      <c r="O43" s="18" t="inlineStr">
        <is>
          <t>Not Yet Run</t>
        </is>
      </c>
      <c r="P43" s="18" t="n"/>
      <c r="Q43" s="18" t="inlineStr">
        <is>
          <t>—</t>
        </is>
      </c>
      <c r="R43" s="18" t="inlineStr">
        <is>
          <t>0%</t>
        </is>
      </c>
    </row>
    <row r="44" ht="72.5" customHeight="1" s="40">
      <c r="A44" s="18" t="inlineStr">
        <is>
          <t>A-040</t>
        </is>
      </c>
      <c r="B44" s="18" t="inlineStr">
        <is>
          <t>Scope discipline</t>
        </is>
      </c>
      <c r="C44" s="18" t="inlineStr">
        <is>
          <t>2</t>
        </is>
      </c>
      <c r="D44" s="18" t="inlineStr">
        <is>
          <t>All kanji in vocab.form fields are in N5 whitelist OR explicit exception list (JA-99)</t>
        </is>
      </c>
      <c r="E44" s="18" t="inlineStr">
        <is>
          <t>1. Run tools/check_content_integrity.py JA-99.
2. Pass: 0 OOS kanji in any vocab.form across 995 entries.
3. Reference: BUG-017 (3 OOS kanji 倍/籍/末) + BUG-023 (the inverse — vocab kana-only when kanji IS in scope) + F.22.1.</t>
        </is>
      </c>
      <c r="F44" s="18" t="inlineStr">
        <is>
          <t>JA-99 PASS — 0 OOS kanji in vocab.form.</t>
        </is>
      </c>
      <c r="G44" s="18" t="inlineStr">
        <is>
          <t>P2</t>
        </is>
      </c>
      <c r="H44" s="18" t="inlineStr">
        <is>
          <t>Major</t>
        </is>
      </c>
      <c r="I44" s="18" t="inlineStr">
        <is>
          <t>Auto</t>
        </is>
      </c>
      <c r="J44" s="18" t="inlineStr">
        <is>
          <t>Locked by JA-99. Complements JA-13 (grammar example kanji-scope) for the vocab surface.</t>
        </is>
      </c>
      <c r="K44" s="18" t="inlineStr">
        <is>
          <t>1h</t>
        </is>
      </c>
      <c r="L44" s="18" t="inlineStr">
        <is>
          <t>Data engineer</t>
        </is>
      </c>
      <c r="M44" s="18" t="inlineStr">
        <is>
          <t>tools/check_content_integrity.py (JA-99)</t>
        </is>
      </c>
      <c r="N44" s="18" t="n"/>
      <c r="O44" s="18" t="inlineStr">
        <is>
          <t>Not Yet Run</t>
        </is>
      </c>
      <c r="P44" s="18" t="n"/>
      <c r="Q44" s="18" t="inlineStr">
        <is>
          <t>—</t>
        </is>
      </c>
      <c r="R44" s="18" t="inlineStr">
        <is>
          <t>0%</t>
        </is>
      </c>
    </row>
    <row r="45" ht="72.5" customHeight="1" s="40">
      <c r="A45" s="18" t="inlineStr">
        <is>
          <t>A-041</t>
        </is>
      </c>
      <c r="B45" s="18" t="inlineStr">
        <is>
          <t>primary_reading correctness</t>
        </is>
      </c>
      <c r="C45" s="18" t="inlineStr">
        <is>
          <t>1</t>
        </is>
      </c>
      <c r="D45" s="18" t="inlineStr">
        <is>
          <t>Standalone-kun primary_reading lock for 6 kanji (人/中/外/東/車/国) — kun-yomi at standalone use (JA-102)</t>
        </is>
      </c>
      <c r="E45" s="18" t="inlineStr">
        <is>
          <t>1. Run tools/check_content_integrity.py JA-102.
2. Pass: 人=ひと, 中=なか, 外=そと, 東=ひがし, 車=くるま, 国=くに.
3. Reference: BUG-021 (these 6 had on-yomi as primary despite kun being the standalone form) + F.22.2.</t>
        </is>
      </c>
      <c r="F45" s="18" t="inlineStr">
        <is>
          <t>JA-102 PASS — 6/6 kanji on canonical kun primary_reading.</t>
        </is>
      </c>
      <c r="G45" s="18" t="inlineStr">
        <is>
          <t>P3</t>
        </is>
      </c>
      <c r="H45" s="18" t="inlineStr">
        <is>
          <t>Major</t>
        </is>
      </c>
      <c r="I45" s="18" t="inlineStr">
        <is>
          <t>Auto</t>
        </is>
      </c>
      <c r="J45" s="18" t="inlineStr">
        <is>
          <t>Locked by JA-102. Defensible on-yomi-primary entries (時/社/駅) kept unchanged.</t>
        </is>
      </c>
      <c r="K45" s="18" t="inlineStr">
        <is>
          <t>1h</t>
        </is>
      </c>
      <c r="L45" s="18" t="inlineStr">
        <is>
          <t>Data engineer</t>
        </is>
      </c>
      <c r="M45" s="18" t="inlineStr">
        <is>
          <t>tools/check_content_integrity.py (JA-102)</t>
        </is>
      </c>
      <c r="N45" s="18" t="n"/>
      <c r="O45" s="18" t="inlineStr">
        <is>
          <t>Not Yet Run</t>
        </is>
      </c>
      <c r="P45" s="18" t="n"/>
      <c r="Q45" s="18" t="inlineStr">
        <is>
          <t>—</t>
        </is>
      </c>
      <c r="R45" s="18"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40" min="1" max="1"/>
    <col width="19.08984375" customWidth="1" style="40" min="2" max="2"/>
    <col width="9.08984375" customWidth="1" style="40" min="3" max="3"/>
    <col width="43.6328125" customWidth="1" style="40" min="4" max="4"/>
    <col width="50.90625" customWidth="1" style="40" min="5" max="5"/>
    <col width="40" customWidth="1" style="40" min="6" max="6"/>
    <col width="14.54296875" customWidth="1" style="40" min="7" max="7"/>
    <col width="16.36328125" customWidth="1" style="40" min="8" max="8"/>
    <col width="14.54296875" customWidth="1" style="40" min="9" max="9"/>
    <col width="32.7265625" customWidth="1" style="40" min="10" max="10"/>
    <col width="16" customWidth="1" style="40" min="11" max="11"/>
    <col width="24" customWidth="1" style="40" min="12" max="12"/>
    <col width="32" customWidth="1" style="40" min="13" max="13"/>
    <col width="14" customWidth="1" style="40" min="14" max="15"/>
    <col width="18" customWidth="1" style="40" min="16" max="16"/>
    <col width="16" customWidth="1" style="40" min="17" max="17"/>
    <col width="12" customWidth="1" style="40" min="18" max="18"/>
  </cols>
  <sheetData>
    <row r="1" ht="28" customHeight="1" s="40">
      <c r="A1" s="39" t="inlineStr">
        <is>
          <t>B. JLPT format</t>
        </is>
      </c>
    </row>
    <row r="2" ht="36" customHeight="1" s="40">
      <c r="A2" s="42" t="inlineStr">
        <is>
          <t>Perspectives: JLPT exam-design, JEES-aligned, psychometrician, mock-exam timing specialists (perspectives 11-14)</t>
        </is>
      </c>
    </row>
    <row r="4" ht="24" customHeight="1" s="40">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51" customHeight="1" s="40">
      <c r="A5" s="7" t="inlineStr">
        <is>
          <t>B-001</t>
        </is>
      </c>
      <c r="B5" s="5" t="inlineStr">
        <is>
          <t>Mondai structure</t>
        </is>
      </c>
      <c r="C5" s="6" t="inlineStr">
        <is>
          <t>11</t>
        </is>
      </c>
      <c r="D5" s="5" t="inlineStr">
        <is>
          <t>Mondai 1-6 distribution across paper sections per N5 spec</t>
        </is>
      </c>
      <c r="E5" s="5" t="inlineStr">
        <is>
          <t>1. Inspect papers/{bunpou,goi,moji,dokkai}
2. Verify mondai count matches JEES N5 spec (e.g., dokkai mondai 4=10 items, mondai 5=2 items, mondai 6=1 item)</t>
        </is>
      </c>
      <c r="F5" s="5" t="inlineStr">
        <is>
          <t>Counts match JEES sample paper structure</t>
        </is>
      </c>
      <c r="G5" s="6" t="inlineStr">
        <is>
          <t>P2</t>
        </is>
      </c>
      <c r="H5" s="6" t="inlineStr">
        <is>
          <t>Major</t>
        </is>
      </c>
      <c r="I5" s="6" t="inlineStr">
        <is>
          <t>Manual</t>
        </is>
      </c>
      <c r="J5" s="5" t="inlineStr">
        <is>
          <t>AUDIT-COVERAGE flags difficulty-calibration as unverified</t>
        </is>
      </c>
      <c r="K5" t="inlineStr">
        <is>
          <t>4h</t>
        </is>
      </c>
      <c r="L5" t="inlineStr">
        <is>
          <t>JLPT exam expert (JEES-aligned)</t>
        </is>
      </c>
      <c r="M5" t="inlineStr">
        <is>
          <t>n/a — manual evaluation</t>
        </is>
      </c>
      <c r="O5" t="inlineStr">
        <is>
          <t>Not Yet Run</t>
        </is>
      </c>
      <c r="Q5" t="inlineStr">
        <is>
          <t>—</t>
        </is>
      </c>
      <c r="R5" t="inlineStr">
        <is>
          <t>0%</t>
        </is>
      </c>
    </row>
    <row r="6" ht="42" customHeight="1" s="40">
      <c r="A6" s="7" t="inlineStr">
        <is>
          <t>B-002</t>
        </is>
      </c>
      <c r="B6" s="5" t="inlineStr">
        <is>
          <t>Mondai structure</t>
        </is>
      </c>
      <c r="C6" s="6" t="inlineStr">
        <is>
          <t>11</t>
        </is>
      </c>
      <c r="D6" s="5" t="inlineStr">
        <is>
          <t>Choice count per mondai (3 vs 4 vs 1)</t>
        </is>
      </c>
      <c r="E6" s="5" t="inlineStr">
        <is>
          <t>1. Filter all questions by mondai
2. Verify choice count is JLPT-canonical
3. Currently relaxed: mondai 3 utterance accepts both</t>
        </is>
      </c>
      <c r="F6" s="5" t="inlineStr">
        <is>
          <t>Per-mondai choice count matches spec or has documented exception</t>
        </is>
      </c>
      <c r="G6" s="6" t="inlineStr">
        <is>
          <t>P4</t>
        </is>
      </c>
      <c r="H6" s="6" t="inlineStr">
        <is>
          <t>Minor</t>
        </is>
      </c>
      <c r="I6" s="6" t="inlineStr">
        <is>
          <t>Auto</t>
        </is>
      </c>
      <c r="J6" s="5" t="inlineStr">
        <is>
          <t>Already enforced as gate</t>
        </is>
      </c>
      <c r="K6" t="inlineStr">
        <is>
          <t>1h</t>
        </is>
      </c>
      <c r="L6" t="inlineStr">
        <is>
          <t>JLPT exam expert (JEES-aligned)</t>
        </is>
      </c>
      <c r="M6" t="inlineStr">
        <is>
          <t>tools/check_content_integrity.py (JA-33 — choices-per-mondai check)</t>
        </is>
      </c>
      <c r="O6" t="inlineStr">
        <is>
          <t>Not Yet Run</t>
        </is>
      </c>
      <c r="Q6" t="inlineStr">
        <is>
          <t>—</t>
        </is>
      </c>
      <c r="R6" t="inlineStr">
        <is>
          <t>0%</t>
        </is>
      </c>
    </row>
    <row r="7" ht="43" customHeight="1" s="40">
      <c r="A7" s="7" t="inlineStr">
        <is>
          <t>B-003</t>
        </is>
      </c>
      <c r="B7" s="5" t="inlineStr">
        <is>
          <t>Stem format</t>
        </is>
      </c>
      <c r="C7" s="6" t="inlineStr">
        <is>
          <t>11</t>
        </is>
      </c>
      <c r="D7" s="5" t="inlineStr">
        <is>
          <t>Stem-format conformance to JLPT canonical templates</t>
        </is>
      </c>
      <c r="E7" s="5" t="inlineStr">
        <is>
          <t>1. Verify 86 of 102 papers questions match canonical stems (どこですか / 何時に / etc.)
2. Review 16 non-template stems for justifiability</t>
        </is>
      </c>
      <c r="F7" s="5" t="inlineStr">
        <is>
          <t>All non-template stems are legitimately non-template</t>
        </is>
      </c>
      <c r="G7" s="6" t="inlineStr">
        <is>
          <t>P4</t>
        </is>
      </c>
      <c r="H7" s="6" t="inlineStr">
        <is>
          <t>Minor</t>
        </is>
      </c>
      <c r="I7" s="6" t="inlineStr">
        <is>
          <t>Manual</t>
        </is>
      </c>
      <c r="J7" s="5" t="inlineStr">
        <is>
          <t>Phase C audit: 0 findings against 3 dimensions</t>
        </is>
      </c>
      <c r="K7" t="inlineStr">
        <is>
          <t>4h</t>
        </is>
      </c>
      <c r="L7" t="inlineStr">
        <is>
          <t>JLPT exam expert (JEES-aligned)</t>
        </is>
      </c>
      <c r="M7" t="inlineStr">
        <is>
          <t>n/a — manual evaluation</t>
        </is>
      </c>
      <c r="O7" t="inlineStr">
        <is>
          <t>Not Yet Run</t>
        </is>
      </c>
      <c r="Q7" t="inlineStr">
        <is>
          <t>—</t>
        </is>
      </c>
      <c r="R7" t="inlineStr">
        <is>
          <t>0%</t>
        </is>
      </c>
    </row>
    <row r="8" ht="62" customHeight="1" s="40">
      <c r="A8" s="7" t="inlineStr">
        <is>
          <t>B-004</t>
        </is>
      </c>
      <c r="B8" s="5" t="inlineStr">
        <is>
          <t>Distractor pedagogy</t>
        </is>
      </c>
      <c r="C8" s="6" t="inlineStr">
        <is>
          <t>11</t>
        </is>
      </c>
      <c r="D8" s="5" t="inlineStr">
        <is>
          <t>Distractor plausibility per mondai</t>
        </is>
      </c>
      <c r="E8" s="5" t="inlineStr">
        <is>
          <t>1. For 50 random mondai 1 (kanji-reading) questions, verify distractors are phonetically-near-but-wrong
2. For 50 mondai 4 (paraphrase), verify distractors are semantically-near-but-wrong</t>
        </is>
      </c>
      <c r="F8" s="5" t="inlineStr">
        <is>
          <t>All distractors are pedagogically defensible</t>
        </is>
      </c>
      <c r="G8" s="6" t="inlineStr">
        <is>
          <t>P3</t>
        </is>
      </c>
      <c r="H8" s="6" t="inlineStr">
        <is>
          <t>Major</t>
        </is>
      </c>
      <c r="I8" s="6" t="inlineStr">
        <is>
          <t>Manual</t>
        </is>
      </c>
      <c r="J8" s="5" t="inlineStr">
        <is>
          <t>No automated check today — manual only.</t>
        </is>
      </c>
      <c r="K8" t="inlineStr">
        <is>
          <t>4h</t>
        </is>
      </c>
      <c r="L8" t="inlineStr">
        <is>
          <t>JLPT exam expert (JEES-aligned)</t>
        </is>
      </c>
      <c r="M8" t="inlineStr">
        <is>
          <t>n/a — manual evaluation</t>
        </is>
      </c>
      <c r="O8" t="inlineStr">
        <is>
          <t>Not Yet Run</t>
        </is>
      </c>
      <c r="Q8" t="inlineStr">
        <is>
          <t>—</t>
        </is>
      </c>
      <c r="R8" t="inlineStr">
        <is>
          <t>0%</t>
        </is>
      </c>
    </row>
    <row r="9" ht="30" customHeight="1" s="40">
      <c r="A9" s="7" t="inlineStr">
        <is>
          <t>B-005</t>
        </is>
      </c>
      <c r="B9" s="5" t="inlineStr">
        <is>
          <t>Distractor pedagogy</t>
        </is>
      </c>
      <c r="C9" s="6" t="inlineStr">
        <is>
          <t>11</t>
        </is>
      </c>
      <c r="D9" s="5" t="inlineStr">
        <is>
          <t>Distractor-uniqueness (no duplicate distractors across questions)</t>
        </is>
      </c>
      <c r="E9" s="5" t="inlineStr">
        <is>
          <t>1. Per-paper, scan distractor pool
2. Flag distractor reuse within paper</t>
        </is>
      </c>
      <c r="F9" s="5" t="inlineStr">
        <is>
          <t>0 within-paper duplicate distractors</t>
        </is>
      </c>
      <c r="G9" s="6" t="inlineStr">
        <is>
          <t>P5</t>
        </is>
      </c>
      <c r="H9" s="6" t="inlineStr">
        <is>
          <t>Minor</t>
        </is>
      </c>
      <c r="I9" s="6" t="inlineStr">
        <is>
          <t>Auto</t>
        </is>
      </c>
      <c r="J9" s="5" t="inlineStr">
        <is>
          <t>No automated check today — manual only.</t>
        </is>
      </c>
      <c r="K9" t="inlineStr">
        <is>
          <t>1h</t>
        </is>
      </c>
      <c r="L9" t="inlineStr">
        <is>
          <t>JLPT exam expert (JEES-aligned)</t>
        </is>
      </c>
      <c r="M9" t="inlineStr">
        <is>
          <t>tools/check_content_integrity.py (JA-11 — duplicate MCQ choice guard)</t>
        </is>
      </c>
      <c r="O9" t="inlineStr">
        <is>
          <t>Not Yet Run</t>
        </is>
      </c>
      <c r="Q9" t="inlineStr">
        <is>
          <t>—</t>
        </is>
      </c>
      <c r="R9" t="inlineStr">
        <is>
          <t>0%</t>
        </is>
      </c>
    </row>
    <row r="10" ht="38" customHeight="1" s="40">
      <c r="A10" s="7" t="inlineStr">
        <is>
          <t>B-006</t>
        </is>
      </c>
      <c r="B10" s="5" t="inlineStr">
        <is>
          <t>Difficulty calibration</t>
        </is>
      </c>
      <c r="C10" s="6" t="inlineStr">
        <is>
          <t>12</t>
        </is>
      </c>
      <c r="D10" s="5" t="inlineStr">
        <is>
          <t>Vocab-frequency against N5 official word-list</t>
        </is>
      </c>
      <c r="E10" s="5" t="inlineStr">
        <is>
          <t>1. Cross-check shipped vocab against published N5 frequency lists (Tanos / JEES sample)
2. Flag vocab outside top-N5</t>
        </is>
      </c>
      <c r="F10" s="5" t="inlineStr">
        <is>
          <t>≥95% of shipped vocab is in N5 spec</t>
        </is>
      </c>
      <c r="G10" s="6" t="inlineStr">
        <is>
          <t>P3</t>
        </is>
      </c>
      <c r="H10" s="6" t="inlineStr">
        <is>
          <t>Major</t>
        </is>
      </c>
      <c r="I10" s="6" t="inlineStr">
        <is>
          <t>Auto</t>
        </is>
      </c>
      <c r="J10" s="5"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t>
        </is>
      </c>
      <c r="K10" t="inlineStr">
        <is>
          <t>4h</t>
        </is>
      </c>
      <c r="L10" t="inlineStr">
        <is>
          <t>JLPT exam expert (JEES-aligned)</t>
        </is>
      </c>
      <c r="M10" t="inlineStr">
        <is>
          <t>n/a — manual evaluation</t>
        </is>
      </c>
      <c r="O10" t="inlineStr">
        <is>
          <t>Not Yet Run</t>
        </is>
      </c>
      <c r="Q10" t="inlineStr">
        <is>
          <t>—</t>
        </is>
      </c>
      <c r="R10" t="inlineStr">
        <is>
          <t>0%</t>
        </is>
      </c>
    </row>
    <row r="11" ht="38" customHeight="1" s="40">
      <c r="A11" s="7" t="inlineStr">
        <is>
          <t>B-007</t>
        </is>
      </c>
      <c r="B11" s="5" t="inlineStr">
        <is>
          <t>Difficulty calibration</t>
        </is>
      </c>
      <c r="C11" s="6" t="inlineStr">
        <is>
          <t>12</t>
        </is>
      </c>
      <c r="D11" s="5" t="inlineStr">
        <is>
          <t>Grammar-pattern coverage vs JLPT-N5 official spec</t>
        </is>
      </c>
      <c r="E11" s="5" t="inlineStr">
        <is>
          <t>1. Map 178 patterns to JEES-published N5 grammar items
2. Flag missing official patterns or extra non-spec patterns</t>
        </is>
      </c>
      <c r="F11" s="5" t="inlineStr">
        <is>
          <t>Coverage = published N5 list ± documented exceptions</t>
        </is>
      </c>
      <c r="G11" s="6" t="inlineStr">
        <is>
          <t>P3</t>
        </is>
      </c>
      <c r="H11" s="6" t="inlineStr">
        <is>
          <t>Major</t>
        </is>
      </c>
      <c r="I11" s="6" t="inlineStr">
        <is>
          <t>Manual</t>
        </is>
      </c>
      <c r="J11" s="5" t="inlineStr">
        <is>
          <t>No automated check today — manual only.</t>
        </is>
      </c>
      <c r="K11" t="inlineStr">
        <is>
          <t>4h</t>
        </is>
      </c>
      <c r="L11" t="inlineStr">
        <is>
          <t>JLPT exam expert (JEES-aligned)</t>
        </is>
      </c>
      <c r="M11" t="inlineStr">
        <is>
          <t>n/a — manual evaluation</t>
        </is>
      </c>
      <c r="O11" t="inlineStr">
        <is>
          <t>Not Yet Run</t>
        </is>
      </c>
      <c r="Q11" t="inlineStr">
        <is>
          <t>—</t>
        </is>
      </c>
      <c r="R11" t="inlineStr">
        <is>
          <t>0%</t>
        </is>
      </c>
    </row>
    <row r="12" ht="47" customHeight="1" s="40">
      <c r="A12" s="7" t="inlineStr">
        <is>
          <t>B-008</t>
        </is>
      </c>
      <c r="B12" s="5" t="inlineStr">
        <is>
          <t>Difficulty calibration</t>
        </is>
      </c>
      <c r="C12" s="6" t="inlineStr">
        <is>
          <t>12</t>
        </is>
      </c>
      <c r="D12" s="5" t="inlineStr">
        <is>
          <t>Reading-passage length distribution vs real N5 dokkai</t>
        </is>
      </c>
      <c r="E12" s="5" t="inlineStr">
        <is>
          <t>1. Histogram of shipped passage character counts
2. Compare to JEES sample dokkai (typically 60-150 chars for mondai 4, 200-300 for mondai 5)</t>
        </is>
      </c>
      <c r="F12" s="5" t="inlineStr">
        <is>
          <t>Distribution matches JEES sample</t>
        </is>
      </c>
      <c r="G12" s="6" t="inlineStr">
        <is>
          <t>P3</t>
        </is>
      </c>
      <c r="H12" s="6" t="inlineStr">
        <is>
          <t>Major</t>
        </is>
      </c>
      <c r="I12" s="6" t="inlineStr">
        <is>
          <t>Auto</t>
        </is>
      </c>
      <c r="J12" s="5" t="inlineStr">
        <is>
          <t>No automated check today — manual only.</t>
        </is>
      </c>
      <c r="K12" t="inlineStr">
        <is>
          <t>4h</t>
        </is>
      </c>
      <c r="L12" t="inlineStr">
        <is>
          <t>JLPT exam expert (JEES-aligned)</t>
        </is>
      </c>
      <c r="M12" t="inlineStr">
        <is>
          <t>n/a — manual evaluation</t>
        </is>
      </c>
      <c r="O12" t="inlineStr">
        <is>
          <t>Not Yet Run</t>
        </is>
      </c>
      <c r="Q12" t="inlineStr">
        <is>
          <t>—</t>
        </is>
      </c>
      <c r="R12" t="inlineStr">
        <is>
          <t>0%</t>
        </is>
      </c>
    </row>
    <row r="13" ht="35" customHeight="1" s="40">
      <c r="A13" s="7" t="inlineStr">
        <is>
          <t>B-009</t>
        </is>
      </c>
      <c r="B13" s="5" t="inlineStr">
        <is>
          <t>Difficulty calibration</t>
        </is>
      </c>
      <c r="C13" s="6" t="inlineStr">
        <is>
          <t>12</t>
        </is>
      </c>
      <c r="D13" s="5" t="inlineStr">
        <is>
          <t>Listening-script length + speaker-count distribution</t>
        </is>
      </c>
      <c r="E13" s="5" t="inlineStr">
        <is>
          <t>1. For 50 listening items, measure script_ja chars + speaker count
2. Compare to JEES sample N5 listening</t>
        </is>
      </c>
      <c r="F13" s="5" t="inlineStr">
        <is>
          <t>Distribution matches JEES sample</t>
        </is>
      </c>
      <c r="G13" s="6" t="inlineStr">
        <is>
          <t>P3</t>
        </is>
      </c>
      <c r="H13" s="6" t="inlineStr">
        <is>
          <t>Major</t>
        </is>
      </c>
      <c r="I13" s="6" t="inlineStr">
        <is>
          <t>Auto</t>
        </is>
      </c>
      <c r="J13" s="5" t="inlineStr">
        <is>
          <t>No automated check today — manual only.</t>
        </is>
      </c>
      <c r="K13" t="inlineStr">
        <is>
          <t>4h</t>
        </is>
      </c>
      <c r="L13" t="inlineStr">
        <is>
          <t>JLPT exam expert (JEES-aligned)</t>
        </is>
      </c>
      <c r="M13" t="inlineStr">
        <is>
          <t>n/a — manual evaluation</t>
        </is>
      </c>
      <c r="O13" t="inlineStr">
        <is>
          <t>Not Yet Run</t>
        </is>
      </c>
      <c r="Q13" t="inlineStr">
        <is>
          <t>—</t>
        </is>
      </c>
      <c r="R13" t="inlineStr">
        <is>
          <t>0%</t>
        </is>
      </c>
    </row>
    <row r="14" ht="33" customHeight="1" s="40">
      <c r="A14" s="7" t="inlineStr">
        <is>
          <t>B-010</t>
        </is>
      </c>
      <c r="B14" s="5" t="inlineStr">
        <is>
          <t>Timing realism</t>
        </is>
      </c>
      <c r="C14" s="6" t="inlineStr">
        <is>
          <t>14</t>
        </is>
      </c>
      <c r="D14" s="5" t="inlineStr">
        <is>
          <t>Mock-exam time budget (105 min total for N5)</t>
        </is>
      </c>
      <c r="E14" s="5" t="inlineStr">
        <is>
          <t>1. Measure average reading speed on 5 learners' completing a full mock
2. Verify total time ≤ 105 min</t>
        </is>
      </c>
      <c r="F14" s="5" t="inlineStr">
        <is>
          <t>Most learners finish within JLPT time budget</t>
        </is>
      </c>
      <c r="G14" s="6" t="inlineStr">
        <is>
          <t>P5</t>
        </is>
      </c>
      <c r="H14" s="6" t="inlineStr">
        <is>
          <t>Minor</t>
        </is>
      </c>
      <c r="I14" s="6" t="inlineStr">
        <is>
          <t>Manual</t>
        </is>
      </c>
      <c r="J14" s="5" t="inlineStr">
        <is>
          <t>Needs learner data</t>
        </is>
      </c>
      <c r="K14" t="inlineStr">
        <is>
          <t>4h</t>
        </is>
      </c>
      <c r="L14" t="inlineStr">
        <is>
          <t>JLPT exam expert (JEES-aligned)</t>
        </is>
      </c>
      <c r="M14" t="inlineStr">
        <is>
          <t>n/a — manual evaluation</t>
        </is>
      </c>
      <c r="O14" t="inlineStr">
        <is>
          <t>Not Yet Run</t>
        </is>
      </c>
      <c r="Q14" t="inlineStr">
        <is>
          <t>—</t>
        </is>
      </c>
      <c r="R14" t="inlineStr">
        <is>
          <t>0%</t>
        </is>
      </c>
    </row>
    <row r="15" ht="37" customHeight="1" s="40">
      <c r="A15" s="7" t="inlineStr">
        <is>
          <t>B-011</t>
        </is>
      </c>
      <c r="B15" s="5" t="inlineStr">
        <is>
          <t>Timing realism</t>
        </is>
      </c>
      <c r="C15" s="6" t="inlineStr">
        <is>
          <t>14</t>
        </is>
      </c>
      <c r="D15" s="5" t="inlineStr">
        <is>
          <t>Listening section single-play constraint</t>
        </is>
      </c>
      <c r="E15" s="5" t="inlineStr">
        <is>
          <t>1. Verify audio player disables replay on mock-exam mode
2. Verify gap timing between items matches JEES timing</t>
        </is>
      </c>
      <c r="F15" s="5" t="inlineStr">
        <is>
          <t>Mock-mode enforces single-play</t>
        </is>
      </c>
      <c r="G15" s="6" t="inlineStr">
        <is>
          <t>P3</t>
        </is>
      </c>
      <c r="H15" s="6" t="inlineStr">
        <is>
          <t>Major</t>
        </is>
      </c>
      <c r="I15" s="6" t="inlineStr">
        <is>
          <t>Manual</t>
        </is>
      </c>
      <c r="J15" s="5" t="inlineStr">
        <is>
          <t>No automated check today — manual only.</t>
        </is>
      </c>
      <c r="K15" t="inlineStr">
        <is>
          <t>4h</t>
        </is>
      </c>
      <c r="L15" t="inlineStr">
        <is>
          <t>JLPT exam expert (JEES-aligned)</t>
        </is>
      </c>
      <c r="M15" t="inlineStr">
        <is>
          <t>n/a — manual evaluation</t>
        </is>
      </c>
      <c r="O15" t="inlineStr">
        <is>
          <t>Not Yet Run</t>
        </is>
      </c>
      <c r="Q15" t="inlineStr">
        <is>
          <t>—</t>
        </is>
      </c>
      <c r="R15" t="inlineStr">
        <is>
          <t>0%</t>
        </is>
      </c>
    </row>
    <row r="16" ht="42" customHeight="1" s="40">
      <c r="A16" s="7" t="inlineStr">
        <is>
          <t>B-012</t>
        </is>
      </c>
      <c r="B16" s="5" t="inlineStr">
        <is>
          <t>Item validity</t>
        </is>
      </c>
      <c r="C16" s="6" t="inlineStr">
        <is>
          <t>13</t>
        </is>
      </c>
      <c r="D16" s="5" t="inlineStr">
        <is>
          <t>Item-difficulty p-value estimation (when learner data accumulates)</t>
        </is>
      </c>
      <c r="E16" s="5" t="inlineStr">
        <is>
          <t>1. Per-question, compute (correct learners / total attempts)
2. Flag p &gt; 0.95 (too easy) or p &lt; 0.30 (too hard) for an N5 cohort</t>
        </is>
      </c>
      <c r="F16" s="5" t="inlineStr">
        <is>
          <t>p-distribution centered around 0.65-0.80</t>
        </is>
      </c>
      <c r="G16" s="6" t="inlineStr">
        <is>
          <t>P5</t>
        </is>
      </c>
      <c r="H16" s="6" t="inlineStr">
        <is>
          <t>Minor</t>
        </is>
      </c>
      <c r="I16" s="6" t="inlineStr">
        <is>
          <t>Auto</t>
        </is>
      </c>
      <c r="J16" s="5" t="inlineStr">
        <is>
          <t>Requires learner cohort</t>
        </is>
      </c>
      <c r="K16" t="inlineStr">
        <is>
          <t>4h</t>
        </is>
      </c>
      <c r="L16" t="inlineStr">
        <is>
          <t>JLPT exam expert (JEES-aligned)</t>
        </is>
      </c>
      <c r="M16" t="inlineStr">
        <is>
          <t>n/a — manual evaluation</t>
        </is>
      </c>
      <c r="O16" t="inlineStr">
        <is>
          <t>Not Yet Run</t>
        </is>
      </c>
      <c r="Q16" t="inlineStr">
        <is>
          <t>—</t>
        </is>
      </c>
      <c r="R16" t="inlineStr">
        <is>
          <t>0%</t>
        </is>
      </c>
    </row>
    <row r="17" ht="30" customHeight="1" s="40">
      <c r="A17" s="7" t="inlineStr">
        <is>
          <t>B-013</t>
        </is>
      </c>
      <c r="B17" s="5" t="inlineStr">
        <is>
          <t>Item validity</t>
        </is>
      </c>
      <c r="C17" s="6" t="inlineStr">
        <is>
          <t>13</t>
        </is>
      </c>
      <c r="D17" s="5" t="inlineStr">
        <is>
          <t>Item-discrimination (do top-scoring learners pass it?)</t>
        </is>
      </c>
      <c r="E17" s="5" t="inlineStr">
        <is>
          <t>1. Compute biserial correlation per item
2. Flag items with correlation &lt; 0.2</t>
        </is>
      </c>
      <c r="F17" s="5" t="inlineStr">
        <is>
          <t>All items discriminate &gt; 0.2</t>
        </is>
      </c>
      <c r="G17" s="6" t="inlineStr">
        <is>
          <t>P5</t>
        </is>
      </c>
      <c r="H17" s="6" t="inlineStr">
        <is>
          <t>Minor</t>
        </is>
      </c>
      <c r="I17" s="6" t="inlineStr">
        <is>
          <t>Auto</t>
        </is>
      </c>
      <c r="J17" s="5" t="inlineStr">
        <is>
          <t>Requires learner cohort</t>
        </is>
      </c>
      <c r="K17" t="inlineStr">
        <is>
          <t>4h</t>
        </is>
      </c>
      <c r="L17" t="inlineStr">
        <is>
          <t>JLPT exam expert (JEES-aligned)</t>
        </is>
      </c>
      <c r="M17" t="inlineStr">
        <is>
          <t>n/a — manual evaluation</t>
        </is>
      </c>
      <c r="O17" t="inlineStr">
        <is>
          <t>Not Yet Run</t>
        </is>
      </c>
      <c r="Q17" t="inlineStr">
        <is>
          <t>—</t>
        </is>
      </c>
      <c r="R17" t="inlineStr">
        <is>
          <t>0%</t>
        </is>
      </c>
    </row>
    <row r="18" ht="31" customHeight="1" s="40">
      <c r="A18" s="7" t="inlineStr">
        <is>
          <t>B-014</t>
        </is>
      </c>
      <c r="B18" s="5" t="inlineStr">
        <is>
          <t>Format authenticity</t>
        </is>
      </c>
      <c r="C18" s="6" t="inlineStr">
        <is>
          <t>11</t>
        </is>
      </c>
      <c r="D18" s="5" t="inlineStr">
        <is>
          <t>Vocab-reading mondai format (kanji→reading vs reading→kanji)</t>
        </is>
      </c>
      <c r="E18" s="5" t="inlineStr">
        <is>
          <t>1. Verify mondai 1 = kanji→reading, mondai 2 = reading→kanji
2. Check choice format consistency</t>
        </is>
      </c>
      <c r="F18" s="5" t="inlineStr">
        <is>
          <t>Format matches JEES</t>
        </is>
      </c>
      <c r="G18" s="6" t="inlineStr">
        <is>
          <t>P3</t>
        </is>
      </c>
      <c r="H18" s="6" t="inlineStr">
        <is>
          <t>Major</t>
        </is>
      </c>
      <c r="I18" s="6" t="inlineStr">
        <is>
          <t>Manual</t>
        </is>
      </c>
      <c r="J18" s="5" t="inlineStr">
        <is>
          <t>No automated check today — manual only.</t>
        </is>
      </c>
      <c r="K18" t="inlineStr">
        <is>
          <t>4h</t>
        </is>
      </c>
      <c r="L18" t="inlineStr">
        <is>
          <t>JLPT exam expert (JEES-aligned)</t>
        </is>
      </c>
      <c r="M18" t="inlineStr">
        <is>
          <t>n/a — manual evaluation</t>
        </is>
      </c>
      <c r="O18" t="inlineStr">
        <is>
          <t>Not Yet Run</t>
        </is>
      </c>
      <c r="Q18" t="inlineStr">
        <is>
          <t>—</t>
        </is>
      </c>
      <c r="R18" t="inlineStr">
        <is>
          <t>0%</t>
        </is>
      </c>
    </row>
    <row r="19" ht="30" customHeight="1" s="40">
      <c r="A19" s="7" t="inlineStr">
        <is>
          <t>B-015</t>
        </is>
      </c>
      <c r="B19" s="5" t="inlineStr">
        <is>
          <t>Format authenticity</t>
        </is>
      </c>
      <c r="C19" s="6" t="inlineStr">
        <is>
          <t>11</t>
        </is>
      </c>
      <c r="D19" s="5" t="inlineStr">
        <is>
          <t>Kana-script consistency in mondai 3 (orthography)</t>
        </is>
      </c>
      <c r="E19" s="5" t="inlineStr">
        <is>
          <t>1. Verify mondai 3 (orthography) questions have correct-script choices in expected pattern</t>
        </is>
      </c>
      <c r="F19" s="5" t="inlineStr">
        <is>
          <t>Pattern matches JEES sample</t>
        </is>
      </c>
      <c r="G19" s="6" t="inlineStr">
        <is>
          <t>P4</t>
        </is>
      </c>
      <c r="H19" s="6" t="inlineStr">
        <is>
          <t>Minor</t>
        </is>
      </c>
      <c r="I19" s="6" t="inlineStr">
        <is>
          <t>Manual</t>
        </is>
      </c>
      <c r="J19" s="5" t="inlineStr">
        <is>
          <t>No automated check today — manual only.</t>
        </is>
      </c>
      <c r="K19" t="inlineStr">
        <is>
          <t>4h</t>
        </is>
      </c>
      <c r="L19" t="inlineStr">
        <is>
          <t>JLPT exam expert (JEES-aligned)</t>
        </is>
      </c>
      <c r="M19" t="inlineStr">
        <is>
          <t>n/a — manual evaluation</t>
        </is>
      </c>
      <c r="O19" t="inlineStr">
        <is>
          <t>Not Yet Run</t>
        </is>
      </c>
      <c r="Q19" t="inlineStr">
        <is>
          <t>—</t>
        </is>
      </c>
      <c r="R19" t="inlineStr">
        <is>
          <t>0%</t>
        </is>
      </c>
    </row>
    <row r="20" ht="72.5" customHeight="1" s="40">
      <c r="A20" s="18" t="inlineStr">
        <is>
          <t>B-016</t>
        </is>
      </c>
      <c r="B20" s="18" t="inlineStr">
        <is>
          <t>JEES authenticity</t>
        </is>
      </c>
      <c r="C20" s="18" t="inlineStr">
        <is>
          <t>1</t>
        </is>
      </c>
      <c r="D20" s="18" t="inlineStr">
        <is>
          <t>Side-by-side comparison of mock-test items against JEES sample paper (latest available) per Mondai</t>
        </is>
      </c>
      <c r="E20" s="18" t="inlineStr">
        <is>
          <t>1. Pull JEES public sample paper (2010 or latest available).
2. Pair each of our 4 mondai with its JEES counterpart.
3. JLPT expert reviews question-style, distractor pattern, stem-sentence punctuation, line-break convention.
4. Report deltas per mondai.</t>
        </is>
      </c>
      <c r="F20" s="18" t="inlineStr">
        <is>
          <t>0 critical format deviations; cosmetic deltas documented and accepted/rejected per mondai.</t>
        </is>
      </c>
      <c r="G20" s="18" t="inlineStr">
        <is>
          <t>P2</t>
        </is>
      </c>
      <c r="H20" s="18" t="inlineStr">
        <is>
          <t>Major</t>
        </is>
      </c>
      <c r="I20" s="18" t="inlineStr">
        <is>
          <t>Manual</t>
        </is>
      </c>
      <c r="J20" s="18" t="inlineStr">
        <is>
          <t>[BUG-032 new] Coverage gap caught by editor review.</t>
        </is>
      </c>
      <c r="K20" s="18" t="inlineStr">
        <is>
          <t>1d</t>
        </is>
      </c>
      <c r="L20" s="18" t="inlineStr">
        <is>
          <t>JLPT exam expert (JEES-aligned)</t>
        </is>
      </c>
      <c r="M20" s="18" t="inlineStr">
        <is>
          <t>Manual review by JLPT exam expert + JEES sample paper PDF</t>
        </is>
      </c>
      <c r="N20" s="18" t="n"/>
      <c r="O20" s="18" t="inlineStr">
        <is>
          <t>Not Yet Run</t>
        </is>
      </c>
      <c r="P20" s="18" t="n"/>
      <c r="Q20" s="18" t="inlineStr">
        <is>
          <t>—</t>
        </is>
      </c>
      <c r="R20" s="18" t="inlineStr">
        <is>
          <t>0%</t>
        </is>
      </c>
    </row>
    <row r="21" ht="72.5" customHeight="1" s="40">
      <c r="A21" s="18" t="inlineStr">
        <is>
          <t>B-017</t>
        </is>
      </c>
      <c r="B21" s="18" t="inlineStr">
        <is>
          <t>JEES authenticity</t>
        </is>
      </c>
      <c r="C21" s="18" t="inlineStr">
        <is>
          <t>1</t>
        </is>
      </c>
      <c r="D21" s="18" t="inlineStr">
        <is>
          <t>Format authenticity: stem-sentence punctuation, line-break, blank-line conventions vs JEES sample paper</t>
        </is>
      </c>
      <c r="E21" s="18" t="inlineStr">
        <is>
          <t>1. Sample 20 stems from our questions.json + 20 from JEES sample paper.
2. Compare punctuation use (。/、/「」 frequency), line-break placement, blank-line conventions.
3. Report deltas; fix any deviation from JEES convention.</t>
        </is>
      </c>
      <c r="F21" s="18" t="inlineStr">
        <is>
          <t>All 20 of our samples match JEES convention on punctuation + line-breaks.</t>
        </is>
      </c>
      <c r="G21" s="18" t="inlineStr">
        <is>
          <t>P3</t>
        </is>
      </c>
      <c r="H21" s="18" t="inlineStr">
        <is>
          <t>Major</t>
        </is>
      </c>
      <c r="I21" s="18" t="inlineStr">
        <is>
          <t>Manual</t>
        </is>
      </c>
      <c r="J21" s="18" t="inlineStr">
        <is>
          <t>[BUG-032 new] Replaces vague B-003 angle.</t>
        </is>
      </c>
      <c r="K21" s="18" t="inlineStr">
        <is>
          <t>1d</t>
        </is>
      </c>
      <c r="L21" s="18" t="inlineStr">
        <is>
          <t>JLPT exam expert (JEES-aligned)</t>
        </is>
      </c>
      <c r="M21" s="18" t="inlineStr">
        <is>
          <t>Manual side-by-side review</t>
        </is>
      </c>
      <c r="N21" s="18" t="n"/>
      <c r="O21" s="18" t="inlineStr">
        <is>
          <t>Not Yet Run</t>
        </is>
      </c>
      <c r="P21" s="18" t="n"/>
      <c r="Q21" s="18" t="inlineStr">
        <is>
          <t>—</t>
        </is>
      </c>
      <c r="R21" s="18" t="inlineStr">
        <is>
          <t>0%</t>
        </is>
      </c>
    </row>
    <row r="22" ht="58" customHeight="1" s="40">
      <c r="A22" s="18" t="inlineStr">
        <is>
          <t>B-018</t>
        </is>
      </c>
      <c r="B22" s="18" t="inlineStr">
        <is>
          <t>Stem punctuation</t>
        </is>
      </c>
      <c r="C22" s="18" t="inlineStr">
        <is>
          <t>1</t>
        </is>
      </c>
      <c r="D22" s="18" t="inlineStr">
        <is>
          <t>Stem-sentence punctuation: every fill-in-the-blank stem ends with 。 or ？; blanks rendered with ＿＿＿ not ____ (full-width)</t>
        </is>
      </c>
      <c r="E22" s="18" t="inlineStr">
        <is>
          <t>1. Scan all stem sentences in questions.json.
2. Verify each ends with 。 / ？ / ！; blanks are ＿ (full-width underscore U+FF3F).
3. Report deviations.</t>
        </is>
      </c>
      <c r="F22" s="18" t="inlineStr">
        <is>
          <t>0 stems with half-width underscore; 0 stems without terminal punctuation.</t>
        </is>
      </c>
      <c r="G22" s="18" t="inlineStr">
        <is>
          <t>P3</t>
        </is>
      </c>
      <c r="H22" s="18" t="inlineStr">
        <is>
          <t>Major</t>
        </is>
      </c>
      <c r="I22" s="18" t="inlineStr">
        <is>
          <t>Auto</t>
        </is>
      </c>
      <c r="J22" s="18" t="inlineStr">
        <is>
          <t>[BUG-032 new] Coverage gap — JEES uses full-width punctuation.</t>
        </is>
      </c>
      <c r="K22" s="18" t="inlineStr">
        <is>
          <t>1h</t>
        </is>
      </c>
      <c r="L22" s="18" t="inlineStr">
        <is>
          <t>JLPT exam expert (JEES-aligned)</t>
        </is>
      </c>
      <c r="M22" s="18" t="inlineStr">
        <is>
          <t>Custom Python (regex scan of stem texts)</t>
        </is>
      </c>
      <c r="N22" s="18" t="n"/>
      <c r="O22" s="18" t="inlineStr">
        <is>
          <t>Not Yet Run</t>
        </is>
      </c>
      <c r="P22" s="18" t="n"/>
      <c r="Q22" s="18" t="inlineStr">
        <is>
          <t>—</t>
        </is>
      </c>
      <c r="R22" s="18"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40" min="1" max="1"/>
    <col width="19.08984375" customWidth="1" style="40" min="2" max="2"/>
    <col width="9.08984375" customWidth="1" style="40" min="3" max="3"/>
    <col width="43.6328125" customWidth="1" style="40" min="4" max="4"/>
    <col width="50.90625" customWidth="1" style="40" min="5" max="5"/>
    <col width="40" customWidth="1" style="40" min="6" max="6"/>
    <col width="14.54296875" customWidth="1" style="40" min="7" max="7"/>
    <col width="16.36328125" customWidth="1" style="40" min="8" max="8"/>
    <col width="14.54296875" customWidth="1" style="40" min="9" max="9"/>
    <col width="32.7265625" customWidth="1" style="40" min="10" max="10"/>
    <col width="16" customWidth="1" style="40" min="11" max="11"/>
    <col width="24" customWidth="1" style="40" min="12" max="12"/>
    <col width="32" customWidth="1" style="40" min="13" max="13"/>
    <col width="14" customWidth="1" style="40" min="14" max="15"/>
    <col width="18" customWidth="1" style="40" min="16" max="16"/>
    <col width="16" customWidth="1" style="40" min="17" max="17"/>
    <col width="12" customWidth="1" style="40" min="18" max="18"/>
  </cols>
  <sheetData>
    <row r="1" ht="28" customHeight="1" s="40">
      <c r="A1" s="39" t="inlineStr">
        <is>
          <t>C. Hindi locale</t>
        </is>
      </c>
    </row>
    <row r="2" ht="36" customHeight="1" s="40">
      <c r="A2" s="42" t="inlineStr">
        <is>
          <t>Perspectives: Native-Hindi reviewer, Hindi pedagogical terminology, Devanagari typography, Hindi register, EN↔HI bilingual (perspectives 15-19)</t>
        </is>
      </c>
    </row>
    <row r="4" ht="24" customHeight="1" s="40">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43" customHeight="1" s="40">
      <c r="A5" s="7" t="inlineStr">
        <is>
          <t>C-001</t>
        </is>
      </c>
      <c r="B5" s="5" t="inlineStr">
        <is>
          <t>Naturalness</t>
        </is>
      </c>
      <c r="C5" s="6" t="inlineStr">
        <is>
          <t>15</t>
        </is>
      </c>
      <c r="D5" s="5" t="inlineStr">
        <is>
          <t>Random-sample 150 explanation_hi for native-speaker naturalness</t>
        </is>
      </c>
      <c r="E5" s="5" t="inlineStr">
        <is>
          <t>1. Random-sample 150 Hindi explanation strings (reading + questions + vocab)
2. Native Hindi reviewer rates NATURAL/AWKWARD/WRONG</t>
        </is>
      </c>
      <c r="F5" s="5" t="inlineStr">
        <is>
          <t>≥95% NATURAL</t>
        </is>
      </c>
      <c r="G5" s="6" t="inlineStr">
        <is>
          <t>P2</t>
        </is>
      </c>
      <c r="H5" s="6" t="inlineStr">
        <is>
          <t>Major</t>
        </is>
      </c>
      <c r="I5" s="6" t="inlineStr">
        <is>
          <t>Manual</t>
        </is>
      </c>
      <c r="J5" s="5"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t>
        </is>
      </c>
      <c r="K5" t="inlineStr">
        <is>
          <t>1wk</t>
        </is>
      </c>
      <c r="L5" t="inlineStr">
        <is>
          <t>Native Hindi teacher</t>
        </is>
      </c>
      <c r="M5" t="inlineStr">
        <is>
          <t>n/a — manual evaluation</t>
        </is>
      </c>
      <c r="O5" t="inlineStr">
        <is>
          <t>Not Yet Run</t>
        </is>
      </c>
      <c r="Q5" t="inlineStr">
        <is>
          <t>—</t>
        </is>
      </c>
      <c r="R5" t="inlineStr">
        <is>
          <t>0%</t>
        </is>
      </c>
    </row>
    <row r="6" ht="32" customHeight="1" s="40">
      <c r="A6" s="7" t="inlineStr">
        <is>
          <t>C-002</t>
        </is>
      </c>
      <c r="B6" s="5" t="inlineStr">
        <is>
          <t>Naturalness</t>
        </is>
      </c>
      <c r="C6" s="6" t="inlineStr">
        <is>
          <t>15</t>
        </is>
      </c>
      <c r="D6" s="5" t="inlineStr">
        <is>
          <t>Distractor_explanations_hi clarity for learners</t>
        </is>
      </c>
      <c r="E6" s="5" t="inlineStr">
        <is>
          <t>1. Random-sample 100 distractor explanations
2. Native Hindi reviewer rates CLEAR/CONFUSING/WRONG</t>
        </is>
      </c>
      <c r="F6" s="5" t="inlineStr">
        <is>
          <t>≥95% CLEAR</t>
        </is>
      </c>
      <c r="G6" s="6" t="inlineStr">
        <is>
          <t>P2</t>
        </is>
      </c>
      <c r="H6" s="6" t="inlineStr">
        <is>
          <t>Major</t>
        </is>
      </c>
      <c r="I6" s="6" t="inlineStr">
        <is>
          <t>Manual</t>
        </is>
      </c>
      <c r="J6" s="5" t="inlineStr">
        <is>
          <t>No automated check today — manual only.</t>
        </is>
      </c>
      <c r="K6" t="inlineStr">
        <is>
          <t>1d</t>
        </is>
      </c>
      <c r="L6" t="inlineStr">
        <is>
          <t>Native Hindi teacher</t>
        </is>
      </c>
      <c r="M6" t="inlineStr">
        <is>
          <t>n/a — manual evaluation</t>
        </is>
      </c>
      <c r="O6" t="inlineStr">
        <is>
          <t>Not Yet Run</t>
        </is>
      </c>
      <c r="Q6" t="inlineStr">
        <is>
          <t>—</t>
        </is>
      </c>
      <c r="R6" t="inlineStr">
        <is>
          <t>0%</t>
        </is>
      </c>
    </row>
    <row r="7" ht="33" customHeight="1" s="40">
      <c r="A7" s="7" t="inlineStr">
        <is>
          <t>C-003</t>
        </is>
      </c>
      <c r="B7" s="5" t="inlineStr">
        <is>
          <t>Naturalness</t>
        </is>
      </c>
      <c r="C7" s="6" t="inlineStr">
        <is>
          <t>15</t>
        </is>
      </c>
      <c r="D7" s="5" t="inlineStr">
        <is>
          <t>rationale_hi pedagogical quality for dokkai questions</t>
        </is>
      </c>
      <c r="E7" s="5" t="inlineStr">
        <is>
          <t>1. Review all 102 dokkai rationale_hi
2. Verify each explains why correct + why distractors are wrong</t>
        </is>
      </c>
      <c r="F7" s="5" t="inlineStr">
        <is>
          <t>All rationales pedagogically sound</t>
        </is>
      </c>
      <c r="G7" s="6" t="inlineStr">
        <is>
          <t>P2</t>
        </is>
      </c>
      <c r="H7" s="6" t="inlineStr">
        <is>
          <t>Major</t>
        </is>
      </c>
      <c r="I7" s="6" t="inlineStr">
        <is>
          <t>Manual</t>
        </is>
      </c>
      <c r="J7" s="5" t="inlineStr">
        <is>
          <t>No automated check today — manual only.</t>
        </is>
      </c>
      <c r="K7" t="inlineStr">
        <is>
          <t>1d</t>
        </is>
      </c>
      <c r="L7" t="inlineStr">
        <is>
          <t>Native Hindi teacher</t>
        </is>
      </c>
      <c r="M7" t="inlineStr">
        <is>
          <t>n/a — manual evaluation</t>
        </is>
      </c>
      <c r="O7" t="inlineStr">
        <is>
          <t>Not Yet Run</t>
        </is>
      </c>
      <c r="Q7" t="inlineStr">
        <is>
          <t>—</t>
        </is>
      </c>
      <c r="R7" t="inlineStr">
        <is>
          <t>0%</t>
        </is>
      </c>
    </row>
    <row r="8" ht="30" customHeight="1" s="40">
      <c r="A8" s="7" t="inlineStr">
        <is>
          <t>C-004</t>
        </is>
      </c>
      <c r="B8" s="5" t="inlineStr">
        <is>
          <t>Terminology</t>
        </is>
      </c>
      <c r="C8" s="6" t="inlineStr">
        <is>
          <t>16</t>
        </is>
      </c>
      <c r="D8" s="5" t="inlineStr">
        <is>
          <t>Linguistic-term consistency: subject (कर्ता / विषय / subject)</t>
        </is>
      </c>
      <c r="E8" s="5" t="inlineStr">
        <is>
          <t>1. Grep all data/*.json for कर्ता / विषय / subject
2. Normalize to one term per concept</t>
        </is>
      </c>
      <c r="F8" s="5" t="inlineStr">
        <is>
          <t>One canonical term per linguistic concept</t>
        </is>
      </c>
      <c r="G8" s="6" t="inlineStr">
        <is>
          <t>P3</t>
        </is>
      </c>
      <c r="H8" s="6" t="inlineStr">
        <is>
          <t>Major</t>
        </is>
      </c>
      <c r="I8" s="6" t="inlineStr">
        <is>
          <t>Auto+Manual</t>
        </is>
      </c>
      <c r="J8" s="5" t="inlineStr">
        <is>
          <t>Drift likely across 12 corpora</t>
        </is>
      </c>
      <c r="K8" t="inlineStr">
        <is>
          <t>1d</t>
        </is>
      </c>
      <c r="L8" t="inlineStr">
        <is>
          <t>Native Hindi teacher</t>
        </is>
      </c>
      <c r="M8" t="inlineStr">
        <is>
          <t>n/a — manual evaluation</t>
        </is>
      </c>
      <c r="O8" t="inlineStr">
        <is>
          <t>Not Yet Run</t>
        </is>
      </c>
      <c r="Q8" t="inlineStr">
        <is>
          <t>—</t>
        </is>
      </c>
      <c r="R8" t="inlineStr">
        <is>
          <t>0%</t>
        </is>
      </c>
    </row>
    <row r="9" ht="30" customHeight="1" s="40">
      <c r="A9" s="7" t="inlineStr">
        <is>
          <t>C-005</t>
        </is>
      </c>
      <c r="B9" s="5" t="inlineStr">
        <is>
          <t>Terminology</t>
        </is>
      </c>
      <c r="C9" s="6" t="inlineStr">
        <is>
          <t>16</t>
        </is>
      </c>
      <c r="D9" s="5" t="inlineStr">
        <is>
          <t>Verb-class naming in Hindi (Group 1/2/3 vs godan/ichidan)</t>
        </is>
      </c>
      <c r="E9" s="5" t="inlineStr">
        <is>
          <t>1. Verify Hindi verb-class names are consistent
2. Choose canonical Hindi term and lock</t>
        </is>
      </c>
      <c r="F9" s="5" t="inlineStr">
        <is>
          <t>All verb-class references use one Hindi term</t>
        </is>
      </c>
      <c r="G9" s="6" t="inlineStr">
        <is>
          <t>P3</t>
        </is>
      </c>
      <c r="H9" s="6" t="inlineStr">
        <is>
          <t>Major</t>
        </is>
      </c>
      <c r="I9" s="6" t="inlineStr">
        <is>
          <t>Manual</t>
        </is>
      </c>
      <c r="J9" s="5" t="inlineStr">
        <is>
          <t>No automated check today — manual only.</t>
        </is>
      </c>
      <c r="K9" t="inlineStr">
        <is>
          <t>1d</t>
        </is>
      </c>
      <c r="L9" t="inlineStr">
        <is>
          <t>Native Hindi teacher</t>
        </is>
      </c>
      <c r="M9" t="inlineStr">
        <is>
          <t>n/a — manual evaluation</t>
        </is>
      </c>
      <c r="O9" t="inlineStr">
        <is>
          <t>Not Yet Run</t>
        </is>
      </c>
      <c r="Q9" t="inlineStr">
        <is>
          <t>—</t>
        </is>
      </c>
      <c r="R9" t="inlineStr">
        <is>
          <t>0%</t>
        </is>
      </c>
    </row>
    <row r="10" ht="32" customHeight="1" s="40">
      <c r="A10" s="7" t="inlineStr">
        <is>
          <t>C-006</t>
        </is>
      </c>
      <c r="B10" s="5" t="inlineStr">
        <is>
          <t>Terminology</t>
        </is>
      </c>
      <c r="C10" s="6" t="inlineStr">
        <is>
          <t>16</t>
        </is>
      </c>
      <c r="D10" s="5" t="inlineStr">
        <is>
          <t>Particle name consistency in Hindi grammar explanations</t>
        </is>
      </c>
      <c r="E10" s="5" t="inlineStr">
        <is>
          <t>1. Verify particle names (が = कर्ता-कारक vs subject-marker vs subject particle)
2. Pick canonical</t>
        </is>
      </c>
      <c r="F10" s="5" t="inlineStr">
        <is>
          <t>Particle naming consistent across grammar.json + reading.json + questions.json</t>
        </is>
      </c>
      <c r="G10" s="6" t="inlineStr">
        <is>
          <t>P3</t>
        </is>
      </c>
      <c r="H10" s="6" t="inlineStr">
        <is>
          <t>Major</t>
        </is>
      </c>
      <c r="I10" s="6" t="inlineStr">
        <is>
          <t>Manual</t>
        </is>
      </c>
      <c r="J10" s="5" t="inlineStr">
        <is>
          <t>No automated check today — manual only.</t>
        </is>
      </c>
      <c r="K10" t="inlineStr">
        <is>
          <t>1d</t>
        </is>
      </c>
      <c r="L10" t="inlineStr">
        <is>
          <t>Native Hindi teacher</t>
        </is>
      </c>
      <c r="M10" t="inlineStr">
        <is>
          <t>n/a — manual evaluation</t>
        </is>
      </c>
      <c r="O10" t="inlineStr">
        <is>
          <t>Not Yet Run</t>
        </is>
      </c>
      <c r="Q10" t="inlineStr">
        <is>
          <t>—</t>
        </is>
      </c>
      <c r="R10" t="inlineStr">
        <is>
          <t>0%</t>
        </is>
      </c>
    </row>
    <row r="11" ht="37" customHeight="1" s="40">
      <c r="A11" s="7" t="inlineStr">
        <is>
          <t>C-007</t>
        </is>
      </c>
      <c r="B11" s="5" t="inlineStr">
        <is>
          <t>Typography</t>
        </is>
      </c>
      <c r="C11" s="6" t="inlineStr">
        <is>
          <t>17</t>
        </is>
      </c>
      <c r="D11" s="5" t="inlineStr">
        <is>
          <t>Devanagari vowel-sign (matra) rendering across all browsers</t>
        </is>
      </c>
      <c r="E11" s="5" t="inlineStr">
        <is>
          <t>1. Render sample page on Chrome / Firefox / Safari / Edge
2. Verify ि, ु, े, ो etc. attach to correct consonant</t>
        </is>
      </c>
      <c r="F11" s="5" t="inlineStr">
        <is>
          <t>0 mis-attached matras</t>
        </is>
      </c>
      <c r="G11" s="6" t="inlineStr">
        <is>
          <t>P4</t>
        </is>
      </c>
      <c r="H11" s="6" t="inlineStr">
        <is>
          <t>Major</t>
        </is>
      </c>
      <c r="I11" s="6" t="inlineStr">
        <is>
          <t>Manual</t>
        </is>
      </c>
      <c r="J11" s="5" t="inlineStr">
        <is>
          <t>No automated check today — manual only.</t>
        </is>
      </c>
      <c r="K11" t="inlineStr">
        <is>
          <t>1d</t>
        </is>
      </c>
      <c r="L11" t="inlineStr">
        <is>
          <t>Native Hindi teacher</t>
        </is>
      </c>
      <c r="M11" t="inlineStr">
        <is>
          <t>n/a — manual evaluation</t>
        </is>
      </c>
      <c r="O11" t="inlineStr">
        <is>
          <t>Not Yet Run</t>
        </is>
      </c>
      <c r="Q11" t="inlineStr">
        <is>
          <t>—</t>
        </is>
      </c>
      <c r="R11" t="inlineStr">
        <is>
          <t>0%</t>
        </is>
      </c>
    </row>
    <row r="12" ht="30" customHeight="1" s="40">
      <c r="A12" s="7" t="inlineStr">
        <is>
          <t>C-008</t>
        </is>
      </c>
      <c r="B12" s="5" t="inlineStr">
        <is>
          <t>Typography</t>
        </is>
      </c>
      <c r="C12" s="6" t="inlineStr">
        <is>
          <t>17</t>
        </is>
      </c>
      <c r="D12" s="5" t="inlineStr">
        <is>
          <t>Conjunct-consonant ligature rendering</t>
        </is>
      </c>
      <c r="E12" s="5" t="inlineStr">
        <is>
          <t>1. Render strings with क्ष, त्र, ज्ञ, द्ध
2. Verify ligature forms display correctly</t>
        </is>
      </c>
      <c r="F12" s="5" t="inlineStr">
        <is>
          <t>All ligatures display as ligatures, not split</t>
        </is>
      </c>
      <c r="G12" s="6" t="inlineStr">
        <is>
          <t>P4</t>
        </is>
      </c>
      <c r="H12" s="6" t="inlineStr">
        <is>
          <t>Major</t>
        </is>
      </c>
      <c r="I12" s="6" t="inlineStr">
        <is>
          <t>Manual</t>
        </is>
      </c>
      <c r="J12" s="5" t="inlineStr">
        <is>
          <t>No automated check today — manual only.</t>
        </is>
      </c>
      <c r="K12" t="inlineStr">
        <is>
          <t>1d</t>
        </is>
      </c>
      <c r="L12" t="inlineStr">
        <is>
          <t>Native Hindi teacher</t>
        </is>
      </c>
      <c r="M12" t="inlineStr">
        <is>
          <t>n/a — manual evaluation</t>
        </is>
      </c>
      <c r="O12" t="inlineStr">
        <is>
          <t>Not Yet Run</t>
        </is>
      </c>
      <c r="Q12" t="inlineStr">
        <is>
          <t>—</t>
        </is>
      </c>
      <c r="R12" t="inlineStr">
        <is>
          <t>0%</t>
        </is>
      </c>
    </row>
    <row r="13" ht="31" customHeight="1" s="40">
      <c r="A13" s="7" t="inlineStr">
        <is>
          <t>C-009</t>
        </is>
      </c>
      <c r="B13" s="5" t="inlineStr">
        <is>
          <t>Typography</t>
        </is>
      </c>
      <c r="C13" s="6" t="inlineStr">
        <is>
          <t>17</t>
        </is>
      </c>
      <c r="D13" s="5" t="inlineStr">
        <is>
          <t>Font fallback when Devanagari font is missing</t>
        </is>
      </c>
      <c r="E13" s="5" t="inlineStr">
        <is>
          <t>1. Simulate user without Noto Sans Devanagari
2. Verify graceful fallback (system Hindi font)</t>
        </is>
      </c>
      <c r="F13" s="5" t="inlineStr">
        <is>
          <t>Fallback acceptable; no tofu / boxes</t>
        </is>
      </c>
      <c r="G13" s="6" t="inlineStr">
        <is>
          <t>P5</t>
        </is>
      </c>
      <c r="H13" s="6" t="inlineStr">
        <is>
          <t>Minor</t>
        </is>
      </c>
      <c r="I13" s="6" t="inlineStr">
        <is>
          <t>Manual</t>
        </is>
      </c>
      <c r="J13" s="5" t="inlineStr">
        <is>
          <t>No automated check today — manual only.</t>
        </is>
      </c>
      <c r="K13" t="inlineStr">
        <is>
          <t>1d</t>
        </is>
      </c>
      <c r="L13" t="inlineStr">
        <is>
          <t>Native Hindi teacher</t>
        </is>
      </c>
      <c r="M13" t="inlineStr">
        <is>
          <t>n/a — manual evaluation</t>
        </is>
      </c>
      <c r="O13" t="inlineStr">
        <is>
          <t>Not Yet Run</t>
        </is>
      </c>
      <c r="Q13" t="inlineStr">
        <is>
          <t>—</t>
        </is>
      </c>
      <c r="R13" t="inlineStr">
        <is>
          <t>0%</t>
        </is>
      </c>
    </row>
    <row r="14" ht="33" customHeight="1" s="40">
      <c r="A14" s="7" t="inlineStr">
        <is>
          <t>C-010</t>
        </is>
      </c>
      <c r="B14" s="5" t="inlineStr">
        <is>
          <t>Typography</t>
        </is>
      </c>
      <c r="C14" s="6" t="inlineStr">
        <is>
          <t>17</t>
        </is>
      </c>
      <c r="D14" s="5" t="inlineStr">
        <is>
          <t>Mixed Devanagari + CJK + Latin baseline alignment</t>
        </is>
      </c>
      <c r="E14" s="5" t="inlineStr">
        <is>
          <t>1. Render strings combining Hindi + Japanese + English on one line
2. Verify baselines align visually</t>
        </is>
      </c>
      <c r="F14" s="5" t="inlineStr">
        <is>
          <t>Acceptable baseline alignment</t>
        </is>
      </c>
      <c r="G14" s="6" t="inlineStr">
        <is>
          <t>P5</t>
        </is>
      </c>
      <c r="H14" s="6" t="inlineStr">
        <is>
          <t>Minor</t>
        </is>
      </c>
      <c r="I14" s="6" t="inlineStr">
        <is>
          <t>Manual</t>
        </is>
      </c>
      <c r="J14" s="5" t="inlineStr">
        <is>
          <t>No automated check today — manual only.</t>
        </is>
      </c>
      <c r="K14" t="inlineStr">
        <is>
          <t>1d</t>
        </is>
      </c>
      <c r="L14" t="inlineStr">
        <is>
          <t>Native Hindi teacher</t>
        </is>
      </c>
      <c r="M14" t="inlineStr">
        <is>
          <t>n/a — manual evaluation</t>
        </is>
      </c>
      <c r="O14" t="inlineStr">
        <is>
          <t>Not Yet Run</t>
        </is>
      </c>
      <c r="Q14" t="inlineStr">
        <is>
          <t>—</t>
        </is>
      </c>
      <c r="R14" t="inlineStr">
        <is>
          <t>0%</t>
        </is>
      </c>
    </row>
    <row r="15" ht="33" customHeight="1" s="40">
      <c r="A15" s="7" t="inlineStr">
        <is>
          <t>C-011</t>
        </is>
      </c>
      <c r="B15" s="5" t="inlineStr">
        <is>
          <t>Register</t>
        </is>
      </c>
      <c r="C15" s="6" t="inlineStr">
        <is>
          <t>18</t>
        </is>
      </c>
      <c r="D15" s="5" t="inlineStr">
        <is>
          <t>Formal vs informal Hindi register coherence within explanations</t>
        </is>
      </c>
      <c r="E15" s="5" t="inlineStr">
        <is>
          <t>1. Native Hindi reviewer reads each explanation_hi paragraph
2. Flag mid-paragraph register-switching</t>
        </is>
      </c>
      <c r="F15" s="5" t="inlineStr">
        <is>
          <t>0 unintended register switches</t>
        </is>
      </c>
      <c r="G15" s="6" t="inlineStr">
        <is>
          <t>P3</t>
        </is>
      </c>
      <c r="H15" s="6" t="inlineStr">
        <is>
          <t>Major</t>
        </is>
      </c>
      <c r="I15" s="6" t="inlineStr">
        <is>
          <t>Manual</t>
        </is>
      </c>
      <c r="J15" s="5" t="inlineStr">
        <is>
          <t>No automated check today — manual only.</t>
        </is>
      </c>
      <c r="K15" t="inlineStr">
        <is>
          <t>1d</t>
        </is>
      </c>
      <c r="L15" t="inlineStr">
        <is>
          <t>Native Hindi teacher</t>
        </is>
      </c>
      <c r="M15" t="inlineStr">
        <is>
          <t>n/a — manual evaluation</t>
        </is>
      </c>
      <c r="O15" t="inlineStr">
        <is>
          <t>Not Yet Run</t>
        </is>
      </c>
      <c r="Q15" t="inlineStr">
        <is>
          <t>—</t>
        </is>
      </c>
      <c r="R15" t="inlineStr">
        <is>
          <t>0%</t>
        </is>
      </c>
    </row>
    <row r="16" ht="48" customHeight="1" s="40">
      <c r="A16" s="7" t="inlineStr">
        <is>
          <t>C-012</t>
        </is>
      </c>
      <c r="B16" s="5" t="inlineStr">
        <is>
          <t>Register</t>
        </is>
      </c>
      <c r="C16" s="6" t="inlineStr">
        <is>
          <t>18</t>
        </is>
      </c>
      <c r="D16" s="5" t="inlineStr">
        <is>
          <t>Sanskritized vs Persianized vocabulary balance</t>
        </is>
      </c>
      <c r="E16" s="5" t="inlineStr">
        <is>
          <t>1. Native reviewer judges whether Hindi register is acceptable for pan-Indian audience
2. Flag overly-Sanskritized OR overly-Urdu-leaning entries</t>
        </is>
      </c>
      <c r="F16" s="5" t="inlineStr">
        <is>
          <t>Balanced 'standard Hindi'</t>
        </is>
      </c>
      <c r="G16" s="6" t="inlineStr">
        <is>
          <t>P4</t>
        </is>
      </c>
      <c r="H16" s="6" t="inlineStr">
        <is>
          <t>Minor</t>
        </is>
      </c>
      <c r="I16" s="6" t="inlineStr">
        <is>
          <t>Manual</t>
        </is>
      </c>
      <c r="J16" s="5" t="inlineStr">
        <is>
          <t>No automated check today — manual only.</t>
        </is>
      </c>
      <c r="K16" t="inlineStr">
        <is>
          <t>1d</t>
        </is>
      </c>
      <c r="L16" t="inlineStr">
        <is>
          <t>Native Hindi teacher</t>
        </is>
      </c>
      <c r="M16" t="inlineStr">
        <is>
          <t>n/a — manual evaluation</t>
        </is>
      </c>
      <c r="O16" t="inlineStr">
        <is>
          <t>Not Yet Run</t>
        </is>
      </c>
      <c r="Q16" t="inlineStr">
        <is>
          <t>—</t>
        </is>
      </c>
      <c r="R16" t="inlineStr">
        <is>
          <t>0%</t>
        </is>
      </c>
    </row>
    <row r="17" ht="30" customHeight="1" s="40">
      <c r="A17" s="7" t="inlineStr">
        <is>
          <t>C-013</t>
        </is>
      </c>
      <c r="B17" s="5" t="inlineStr">
        <is>
          <t>Register</t>
        </is>
      </c>
      <c r="C17" s="6" t="inlineStr">
        <is>
          <t>18</t>
        </is>
      </c>
      <c r="D17" s="5" t="inlineStr">
        <is>
          <t>Regional-variant neutrality (avoid Bombay / Delhi / South-India-specific idioms)</t>
        </is>
      </c>
      <c r="E17" s="5" t="inlineStr">
        <is>
          <t>1. Native reviewer scans for regionally-marked vocab
2. Replace with pan-Indian equivalents</t>
        </is>
      </c>
      <c r="F17" s="5" t="inlineStr">
        <is>
          <t>0 regionally-marked vocab</t>
        </is>
      </c>
      <c r="G17" s="6" t="inlineStr">
        <is>
          <t>P5</t>
        </is>
      </c>
      <c r="H17" s="6" t="inlineStr">
        <is>
          <t>Minor</t>
        </is>
      </c>
      <c r="I17" s="6" t="inlineStr">
        <is>
          <t>Manual</t>
        </is>
      </c>
      <c r="J17" s="5" t="inlineStr">
        <is>
          <t>No automated check today — manual only.</t>
        </is>
      </c>
      <c r="K17" t="inlineStr">
        <is>
          <t>1d</t>
        </is>
      </c>
      <c r="L17" t="inlineStr">
        <is>
          <t>Native Hindi teacher</t>
        </is>
      </c>
      <c r="M17" t="inlineStr">
        <is>
          <t>n/a — manual evaluation</t>
        </is>
      </c>
      <c r="O17" t="inlineStr">
        <is>
          <t>Not Yet Run</t>
        </is>
      </c>
      <c r="Q17" t="inlineStr">
        <is>
          <t>—</t>
        </is>
      </c>
      <c r="R17" t="inlineStr">
        <is>
          <t>0%</t>
        </is>
      </c>
    </row>
    <row r="18" ht="37" customHeight="1" s="40">
      <c r="A18" s="7" t="inlineStr">
        <is>
          <t>C-014</t>
        </is>
      </c>
      <c r="B18" s="5" t="inlineStr">
        <is>
          <t>Cross-language drift</t>
        </is>
      </c>
      <c r="C18" s="6" t="inlineStr">
        <is>
          <t>19</t>
        </is>
      </c>
      <c r="D18" s="5" t="inlineStr">
        <is>
          <t>EN ↔ HI semantic equivalence on the same JA sentence</t>
        </is>
      </c>
      <c r="E18" s="5" t="inlineStr">
        <is>
          <t>1. Sample 100 sentences with explanation_en + explanation_hi
2. Bilingual reviewer verifies meaning equivalence</t>
        </is>
      </c>
      <c r="F18" s="5" t="inlineStr">
        <is>
          <t>0 semantic drift cases</t>
        </is>
      </c>
      <c r="G18" s="6" t="inlineStr">
        <is>
          <t>P3</t>
        </is>
      </c>
      <c r="H18" s="6" t="inlineStr">
        <is>
          <t>Major</t>
        </is>
      </c>
      <c r="I18" s="6" t="inlineStr">
        <is>
          <t>Manual</t>
        </is>
      </c>
      <c r="J18" s="5" t="inlineStr">
        <is>
          <t>Never cross-checked</t>
        </is>
      </c>
      <c r="K18" t="inlineStr">
        <is>
          <t>1d</t>
        </is>
      </c>
      <c r="L18" t="inlineStr">
        <is>
          <t>Native Hindi teacher</t>
        </is>
      </c>
      <c r="M18" t="inlineStr">
        <is>
          <t>n/a — manual evaluation</t>
        </is>
      </c>
      <c r="O18" t="inlineStr">
        <is>
          <t>Not Yet Run</t>
        </is>
      </c>
      <c r="Q18" t="inlineStr">
        <is>
          <t>—</t>
        </is>
      </c>
      <c r="R18" t="inlineStr">
        <is>
          <t>0%</t>
        </is>
      </c>
    </row>
    <row r="19" ht="30" customHeight="1" s="40">
      <c r="A19" s="7" t="inlineStr">
        <is>
          <t>C-015</t>
        </is>
      </c>
      <c r="B19" s="5" t="inlineStr">
        <is>
          <t>Cross-language drift</t>
        </is>
      </c>
      <c r="C19" s="6" t="inlineStr">
        <is>
          <t>19</t>
        </is>
      </c>
      <c r="D19" s="5" t="inlineStr">
        <is>
          <t>Hindi-version pedagogical depth = English-version pedagogical depth</t>
        </is>
      </c>
      <c r="E19" s="5" t="inlineStr">
        <is>
          <t>1. For 50 grammar-pattern explanations, verify Hindi explains as much as English</t>
        </is>
      </c>
      <c r="F19" s="5" t="inlineStr">
        <is>
          <t>Hindi-version not noticeably thinner</t>
        </is>
      </c>
      <c r="G19" s="6" t="inlineStr">
        <is>
          <t>P3</t>
        </is>
      </c>
      <c r="H19" s="6" t="inlineStr">
        <is>
          <t>Major</t>
        </is>
      </c>
      <c r="I19" s="6" t="inlineStr">
        <is>
          <t>Manual</t>
        </is>
      </c>
      <c r="J19" s="5" t="inlineStr">
        <is>
          <t>No automated check today — manual only.</t>
        </is>
      </c>
      <c r="K19" t="inlineStr">
        <is>
          <t>1d</t>
        </is>
      </c>
      <c r="L19" t="inlineStr">
        <is>
          <t>Native Hindi teacher</t>
        </is>
      </c>
      <c r="M19" t="inlineStr">
        <is>
          <t>n/a — manual evaluation</t>
        </is>
      </c>
      <c r="O19" t="inlineStr">
        <is>
          <t>Not Yet Run</t>
        </is>
      </c>
      <c r="Q19" t="inlineStr">
        <is>
          <t>—</t>
        </is>
      </c>
      <c r="R19" t="inlineStr">
        <is>
          <t>0%</t>
        </is>
      </c>
    </row>
    <row r="20" ht="30" customHeight="1" s="40">
      <c r="A20" s="7" t="inlineStr">
        <is>
          <t>C-016</t>
        </is>
      </c>
      <c r="B20" s="5" t="inlineStr">
        <is>
          <t>Locale parity</t>
        </is>
      </c>
      <c r="C20" s="6" t="inlineStr">
        <is>
          <t>15</t>
        </is>
      </c>
      <c r="D20" s="5" t="inlineStr">
        <is>
          <t>Field-presence parity: every EN field has its HI counterpart</t>
        </is>
      </c>
      <c r="E20" s="5" t="inlineStr">
        <is>
          <t>1. Run JA-39 / JA-85 / JA-86 invariants
2. Verify 0 missing HI fields</t>
        </is>
      </c>
      <c r="F20" s="5" t="inlineStr">
        <is>
          <t>0 EN-only or HI-only entries</t>
        </is>
      </c>
      <c r="G20" s="6" t="inlineStr">
        <is>
          <t>P1</t>
        </is>
      </c>
      <c r="H20" s="6" t="inlineStr">
        <is>
          <t>Critical</t>
        </is>
      </c>
      <c r="I20" s="6" t="inlineStr">
        <is>
          <t>Auto</t>
        </is>
      </c>
      <c r="J20" s="5" t="inlineStr">
        <is>
          <t>Already CI-enforced</t>
        </is>
      </c>
      <c r="K20" t="inlineStr">
        <is>
          <t>1d</t>
        </is>
      </c>
      <c r="L20" t="inlineStr">
        <is>
          <t>Native Hindi teacher</t>
        </is>
      </c>
      <c r="M20" t="inlineStr">
        <is>
          <t>n/a — manual evaluation</t>
        </is>
      </c>
      <c r="O20" t="inlineStr">
        <is>
          <t>Not Yet Run</t>
        </is>
      </c>
      <c r="Q20" t="inlineStr">
        <is>
          <t>—</t>
        </is>
      </c>
      <c r="R20" t="inlineStr">
        <is>
          <t>0%</t>
        </is>
      </c>
    </row>
    <row r="21" ht="30" customHeight="1" s="40">
      <c r="A21" s="7" t="inlineStr">
        <is>
          <t>C-017</t>
        </is>
      </c>
      <c r="B21" s="5" t="inlineStr">
        <is>
          <t>Hindi UI</t>
        </is>
      </c>
      <c r="C21" s="6" t="inlineStr">
        <is>
          <t>15</t>
        </is>
      </c>
      <c r="D21" s="5" t="inlineStr">
        <is>
          <t>Hindi locale-switch state retention across navigation</t>
        </is>
      </c>
      <c r="E21" s="5" t="inlineStr">
        <is>
          <t>1. Toggle UI to HI
2. Navigate Grammar → Vocab → Reading
3. Verify HI persists</t>
        </is>
      </c>
      <c r="F21" s="5" t="inlineStr">
        <is>
          <t>Locale persists across routes</t>
        </is>
      </c>
      <c r="G21" s="6" t="inlineStr">
        <is>
          <t>P3</t>
        </is>
      </c>
      <c r="H21" s="6" t="inlineStr">
        <is>
          <t>Major</t>
        </is>
      </c>
      <c r="I21" s="6" t="inlineStr">
        <is>
          <t>Manual</t>
        </is>
      </c>
      <c r="J21" s="5" t="inlineStr">
        <is>
          <t>No automated check today — manual only.</t>
        </is>
      </c>
      <c r="K21" t="inlineStr">
        <is>
          <t>1d</t>
        </is>
      </c>
      <c r="L21" t="inlineStr">
        <is>
          <t>Native Hindi teacher</t>
        </is>
      </c>
      <c r="M21" t="inlineStr">
        <is>
          <t>n/a — manual evaluation</t>
        </is>
      </c>
      <c r="O21" t="inlineStr">
        <is>
          <t>Not Yet Run</t>
        </is>
      </c>
      <c r="Q21" t="inlineStr">
        <is>
          <t>—</t>
        </is>
      </c>
      <c r="R21" t="inlineStr">
        <is>
          <t>0%</t>
        </is>
      </c>
    </row>
    <row r="22" ht="38" customHeight="1" s="40">
      <c r="A22" s="7" t="inlineStr">
        <is>
          <t>C-018</t>
        </is>
      </c>
      <c r="B22" s="5" t="inlineStr">
        <is>
          <t>Hindi pedagogy</t>
        </is>
      </c>
      <c r="C22" s="6" t="inlineStr">
        <is>
          <t>15</t>
        </is>
      </c>
      <c r="D22" s="5" t="inlineStr">
        <is>
          <t>Hindi explanations don't presume English knowledge</t>
        </is>
      </c>
      <c r="E22" s="5" t="inlineStr">
        <is>
          <t>1. Native Hindi-monolingual reviewer reads 50 explanations
2. Flag any explanation that requires EN context to parse</t>
        </is>
      </c>
      <c r="F22" s="5" t="inlineStr">
        <is>
          <t>All HI explanations are self-contained</t>
        </is>
      </c>
      <c r="G22" s="6" t="inlineStr">
        <is>
          <t>P3</t>
        </is>
      </c>
      <c r="H22" s="6" t="inlineStr">
        <is>
          <t>Major</t>
        </is>
      </c>
      <c r="I22" s="6" t="inlineStr">
        <is>
          <t>Manual</t>
        </is>
      </c>
      <c r="J22" s="5" t="inlineStr">
        <is>
          <t>No automated check today — manual only.</t>
        </is>
      </c>
      <c r="K22" t="inlineStr">
        <is>
          <t>1d</t>
        </is>
      </c>
      <c r="L22" t="inlineStr">
        <is>
          <t>Native Hindi teacher</t>
        </is>
      </c>
      <c r="M22" t="inlineStr">
        <is>
          <t>n/a — manual evaluation</t>
        </is>
      </c>
      <c r="O22" t="inlineStr">
        <is>
          <t>Not Yet Run</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40" min="1" max="1"/>
    <col width="19.08984375" customWidth="1" style="40" min="2" max="2"/>
    <col width="9.08984375" customWidth="1" style="40" min="3" max="3"/>
    <col width="43.6328125" customWidth="1" style="40" min="4" max="4"/>
    <col width="50.90625" customWidth="1" style="40" min="5" max="5"/>
    <col width="40" customWidth="1" style="40" min="6" max="6"/>
    <col width="14.54296875" customWidth="1" style="40" min="7" max="7"/>
    <col width="16.36328125" customWidth="1" style="40" min="8" max="8"/>
    <col width="14.54296875" customWidth="1" style="40" min="9" max="9"/>
    <col width="32.7265625" customWidth="1" style="40" min="10" max="10"/>
    <col width="16" customWidth="1" style="40" min="11" max="11"/>
    <col width="24" customWidth="1" style="40" min="12" max="12"/>
    <col width="32" customWidth="1" style="40" min="13" max="13"/>
    <col width="14" customWidth="1" style="40" min="14" max="15"/>
    <col width="18" customWidth="1" style="40" min="16" max="16"/>
    <col width="16" customWidth="1" style="40" min="17" max="17"/>
    <col width="12" customWidth="1" style="40" min="18" max="18"/>
  </cols>
  <sheetData>
    <row r="1" ht="28" customHeight="1" s="40">
      <c r="A1" s="39" t="inlineStr">
        <is>
          <t>D. UX design</t>
        </is>
      </c>
    </row>
    <row r="2" ht="36" customHeight="1" s="40">
      <c r="A2" s="42" t="inlineStr">
        <is>
          <t>Perspectives: UI / UX designer, visual designer, interaction designer, IA, onboarding, cognitive-load, gamification, form-input, dark-mode (perspectives 20-28)</t>
        </is>
      </c>
    </row>
    <row r="4" ht="24" customHeight="1" s="40">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40" customHeight="1" s="40">
      <c r="A5" s="7" t="inlineStr">
        <is>
          <t>D-001</t>
        </is>
      </c>
      <c r="B5" s="5" t="inlineStr">
        <is>
          <t>Visual hierarchy</t>
        </is>
      </c>
      <c r="C5" s="6" t="inlineStr">
        <is>
          <t>20</t>
        </is>
      </c>
      <c r="D5" s="5" t="inlineStr">
        <is>
          <t>Quiz page primary-action prominence</t>
        </is>
      </c>
      <c r="E5" s="5"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5" t="inlineStr">
        <is>
          <t>Submit / Check action is most prominent</t>
        </is>
      </c>
      <c r="G5" s="6" t="inlineStr">
        <is>
          <t>P3</t>
        </is>
      </c>
      <c r="H5" s="6" t="inlineStr">
        <is>
          <t>Major</t>
        </is>
      </c>
      <c r="I5" s="6" t="inlineStr">
        <is>
          <t>Manual</t>
        </is>
      </c>
      <c r="J5" s="5" t="inlineStr">
        <is>
          <t>UX evaluation method and sample size now specified in Test-steps cell per BUG-031.</t>
        </is>
      </c>
      <c r="K5" t="inlineStr">
        <is>
          <t>1d</t>
        </is>
      </c>
      <c r="L5" t="inlineStr">
        <is>
          <t>UI/UX designer</t>
        </is>
      </c>
      <c r="M5" t="inlineStr">
        <is>
          <t>n/a — manual evaluation</t>
        </is>
      </c>
      <c r="O5" t="inlineStr">
        <is>
          <t>Not Yet Run</t>
        </is>
      </c>
      <c r="Q5" t="inlineStr">
        <is>
          <t>—</t>
        </is>
      </c>
      <c r="R5" t="inlineStr">
        <is>
          <t>0%</t>
        </is>
      </c>
    </row>
    <row r="6" ht="30" customHeight="1" s="40">
      <c r="A6" s="7" t="inlineStr">
        <is>
          <t>D-002</t>
        </is>
      </c>
      <c r="B6" s="5" t="inlineStr">
        <is>
          <t>Visual hierarchy</t>
        </is>
      </c>
      <c r="C6" s="6" t="inlineStr">
        <is>
          <t>20</t>
        </is>
      </c>
      <c r="D6" s="5" t="inlineStr">
        <is>
          <t>Empty-state design (no-progress learner, fresh app)</t>
        </is>
      </c>
      <c r="E6" s="5" t="inlineStr">
        <is>
          <t>1. Open app with clear localStorage
2. Verify empty-state messaging guides next step</t>
        </is>
      </c>
      <c r="F6" s="5" t="inlineStr">
        <is>
          <t>Empty-state has clear CTA</t>
        </is>
      </c>
      <c r="G6" s="6" t="inlineStr">
        <is>
          <t>P3</t>
        </is>
      </c>
      <c r="H6" s="6" t="inlineStr">
        <is>
          <t>Major</t>
        </is>
      </c>
      <c r="I6" s="6" t="inlineStr">
        <is>
          <t>Manual</t>
        </is>
      </c>
      <c r="J6" s="5" t="inlineStr">
        <is>
          <t>No automated check today — manual only.</t>
        </is>
      </c>
      <c r="K6" t="inlineStr">
        <is>
          <t>1d</t>
        </is>
      </c>
      <c r="L6" t="inlineStr">
        <is>
          <t>UI/UX designer</t>
        </is>
      </c>
      <c r="M6" t="inlineStr">
        <is>
          <t>n/a — manual evaluation</t>
        </is>
      </c>
      <c r="O6" t="inlineStr">
        <is>
          <t>Not Yet Run</t>
        </is>
      </c>
      <c r="Q6" t="inlineStr">
        <is>
          <t>—</t>
        </is>
      </c>
      <c r="R6" t="inlineStr">
        <is>
          <t>0%</t>
        </is>
      </c>
    </row>
    <row r="7" ht="31" customHeight="1" s="40">
      <c r="A7" s="7" t="inlineStr">
        <is>
          <t>D-003</t>
        </is>
      </c>
      <c r="B7" s="5" t="inlineStr">
        <is>
          <t>Visual hierarchy</t>
        </is>
      </c>
      <c r="C7" s="6" t="inlineStr">
        <is>
          <t>20</t>
        </is>
      </c>
      <c r="D7" s="5" t="inlineStr">
        <is>
          <t>Loading-state design for audio + data fetches</t>
        </is>
      </c>
      <c r="E7" s="5" t="inlineStr">
        <is>
          <t>1. Throttle network to 3G
2. Open vocab module
3. Verify loading indicator appears within 200ms</t>
        </is>
      </c>
      <c r="F7" s="5" t="inlineStr">
        <is>
          <t>Loading indicator visible during fetch</t>
        </is>
      </c>
      <c r="G7" s="6" t="inlineStr">
        <is>
          <t>P4</t>
        </is>
      </c>
      <c r="H7" s="6" t="inlineStr">
        <is>
          <t>Minor</t>
        </is>
      </c>
      <c r="I7" s="6" t="inlineStr">
        <is>
          <t>Manual</t>
        </is>
      </c>
      <c r="J7" s="5" t="inlineStr">
        <is>
          <t>No automated check today — manual only.</t>
        </is>
      </c>
      <c r="K7" t="inlineStr">
        <is>
          <t>1d</t>
        </is>
      </c>
      <c r="L7" t="inlineStr">
        <is>
          <t>UI/UX designer</t>
        </is>
      </c>
      <c r="M7" t="inlineStr">
        <is>
          <t>n/a — manual evaluation</t>
        </is>
      </c>
      <c r="O7" t="inlineStr">
        <is>
          <t>Not Yet Run</t>
        </is>
      </c>
      <c r="Q7" t="inlineStr">
        <is>
          <t>—</t>
        </is>
      </c>
      <c r="R7" t="inlineStr">
        <is>
          <t>0%</t>
        </is>
      </c>
    </row>
    <row r="8" ht="36" customHeight="1" s="40">
      <c r="A8" s="7" t="inlineStr">
        <is>
          <t>D-004</t>
        </is>
      </c>
      <c r="B8" s="5" t="inlineStr">
        <is>
          <t>Color palette</t>
        </is>
      </c>
      <c r="C8" s="6" t="inlineStr">
        <is>
          <t>21</t>
        </is>
      </c>
      <c r="D8" s="5" t="inlineStr">
        <is>
          <t>Primary color (PRIMARY_DARK = #14452a) contrast against white background</t>
        </is>
      </c>
      <c r="E8" s="5" t="inlineStr">
        <is>
          <t>1. Measure WCAG contrast ratio for text using #14452a on #ffffff
2. Verify ≥ 4.5:1 for body, ≥ 3:1 for large</t>
        </is>
      </c>
      <c r="F8" s="5" t="inlineStr">
        <is>
          <t>Contrast ≥ AA standard</t>
        </is>
      </c>
      <c r="G8" s="6" t="inlineStr">
        <is>
          <t>P3</t>
        </is>
      </c>
      <c r="H8" s="6" t="inlineStr">
        <is>
          <t>Major</t>
        </is>
      </c>
      <c r="I8" s="6" t="inlineStr">
        <is>
          <t>Auto</t>
        </is>
      </c>
      <c r="J8" s="5" t="inlineStr">
        <is>
          <t>No automated check today — manual only.</t>
        </is>
      </c>
      <c r="K8" t="inlineStr">
        <is>
          <t>1h</t>
        </is>
      </c>
      <c r="L8" t="inlineStr">
        <is>
          <t>UI/UX designer</t>
        </is>
      </c>
      <c r="M8" t="inlineStr">
        <is>
          <t>n/a — manual evaluation</t>
        </is>
      </c>
      <c r="O8" t="inlineStr">
        <is>
          <t>Not Yet Run</t>
        </is>
      </c>
      <c r="Q8" t="inlineStr">
        <is>
          <t>—</t>
        </is>
      </c>
      <c r="R8" t="inlineStr">
        <is>
          <t>0%</t>
        </is>
      </c>
    </row>
    <row r="9" ht="30" customHeight="1" s="40">
      <c r="A9" s="7" t="inlineStr">
        <is>
          <t>D-005</t>
        </is>
      </c>
      <c r="B9" s="5" t="inlineStr">
        <is>
          <t>Color palette</t>
        </is>
      </c>
      <c r="C9" s="6" t="inlineStr">
        <is>
          <t>21</t>
        </is>
      </c>
      <c r="D9" s="5" t="inlineStr">
        <is>
          <t>Link color (#1a5c38) contrast vs primary text</t>
        </is>
      </c>
      <c r="E9" s="5" t="inlineStr">
        <is>
          <t>1. Verify links are distinguishable from body text by color alone (and also another cue)</t>
        </is>
      </c>
      <c r="F9" s="5" t="inlineStr">
        <is>
          <t>Links pass color-distinguishability check + have underline or other cue</t>
        </is>
      </c>
      <c r="G9" s="6" t="inlineStr">
        <is>
          <t>P4</t>
        </is>
      </c>
      <c r="H9" s="6" t="inlineStr">
        <is>
          <t>Minor</t>
        </is>
      </c>
      <c r="I9" s="6" t="inlineStr">
        <is>
          <t>Manual</t>
        </is>
      </c>
      <c r="J9" s="5" t="inlineStr">
        <is>
          <t>No automated check today — manual only.</t>
        </is>
      </c>
      <c r="K9" t="inlineStr">
        <is>
          <t>1d</t>
        </is>
      </c>
      <c r="L9" t="inlineStr">
        <is>
          <t>UI/UX designer</t>
        </is>
      </c>
      <c r="M9" t="inlineStr">
        <is>
          <t>n/a — manual evaluation</t>
        </is>
      </c>
      <c r="O9" t="inlineStr">
        <is>
          <t>Not Yet Run</t>
        </is>
      </c>
      <c r="Q9" t="inlineStr">
        <is>
          <t>—</t>
        </is>
      </c>
      <c r="R9" t="inlineStr">
        <is>
          <t>0%</t>
        </is>
      </c>
    </row>
    <row r="10" ht="35" customHeight="1" s="40">
      <c r="A10" s="7" t="inlineStr">
        <is>
          <t>D-006</t>
        </is>
      </c>
      <c r="B10" s="5" t="inlineStr">
        <is>
          <t>Color palette</t>
        </is>
      </c>
      <c r="C10" s="6" t="inlineStr">
        <is>
          <t>21</t>
        </is>
      </c>
      <c r="D10" s="5" t="inlineStr">
        <is>
          <t>Correct / wrong state colors are color-blind-safe</t>
        </is>
      </c>
      <c r="E10" s="5" t="inlineStr">
        <is>
          <t>1. Render correct (green) + wrong (red) feedback states
2. View through deuteranopia / protanopia simulator</t>
        </is>
      </c>
      <c r="F10" s="5" t="inlineStr">
        <is>
          <t>Colorblind users can distinguish; backed by icon/text</t>
        </is>
      </c>
      <c r="G10" s="6" t="inlineStr">
        <is>
          <t>P3</t>
        </is>
      </c>
      <c r="H10" s="6" t="inlineStr">
        <is>
          <t>Major</t>
        </is>
      </c>
      <c r="I10" s="6" t="inlineStr">
        <is>
          <t>Manual</t>
        </is>
      </c>
      <c r="J10" s="5" t="inlineStr">
        <is>
          <t>No automated check today — manual only.</t>
        </is>
      </c>
      <c r="K10" t="inlineStr">
        <is>
          <t>1d</t>
        </is>
      </c>
      <c r="L10" t="inlineStr">
        <is>
          <t>UI/UX designer</t>
        </is>
      </c>
      <c r="M10" t="inlineStr">
        <is>
          <t>n/a — manual evaluation</t>
        </is>
      </c>
      <c r="O10" t="inlineStr">
        <is>
          <t>Not Yet Run</t>
        </is>
      </c>
      <c r="Q10" t="inlineStr">
        <is>
          <t>—</t>
        </is>
      </c>
      <c r="R10" t="inlineStr">
        <is>
          <t>0%</t>
        </is>
      </c>
    </row>
    <row r="11" ht="32" customHeight="1" s="40">
      <c r="A11" s="7" t="inlineStr">
        <is>
          <t>D-007</t>
        </is>
      </c>
      <c r="B11" s="5" t="inlineStr">
        <is>
          <t>Typography</t>
        </is>
      </c>
      <c r="C11" s="6" t="inlineStr">
        <is>
          <t>21</t>
        </is>
      </c>
      <c r="D11" s="5" t="inlineStr">
        <is>
          <t>CJK + Devanagari + Latin co-existence on one line</t>
        </is>
      </c>
      <c r="E11" s="5" t="inlineStr">
        <is>
          <t>1. Render strings mixing the 3 scripts
2. Verify font choice doesn't break baseline / line-height</t>
        </is>
      </c>
      <c r="F11" s="5" t="inlineStr">
        <is>
          <t>Acceptable typography across 3 scripts</t>
        </is>
      </c>
      <c r="G11" s="6" t="inlineStr">
        <is>
          <t>P4</t>
        </is>
      </c>
      <c r="H11" s="6" t="inlineStr">
        <is>
          <t>Minor</t>
        </is>
      </c>
      <c r="I11" s="6" t="inlineStr">
        <is>
          <t>Manual</t>
        </is>
      </c>
      <c r="J11" s="5" t="inlineStr">
        <is>
          <t>[BUG-030 cross-ref] DUPLICATE of C-010 (CJK + Devanagari + Latin baseline). Canonical home: C tab.</t>
        </is>
      </c>
      <c r="K11" t="inlineStr">
        <is>
          <t>1d</t>
        </is>
      </c>
      <c r="L11" t="inlineStr">
        <is>
          <t>UI/UX designer</t>
        </is>
      </c>
      <c r="M11" t="inlineStr">
        <is>
          <t>n/a — manual evaluation</t>
        </is>
      </c>
      <c r="O11" t="inlineStr">
        <is>
          <t>Not Yet Run</t>
        </is>
      </c>
      <c r="Q11" t="inlineStr">
        <is>
          <t>—</t>
        </is>
      </c>
      <c r="R11" t="inlineStr">
        <is>
          <t>0%</t>
        </is>
      </c>
    </row>
    <row r="12" ht="30" customHeight="1" s="40">
      <c r="A12" s="7" t="inlineStr">
        <is>
          <t>D-008</t>
        </is>
      </c>
      <c r="B12" s="5" t="inlineStr">
        <is>
          <t>Typography</t>
        </is>
      </c>
      <c r="C12" s="6" t="inlineStr">
        <is>
          <t>21</t>
        </is>
      </c>
      <c r="D12" s="5" t="inlineStr">
        <is>
          <t>Furigana ruby-text size relative to base text</t>
        </is>
      </c>
      <c r="E12" s="5" t="inlineStr">
        <is>
          <t>1. Render kanji + furigana
2. Verify furigana is ~50% size; readable on mobile</t>
        </is>
      </c>
      <c r="F12" s="5" t="inlineStr">
        <is>
          <t>Furigana readable on smallest target device</t>
        </is>
      </c>
      <c r="G12" s="6" t="inlineStr">
        <is>
          <t>P3</t>
        </is>
      </c>
      <c r="H12" s="6" t="inlineStr">
        <is>
          <t>Major</t>
        </is>
      </c>
      <c r="I12" s="6" t="inlineStr">
        <is>
          <t>Manual</t>
        </is>
      </c>
      <c r="J12" s="5" t="inlineStr">
        <is>
          <t>No automated check today — manual only.</t>
        </is>
      </c>
      <c r="K12" t="inlineStr">
        <is>
          <t>1d</t>
        </is>
      </c>
      <c r="L12" t="inlineStr">
        <is>
          <t>UI/UX designer</t>
        </is>
      </c>
      <c r="M12" t="inlineStr">
        <is>
          <t>n/a — manual evaluation</t>
        </is>
      </c>
      <c r="O12" t="inlineStr">
        <is>
          <t>Not Yet Run</t>
        </is>
      </c>
      <c r="Q12" t="inlineStr">
        <is>
          <t>—</t>
        </is>
      </c>
      <c r="R12" t="inlineStr">
        <is>
          <t>0%</t>
        </is>
      </c>
    </row>
    <row r="13" ht="31" customHeight="1" s="40">
      <c r="A13" s="7" t="inlineStr">
        <is>
          <t>D-009</t>
        </is>
      </c>
      <c r="B13" s="5" t="inlineStr">
        <is>
          <t>Typography</t>
        </is>
      </c>
      <c r="C13" s="6" t="inlineStr">
        <is>
          <t>21</t>
        </is>
      </c>
      <c r="D13" s="5" t="inlineStr">
        <is>
          <t>Japanese punctuation handling (、 。 「 」) line-wrapping rules</t>
        </is>
      </c>
      <c r="E13" s="5" t="inlineStr">
        <is>
          <t>1. Render long Japanese sentences with various punctuation
2. Verify 行頭禁則 (no 。 at line start)</t>
        </is>
      </c>
      <c r="F13" s="5" t="inlineStr">
        <is>
          <t>Punctuation follows JIS X 4051 ish convention</t>
        </is>
      </c>
      <c r="G13" s="6" t="inlineStr">
        <is>
          <t>P5</t>
        </is>
      </c>
      <c r="H13" s="6" t="inlineStr">
        <is>
          <t>Minor</t>
        </is>
      </c>
      <c r="I13" s="6" t="inlineStr">
        <is>
          <t>Manual</t>
        </is>
      </c>
      <c r="J13" s="5" t="inlineStr">
        <is>
          <t>No automated check today — manual only.</t>
        </is>
      </c>
      <c r="K13" t="inlineStr">
        <is>
          <t>1d</t>
        </is>
      </c>
      <c r="L13" t="inlineStr">
        <is>
          <t>UI/UX designer</t>
        </is>
      </c>
      <c r="M13" t="inlineStr">
        <is>
          <t>n/a — manual evaluation</t>
        </is>
      </c>
      <c r="O13" t="inlineStr">
        <is>
          <t>Not Yet Run</t>
        </is>
      </c>
      <c r="Q13" t="inlineStr">
        <is>
          <t>—</t>
        </is>
      </c>
      <c r="R13" t="inlineStr">
        <is>
          <t>0%</t>
        </is>
      </c>
    </row>
    <row r="14" ht="30" customHeight="1" s="40">
      <c r="A14" s="7" t="inlineStr">
        <is>
          <t>D-010</t>
        </is>
      </c>
      <c r="B14" s="5" t="inlineStr">
        <is>
          <t>Information architecture</t>
        </is>
      </c>
      <c r="C14" s="6" t="inlineStr">
        <is>
          <t>23</t>
        </is>
      </c>
      <c r="D14" s="5" t="inlineStr">
        <is>
          <t>Module taxonomy clarity (Grammar / Vocab / Kanji / Reading / Listening / Mock)</t>
        </is>
      </c>
      <c r="E14" s="5"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5" t="inlineStr">
        <is>
          <t>≤ 5 seconds to find a module from home</t>
        </is>
      </c>
      <c r="G14" s="6" t="inlineStr">
        <is>
          <t>P3</t>
        </is>
      </c>
      <c r="H14" s="6" t="inlineStr">
        <is>
          <t>Major</t>
        </is>
      </c>
      <c r="I14" s="6" t="inlineStr">
        <is>
          <t>Manual</t>
        </is>
      </c>
      <c r="J14" s="5" t="inlineStr">
        <is>
          <t>UX evaluation method and sample size now specified in Test-steps cell per BUG-031.</t>
        </is>
      </c>
      <c r="K14" t="inlineStr">
        <is>
          <t>1d</t>
        </is>
      </c>
      <c r="L14" t="inlineStr">
        <is>
          <t>UI/UX designer</t>
        </is>
      </c>
      <c r="M14" t="inlineStr">
        <is>
          <t>n/a — manual evaluation</t>
        </is>
      </c>
      <c r="O14" t="inlineStr">
        <is>
          <t>Not Yet Run</t>
        </is>
      </c>
      <c r="Q14" t="inlineStr">
        <is>
          <t>—</t>
        </is>
      </c>
      <c r="R14" t="inlineStr">
        <is>
          <t>0%</t>
        </is>
      </c>
    </row>
    <row r="15" ht="37" customHeight="1" s="40">
      <c r="A15" s="7" t="inlineStr">
        <is>
          <t>D-011</t>
        </is>
      </c>
      <c r="B15" s="5" t="inlineStr">
        <is>
          <t>Information architecture</t>
        </is>
      </c>
      <c r="C15" s="6" t="inlineStr">
        <is>
          <t>23</t>
        </is>
      </c>
      <c r="D15" s="5" t="inlineStr">
        <is>
          <t>Cross-link integrity between vocab and grammar</t>
        </is>
      </c>
      <c r="E15" s="5" t="inlineStr">
        <is>
          <t>1. Open a vocab entry that references a grammar pattern
2. Click the cross-link
3. Verify it navigates correctly</t>
        </is>
      </c>
      <c r="F15" s="5" t="inlineStr">
        <is>
          <t>All cross-links resolve and navigate</t>
        </is>
      </c>
      <c r="G15" s="6" t="inlineStr">
        <is>
          <t>P3</t>
        </is>
      </c>
      <c r="H15" s="6" t="inlineStr">
        <is>
          <t>Major</t>
        </is>
      </c>
      <c r="I15" s="6" t="inlineStr">
        <is>
          <t>Manual</t>
        </is>
      </c>
      <c r="J15" s="5" t="inlineStr">
        <is>
          <t>No automated check today — manual only.</t>
        </is>
      </c>
      <c r="K15" t="inlineStr">
        <is>
          <t>1d</t>
        </is>
      </c>
      <c r="L15" t="inlineStr">
        <is>
          <t>UI/UX designer</t>
        </is>
      </c>
      <c r="M15" t="inlineStr">
        <is>
          <t>n/a — manual evaluation</t>
        </is>
      </c>
      <c r="O15" t="inlineStr">
        <is>
          <t>Not Yet Run</t>
        </is>
      </c>
      <c r="Q15" t="inlineStr">
        <is>
          <t>—</t>
        </is>
      </c>
      <c r="R15" t="inlineStr">
        <is>
          <t>0%</t>
        </is>
      </c>
    </row>
    <row r="16" ht="30" customHeight="1" s="40">
      <c r="A16" s="7" t="inlineStr">
        <is>
          <t>D-012</t>
        </is>
      </c>
      <c r="B16" s="5" t="inlineStr">
        <is>
          <t>Information architecture</t>
        </is>
      </c>
      <c r="C16" s="6" t="inlineStr">
        <is>
          <t>23</t>
        </is>
      </c>
      <c r="D16" s="5" t="inlineStr">
        <is>
          <t>Search / global-find functionality</t>
        </is>
      </c>
      <c r="E16" s="5" t="inlineStr">
        <is>
          <t>1. Search for 'taberu' / 'たべる' / '食べる'
2. Verify all three forms return the same entry</t>
        </is>
      </c>
      <c r="F16" s="5" t="inlineStr">
        <is>
          <t>Cross-script search works</t>
        </is>
      </c>
      <c r="G16" s="6" t="inlineStr">
        <is>
          <t>P3</t>
        </is>
      </c>
      <c r="H16" s="6" t="inlineStr">
        <is>
          <t>Major</t>
        </is>
      </c>
      <c r="I16" s="6" t="inlineStr">
        <is>
          <t>Manual</t>
        </is>
      </c>
      <c r="J16" s="5" t="inlineStr">
        <is>
          <t>No automated check today — manual only.</t>
        </is>
      </c>
      <c r="K16" t="inlineStr">
        <is>
          <t>1d</t>
        </is>
      </c>
      <c r="L16" t="inlineStr">
        <is>
          <t>UI/UX designer</t>
        </is>
      </c>
      <c r="M16" t="inlineStr">
        <is>
          <t>n/a — manual evaluation</t>
        </is>
      </c>
      <c r="O16" t="inlineStr">
        <is>
          <t>Not Yet Run</t>
        </is>
      </c>
      <c r="Q16" t="inlineStr">
        <is>
          <t>—</t>
        </is>
      </c>
      <c r="R16" t="inlineStr">
        <is>
          <t>0%</t>
        </is>
      </c>
    </row>
    <row r="17" ht="30" customHeight="1" s="40">
      <c r="A17" s="7" t="inlineStr">
        <is>
          <t>D-013</t>
        </is>
      </c>
      <c r="B17" s="5" t="inlineStr">
        <is>
          <t>Onboarding</t>
        </is>
      </c>
      <c r="C17" s="6" t="inlineStr">
        <is>
          <t>24</t>
        </is>
      </c>
      <c r="D17" s="5" t="inlineStr">
        <is>
          <t>Day-1 experience for a brand-new learner</t>
        </is>
      </c>
      <c r="E17" s="5" t="inlineStr">
        <is>
          <t>Method: unmoderated remote with task-completion tracking.
Sample: 8 participants (HI-L1 + EN-L2; mix of true beginner + ~5 hours prior Japanese exposure).
Pass criterion: ≥6 of 8 participants complete ≥1 lesson + ≥1 quiz within their first 20-minute session.</t>
        </is>
      </c>
      <c r="F17" s="5" t="inlineStr">
        <is>
          <t>Learner completes ≥1 lesson + ≥1 quiz</t>
        </is>
      </c>
      <c r="G17" s="6" t="inlineStr">
        <is>
          <t>P3</t>
        </is>
      </c>
      <c r="H17" s="6" t="inlineStr">
        <is>
          <t>Major</t>
        </is>
      </c>
      <c r="I17" s="6" t="inlineStr">
        <is>
          <t>Manual</t>
        </is>
      </c>
      <c r="J17" s="5" t="inlineStr">
        <is>
          <t>UX evaluation method and sample size now specified in Test-steps cell per BUG-031.</t>
        </is>
      </c>
      <c r="K17" t="inlineStr">
        <is>
          <t>1wk</t>
        </is>
      </c>
      <c r="L17" t="inlineStr">
        <is>
          <t>UI/UX designer</t>
        </is>
      </c>
      <c r="M17" t="inlineStr">
        <is>
          <t>n/a — manual evaluation</t>
        </is>
      </c>
      <c r="O17" t="inlineStr">
        <is>
          <t>Not Yet Run</t>
        </is>
      </c>
      <c r="Q17" t="inlineStr">
        <is>
          <t>—</t>
        </is>
      </c>
      <c r="R17" t="inlineStr">
        <is>
          <t>0%</t>
        </is>
      </c>
    </row>
    <row r="18" ht="30" customHeight="1" s="40">
      <c r="A18" s="7" t="inlineStr">
        <is>
          <t>D-014</t>
        </is>
      </c>
      <c r="B18" s="5" t="inlineStr">
        <is>
          <t>Onboarding</t>
        </is>
      </c>
      <c r="C18" s="6" t="inlineStr">
        <is>
          <t>24</t>
        </is>
      </c>
      <c r="D18" s="5" t="inlineStr">
        <is>
          <t>Self-assessment / placement at start</t>
        </is>
      </c>
      <c r="E18" s="5" t="inlineStr">
        <is>
          <t>1. New user: does app ask 'have you studied before?'
2. Verify pathway adjusts</t>
        </is>
      </c>
      <c r="F18" s="5" t="inlineStr">
        <is>
          <t>App accommodates prior-knowledge variance</t>
        </is>
      </c>
      <c r="G18" s="6" t="inlineStr">
        <is>
          <t>P5</t>
        </is>
      </c>
      <c r="H18" s="6" t="inlineStr">
        <is>
          <t>Minor</t>
        </is>
      </c>
      <c r="I18" s="6" t="inlineStr">
        <is>
          <t>Manual</t>
        </is>
      </c>
      <c r="J18" s="5" t="inlineStr">
        <is>
          <t>No automated check today — manual only.</t>
        </is>
      </c>
      <c r="K18" t="inlineStr">
        <is>
          <t>1d</t>
        </is>
      </c>
      <c r="L18" t="inlineStr">
        <is>
          <t>UI/UX designer</t>
        </is>
      </c>
      <c r="M18" t="inlineStr">
        <is>
          <t>n/a — manual evaluation</t>
        </is>
      </c>
      <c r="O18" t="inlineStr">
        <is>
          <t>Not Yet Run</t>
        </is>
      </c>
      <c r="Q18" t="inlineStr">
        <is>
          <t>—</t>
        </is>
      </c>
      <c r="R18" t="inlineStr">
        <is>
          <t>0%</t>
        </is>
      </c>
    </row>
    <row r="19" ht="30" customHeight="1" s="40">
      <c r="A19" s="7" t="inlineStr">
        <is>
          <t>D-015</t>
        </is>
      </c>
      <c r="B19" s="5" t="inlineStr">
        <is>
          <t>Cognitive load</t>
        </is>
      </c>
      <c r="C19" s="6" t="inlineStr">
        <is>
          <t>25</t>
        </is>
      </c>
      <c r="D19" s="5" t="inlineStr">
        <is>
          <t>Chunk size per grammar lesson (≤ 5 examples?)</t>
        </is>
      </c>
      <c r="E19" s="5" t="inlineStr">
        <is>
          <t>1. Measure example count per pattern
2. Verify ≤ 7 examples per single-screen view</t>
        </is>
      </c>
      <c r="F19" s="5" t="inlineStr">
        <is>
          <t>Per-screen chunk ≤ working-memory budget</t>
        </is>
      </c>
      <c r="G19" s="6" t="inlineStr">
        <is>
          <t>P4</t>
        </is>
      </c>
      <c r="H19" s="6" t="inlineStr">
        <is>
          <t>Minor</t>
        </is>
      </c>
      <c r="I19" s="6" t="inlineStr">
        <is>
          <t>Manual</t>
        </is>
      </c>
      <c r="J19" s="5" t="inlineStr">
        <is>
          <t>No automated check today — manual only.</t>
        </is>
      </c>
      <c r="K19" t="inlineStr">
        <is>
          <t>1d</t>
        </is>
      </c>
      <c r="L19" t="inlineStr">
        <is>
          <t>UI/UX designer</t>
        </is>
      </c>
      <c r="M19" t="inlineStr">
        <is>
          <t>n/a — manual evaluation</t>
        </is>
      </c>
      <c r="O19" t="inlineStr">
        <is>
          <t>Not Yet Run</t>
        </is>
      </c>
      <c r="Q19" t="inlineStr">
        <is>
          <t>—</t>
        </is>
      </c>
      <c r="R19" t="inlineStr">
        <is>
          <t>0%</t>
        </is>
      </c>
    </row>
    <row r="20" ht="30" customHeight="1" s="40">
      <c r="A20" s="7" t="inlineStr">
        <is>
          <t>D-016</t>
        </is>
      </c>
      <c r="B20" s="5" t="inlineStr">
        <is>
          <t>Cognitive load</t>
        </is>
      </c>
      <c r="C20" s="6" t="inlineStr">
        <is>
          <t>25</t>
        </is>
      </c>
      <c r="D20" s="5" t="inlineStr">
        <is>
          <t>Per-session card budget enforcement</t>
        </is>
      </c>
      <c r="E20" s="5" t="inlineStr">
        <is>
          <t>1. Verify SRS module caps daily new-card intake (e.g., 20 new cards/day)</t>
        </is>
      </c>
      <c r="F20" s="5" t="inlineStr">
        <is>
          <t>Daily-cap exists and prevents burnout</t>
        </is>
      </c>
      <c r="G20" s="6" t="inlineStr">
        <is>
          <t>P4</t>
        </is>
      </c>
      <c r="H20" s="6" t="inlineStr">
        <is>
          <t>Minor</t>
        </is>
      </c>
      <c r="I20" s="6" t="inlineStr">
        <is>
          <t>Manual</t>
        </is>
      </c>
      <c r="J20" s="5" t="inlineStr">
        <is>
          <t>No automated check today — manual only.</t>
        </is>
      </c>
      <c r="K20" t="inlineStr">
        <is>
          <t>1d</t>
        </is>
      </c>
      <c r="L20" t="inlineStr">
        <is>
          <t>UI/UX designer</t>
        </is>
      </c>
      <c r="M20" t="inlineStr">
        <is>
          <t>n/a — manual evaluation</t>
        </is>
      </c>
      <c r="O20" t="inlineStr">
        <is>
          <t>Not Yet Run</t>
        </is>
      </c>
      <c r="Q20" t="inlineStr">
        <is>
          <t>—</t>
        </is>
      </c>
      <c r="R20" t="inlineStr">
        <is>
          <t>0%</t>
        </is>
      </c>
    </row>
    <row r="21" ht="30" customHeight="1" s="40">
      <c r="A21" s="7" t="inlineStr">
        <is>
          <t>D-017</t>
        </is>
      </c>
      <c r="B21" s="5" t="inlineStr">
        <is>
          <t>Microinteractions</t>
        </is>
      </c>
      <c r="C21" s="6" t="inlineStr">
        <is>
          <t>22</t>
        </is>
      </c>
      <c r="D21" s="5" t="inlineStr">
        <is>
          <t>Correct-answer animation timing</t>
        </is>
      </c>
      <c r="E21" s="5" t="inlineStr">
        <is>
          <t>1. Submit correct answer
2. Measure feedback animation duration
3. Verify ≤ 1 sec</t>
        </is>
      </c>
      <c r="F21" s="5" t="inlineStr">
        <is>
          <t>Fast feedback (≤ 1s) to maintain flow</t>
        </is>
      </c>
      <c r="G21" s="6" t="inlineStr">
        <is>
          <t>P5</t>
        </is>
      </c>
      <c r="H21" s="6" t="inlineStr">
        <is>
          <t>Minor</t>
        </is>
      </c>
      <c r="I21" s="6" t="inlineStr">
        <is>
          <t>Manual</t>
        </is>
      </c>
      <c r="J21" s="5" t="inlineStr">
        <is>
          <t>No automated check today — manual only.</t>
        </is>
      </c>
      <c r="K21" t="inlineStr">
        <is>
          <t>1d</t>
        </is>
      </c>
      <c r="L21" t="inlineStr">
        <is>
          <t>UI/UX designer</t>
        </is>
      </c>
      <c r="M21" t="inlineStr">
        <is>
          <t>n/a — manual evaluation</t>
        </is>
      </c>
      <c r="O21" t="inlineStr">
        <is>
          <t>Not Yet Run</t>
        </is>
      </c>
      <c r="Q21" t="inlineStr">
        <is>
          <t>—</t>
        </is>
      </c>
      <c r="R21" t="inlineStr">
        <is>
          <t>0%</t>
        </is>
      </c>
    </row>
    <row r="22" ht="30" customHeight="1" s="40">
      <c r="A22" s="7" t="inlineStr">
        <is>
          <t>D-018</t>
        </is>
      </c>
      <c r="B22" s="5" t="inlineStr">
        <is>
          <t>Microinteractions</t>
        </is>
      </c>
      <c r="C22" s="6" t="inlineStr">
        <is>
          <t>22</t>
        </is>
      </c>
      <c r="D22" s="5" t="inlineStr">
        <is>
          <t>Wrong-answer feedback informativeness</t>
        </is>
      </c>
      <c r="E22" s="5" t="inlineStr">
        <is>
          <t>1. Submit wrong answer
2. Verify learner sees: correct answer, why wrong, link to lesson</t>
        </is>
      </c>
      <c r="F22" s="5" t="inlineStr">
        <is>
          <t>Wrong-answer feedback teaches, not just punishes</t>
        </is>
      </c>
      <c r="G22" s="6" t="inlineStr">
        <is>
          <t>P3</t>
        </is>
      </c>
      <c r="H22" s="6" t="inlineStr">
        <is>
          <t>Major</t>
        </is>
      </c>
      <c r="I22" s="6" t="inlineStr">
        <is>
          <t>Manual</t>
        </is>
      </c>
      <c r="J22" s="5" t="inlineStr">
        <is>
          <t>No automated check today — manual only.</t>
        </is>
      </c>
      <c r="K22" t="inlineStr">
        <is>
          <t>1d</t>
        </is>
      </c>
      <c r="L22" t="inlineStr">
        <is>
          <t>UI/UX designer</t>
        </is>
      </c>
      <c r="M22" t="inlineStr">
        <is>
          <t>n/a — manual evaluation</t>
        </is>
      </c>
      <c r="O22" t="inlineStr">
        <is>
          <t>Not Yet Run</t>
        </is>
      </c>
      <c r="Q22" t="inlineStr">
        <is>
          <t>—</t>
        </is>
      </c>
      <c r="R22" t="inlineStr">
        <is>
          <t>0%</t>
        </is>
      </c>
    </row>
    <row r="23" ht="38" customHeight="1" s="40">
      <c r="A23" s="7" t="inlineStr">
        <is>
          <t>D-019</t>
        </is>
      </c>
      <c r="B23" s="5" t="inlineStr">
        <is>
          <t>Form / input</t>
        </is>
      </c>
      <c r="C23" s="6" t="inlineStr">
        <is>
          <t>27</t>
        </is>
      </c>
      <c r="D23" s="5" t="inlineStr">
        <is>
          <t>Japanese IME input for production drills</t>
        </is>
      </c>
      <c r="E23" s="5" t="inlineStr">
        <is>
          <t>1. Open production-type drill (EN→JA typing)
2. Type with IME on Mac / Windows / iOS / Android
3. Verify submission</t>
        </is>
      </c>
      <c r="F23" s="5" t="inlineStr">
        <is>
          <t>IME input works across platforms</t>
        </is>
      </c>
      <c r="G23" s="6" t="inlineStr">
        <is>
          <t>P3</t>
        </is>
      </c>
      <c r="H23" s="6" t="inlineStr">
        <is>
          <t>Major</t>
        </is>
      </c>
      <c r="I23" s="6" t="inlineStr">
        <is>
          <t>Manual</t>
        </is>
      </c>
      <c r="J23" s="5" t="inlineStr">
        <is>
          <t>No automated check today — manual only.</t>
        </is>
      </c>
      <c r="K23" t="inlineStr">
        <is>
          <t>1d</t>
        </is>
      </c>
      <c r="L23" t="inlineStr">
        <is>
          <t>UI/UX designer</t>
        </is>
      </c>
      <c r="M23" t="inlineStr">
        <is>
          <t>n/a — manual evaluation</t>
        </is>
      </c>
      <c r="O23" t="inlineStr">
        <is>
          <t>Not Yet Run</t>
        </is>
      </c>
      <c r="Q23" t="inlineStr">
        <is>
          <t>—</t>
        </is>
      </c>
      <c r="R23" t="inlineStr">
        <is>
          <t>0%</t>
        </is>
      </c>
    </row>
    <row r="24" ht="30" customHeight="1" s="40">
      <c r="A24" s="7" t="inlineStr">
        <is>
          <t>D-020</t>
        </is>
      </c>
      <c r="B24" s="5" t="inlineStr">
        <is>
          <t>Form / input</t>
        </is>
      </c>
      <c r="C24" s="6" t="inlineStr">
        <is>
          <t>27</t>
        </is>
      </c>
      <c r="D24" s="5" t="inlineStr">
        <is>
          <t>Romaji-to-kana auto-conversion for learners without IME</t>
        </is>
      </c>
      <c r="E24" s="5" t="inlineStr">
        <is>
          <t>1. Toggle romaji-input mode
2. Type 'tabemasu'
3. Verify auto-conversion to たべます</t>
        </is>
      </c>
      <c r="F24" s="5" t="inlineStr">
        <is>
          <t>Romaji mode works for IME-less learners</t>
        </is>
      </c>
      <c r="G24" s="6" t="inlineStr">
        <is>
          <t>P3</t>
        </is>
      </c>
      <c r="H24" s="6" t="inlineStr">
        <is>
          <t>Major</t>
        </is>
      </c>
      <c r="I24" s="6" t="inlineStr">
        <is>
          <t>Manual</t>
        </is>
      </c>
      <c r="J24" s="5" t="inlineStr">
        <is>
          <t>No automated check today — manual only.</t>
        </is>
      </c>
      <c r="K24" t="inlineStr">
        <is>
          <t>1d</t>
        </is>
      </c>
      <c r="L24" t="inlineStr">
        <is>
          <t>UI/UX designer</t>
        </is>
      </c>
      <c r="M24" t="inlineStr">
        <is>
          <t>n/a — manual evaluation</t>
        </is>
      </c>
      <c r="O24" t="inlineStr">
        <is>
          <t>Not Yet Run</t>
        </is>
      </c>
      <c r="Q24" t="inlineStr">
        <is>
          <t>—</t>
        </is>
      </c>
      <c r="R24" t="inlineStr">
        <is>
          <t>0%</t>
        </is>
      </c>
    </row>
    <row r="25" ht="35" customHeight="1" s="40">
      <c r="A25" s="7" t="inlineStr">
        <is>
          <t>D-021</t>
        </is>
      </c>
      <c r="B25" s="5" t="inlineStr">
        <is>
          <t>Form / input</t>
        </is>
      </c>
      <c r="C25" s="6" t="inlineStr">
        <is>
          <t>27</t>
        </is>
      </c>
      <c r="D25" s="5" t="inlineStr">
        <is>
          <t>Partial-credit grading on near-miss typing</t>
        </is>
      </c>
      <c r="E25" s="5" t="inlineStr">
        <is>
          <t>1. Submit たべます when correct is 食べます
2. Verify grading accepts kana form for kanji-target (or flags partial)</t>
        </is>
      </c>
      <c r="F25" s="5" t="inlineStr">
        <is>
          <t>Partial-credit policy is consistent</t>
        </is>
      </c>
      <c r="G25" s="6" t="inlineStr">
        <is>
          <t>P3</t>
        </is>
      </c>
      <c r="H25" s="6" t="inlineStr">
        <is>
          <t>Major</t>
        </is>
      </c>
      <c r="I25" s="6" t="inlineStr">
        <is>
          <t>Manual</t>
        </is>
      </c>
      <c r="J25" s="5" t="inlineStr">
        <is>
          <t>Procedure manual references 50% partial-credit (Bunpro-style)</t>
        </is>
      </c>
      <c r="K25" t="inlineStr">
        <is>
          <t>1d</t>
        </is>
      </c>
      <c r="L25" t="inlineStr">
        <is>
          <t>UI/UX designer</t>
        </is>
      </c>
      <c r="M25" t="inlineStr">
        <is>
          <t>n/a — manual evaluation</t>
        </is>
      </c>
      <c r="O25" t="inlineStr">
        <is>
          <t>Not Yet Run</t>
        </is>
      </c>
      <c r="Q25" t="inlineStr">
        <is>
          <t>—</t>
        </is>
      </c>
      <c r="R25" t="inlineStr">
        <is>
          <t>0%</t>
        </is>
      </c>
    </row>
    <row r="26" ht="31" customHeight="1" s="40">
      <c r="A26" s="7" t="inlineStr">
        <is>
          <t>D-022</t>
        </is>
      </c>
      <c r="B26" s="5" t="inlineStr">
        <is>
          <t>Dark mode</t>
        </is>
      </c>
      <c r="C26" s="6" t="inlineStr">
        <is>
          <t>28</t>
        </is>
      </c>
      <c r="D26" s="5" t="inlineStr">
        <is>
          <t>Dark-mode availability + WCAG contrast in dark</t>
        </is>
      </c>
      <c r="E26" s="5" t="inlineStr">
        <is>
          <t>1. Toggle dark mode (if available)
2. Verify all text contrasts ≥ 4.5:1 against dark background</t>
        </is>
      </c>
      <c r="F26" s="5" t="inlineStr">
        <is>
          <t>Dark mode meets WCAG-AA</t>
        </is>
      </c>
      <c r="G26" s="6" t="inlineStr">
        <is>
          <t>P5</t>
        </is>
      </c>
      <c r="H26" s="6" t="inlineStr">
        <is>
          <t>Minor</t>
        </is>
      </c>
      <c r="I26" s="6" t="inlineStr">
        <is>
          <t>Manual</t>
        </is>
      </c>
      <c r="J26" s="5" t="inlineStr">
        <is>
          <t>Not currently implemented</t>
        </is>
      </c>
      <c r="K26" t="inlineStr">
        <is>
          <t>1d</t>
        </is>
      </c>
      <c r="L26" t="inlineStr">
        <is>
          <t>UI/UX designer</t>
        </is>
      </c>
      <c r="M26" t="inlineStr">
        <is>
          <t>n/a — manual evaluation</t>
        </is>
      </c>
      <c r="O26" t="inlineStr">
        <is>
          <t>Not Yet Run</t>
        </is>
      </c>
      <c r="Q26" t="inlineStr">
        <is>
          <t>—</t>
        </is>
      </c>
      <c r="R26" t="inlineStr">
        <is>
          <t>0%</t>
        </is>
      </c>
    </row>
    <row r="27" ht="34" customHeight="1" s="40">
      <c r="A27" s="7" t="inlineStr">
        <is>
          <t>D-023</t>
        </is>
      </c>
      <c r="B27" s="5" t="inlineStr">
        <is>
          <t>Gamification</t>
        </is>
      </c>
      <c r="C27" s="6" t="inlineStr">
        <is>
          <t>26</t>
        </is>
      </c>
      <c r="D27" s="5" t="inlineStr">
        <is>
          <t>Streak / progress visualization motivates returns</t>
        </is>
      </c>
      <c r="E27" s="5" t="inlineStr">
        <is>
          <t>1. Use app daily for 5 days
2. Verify streak counter visible
3. Verify break-in-streak isn't punishing</t>
        </is>
      </c>
      <c r="F27" s="5" t="inlineStr">
        <is>
          <t>Streak motivates without punishing</t>
        </is>
      </c>
      <c r="G27" s="6" t="inlineStr">
        <is>
          <t>P5</t>
        </is>
      </c>
      <c r="H27" s="6" t="inlineStr">
        <is>
          <t>Minor</t>
        </is>
      </c>
      <c r="I27" s="6" t="inlineStr">
        <is>
          <t>Manual</t>
        </is>
      </c>
      <c r="J27" s="5" t="inlineStr">
        <is>
          <t>No automated check today — manual only.</t>
        </is>
      </c>
      <c r="K27" t="inlineStr">
        <is>
          <t>1d</t>
        </is>
      </c>
      <c r="L27" t="inlineStr">
        <is>
          <t>UI/UX designer</t>
        </is>
      </c>
      <c r="M27" t="inlineStr">
        <is>
          <t>n/a — manual evaluation</t>
        </is>
      </c>
      <c r="O27" t="inlineStr">
        <is>
          <t>Not Yet Run</t>
        </is>
      </c>
      <c r="Q27" t="inlineStr">
        <is>
          <t>—</t>
        </is>
      </c>
      <c r="R27"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40" min="1" max="1"/>
    <col width="19.08984375" customWidth="1" style="40" min="2" max="2"/>
    <col width="9.08984375" customWidth="1" style="40" min="3" max="3"/>
    <col width="43.6328125" customWidth="1" style="40" min="4" max="4"/>
    <col width="50.90625" customWidth="1" style="40" min="5" max="5"/>
    <col width="40" customWidth="1" style="40" min="6" max="6"/>
    <col width="14.54296875" customWidth="1" style="40" min="7" max="7"/>
    <col width="16.36328125" customWidth="1" style="40" min="8" max="8"/>
    <col width="14.54296875" customWidth="1" style="40" min="9" max="9"/>
    <col width="32.7265625" customWidth="1" style="40" min="10" max="10"/>
    <col width="16" customWidth="1" style="40" min="11" max="11"/>
    <col width="24" customWidth="1" style="40" min="12" max="12"/>
    <col width="32" customWidth="1" style="40" min="13" max="13"/>
    <col width="14" customWidth="1" style="40" min="14" max="15"/>
    <col width="18" customWidth="1" style="40" min="16" max="16"/>
    <col width="16" customWidth="1" style="40" min="17" max="17"/>
    <col width="12" customWidth="1" style="40" min="18" max="18"/>
  </cols>
  <sheetData>
    <row r="1" ht="28" customHeight="1" s="40">
      <c r="A1" s="39" t="inlineStr">
        <is>
          <t>E. Accessibility</t>
        </is>
      </c>
    </row>
    <row r="2" ht="36" customHeight="1" s="40">
      <c r="A2" s="42" t="inlineStr">
        <is>
          <t>Perspectives: WCAG-AA reviewer, screen-reader (VoiceOver/NVDA/TalkBack), motor-impairment, cognitive-accessibility, hearing-impaired (perspectives 29-33)</t>
        </is>
      </c>
    </row>
    <row r="4" ht="24" customHeight="1" s="40">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3" customHeight="1" s="40">
      <c r="A5" s="7" t="inlineStr">
        <is>
          <t>E-001</t>
        </is>
      </c>
      <c r="B5" s="5" t="inlineStr">
        <is>
          <t>WCAG-AA</t>
        </is>
      </c>
      <c r="C5" s="6" t="inlineStr">
        <is>
          <t>29</t>
        </is>
      </c>
      <c r="D5" s="5" t="inlineStr">
        <is>
          <t>Color-contrast ratio across all text-on-background combinations</t>
        </is>
      </c>
      <c r="E5" s="5" t="inlineStr">
        <is>
          <t>1. Run automated contrast checker (axe-core / Lighthouse)
2. Verify ≥ 4.5:1 for body, ≥ 3:1 for large</t>
        </is>
      </c>
      <c r="F5" s="5" t="inlineStr">
        <is>
          <t>All combinations pass AA</t>
        </is>
      </c>
      <c r="G5" s="6" t="inlineStr">
        <is>
          <t>P3</t>
        </is>
      </c>
      <c r="H5" s="6" t="inlineStr">
        <is>
          <t>Major</t>
        </is>
      </c>
      <c r="I5" s="6" t="inlineStr">
        <is>
          <t>Auto</t>
        </is>
      </c>
      <c r="J5" s="5" t="inlineStr">
        <is>
          <t>No automated check today — manual only.</t>
        </is>
      </c>
      <c r="K5" t="inlineStr">
        <is>
          <t>1h</t>
        </is>
      </c>
      <c r="L5" t="inlineStr">
        <is>
          <t>WCAG-AA auditor</t>
        </is>
      </c>
      <c r="M5" t="inlineStr">
        <is>
          <t>n/a — manual evaluation</t>
        </is>
      </c>
      <c r="O5" t="inlineStr">
        <is>
          <t>Not Yet Run</t>
        </is>
      </c>
      <c r="Q5" t="inlineStr">
        <is>
          <t>—</t>
        </is>
      </c>
      <c r="R5" t="inlineStr">
        <is>
          <t>0%</t>
        </is>
      </c>
    </row>
    <row r="6" ht="36" customHeight="1" s="40">
      <c r="A6" s="7" t="inlineStr">
        <is>
          <t>E-002</t>
        </is>
      </c>
      <c r="B6" s="5" t="inlineStr">
        <is>
          <t>WCAG-AA</t>
        </is>
      </c>
      <c r="C6" s="6" t="inlineStr">
        <is>
          <t>29</t>
        </is>
      </c>
      <c r="D6" s="5" t="inlineStr">
        <is>
          <t>Semantic HTML: proper heading hierarchy + landmarks</t>
        </is>
      </c>
      <c r="E6" s="5" t="inlineStr">
        <is>
          <t>1. Run axe-core
2. Verify H1→H2→H3 hierarchy (no skips)
3. Verify &lt;main&gt;, &lt;nav&gt;, &lt;header&gt;, &lt;footer&gt; landmarks</t>
        </is>
      </c>
      <c r="F6" s="5" t="inlineStr">
        <is>
          <t>Heading + landmark structure passes axe</t>
        </is>
      </c>
      <c r="G6" s="6" t="inlineStr">
        <is>
          <t>P3</t>
        </is>
      </c>
      <c r="H6" s="6" t="inlineStr">
        <is>
          <t>Major</t>
        </is>
      </c>
      <c r="I6" s="6" t="inlineStr">
        <is>
          <t>Auto</t>
        </is>
      </c>
      <c r="J6" s="5" t="inlineStr">
        <is>
          <t>No automated check today — manual only.</t>
        </is>
      </c>
      <c r="K6" t="inlineStr">
        <is>
          <t>1h</t>
        </is>
      </c>
      <c r="L6" t="inlineStr">
        <is>
          <t>WCAG-AA auditor</t>
        </is>
      </c>
      <c r="M6" t="inlineStr">
        <is>
          <t>n/a — manual evaluation</t>
        </is>
      </c>
      <c r="O6" t="inlineStr">
        <is>
          <t>Not Yet Run</t>
        </is>
      </c>
      <c r="Q6" t="inlineStr">
        <is>
          <t>—</t>
        </is>
      </c>
      <c r="R6" t="inlineStr">
        <is>
          <t>0%</t>
        </is>
      </c>
    </row>
    <row r="7" ht="30" customHeight="1" s="40">
      <c r="A7" s="7" t="inlineStr">
        <is>
          <t>E-003</t>
        </is>
      </c>
      <c r="B7" s="5" t="inlineStr">
        <is>
          <t>WCAG-AA</t>
        </is>
      </c>
      <c r="C7" s="6" t="inlineStr">
        <is>
          <t>29</t>
        </is>
      </c>
      <c r="D7" s="5" t="inlineStr">
        <is>
          <t>ARIA labels on all interactive controls</t>
        </is>
      </c>
      <c r="E7" s="5" t="inlineStr">
        <is>
          <t>1. Inspect all buttons / links / inputs
2. Verify aria-label or visible label</t>
        </is>
      </c>
      <c r="F7" s="5" t="inlineStr">
        <is>
          <t>0 unlabeled interactive controls</t>
        </is>
      </c>
      <c r="G7" s="6" t="inlineStr">
        <is>
          <t>P3</t>
        </is>
      </c>
      <c r="H7" s="6" t="inlineStr">
        <is>
          <t>Major</t>
        </is>
      </c>
      <c r="I7" s="6" t="inlineStr">
        <is>
          <t>Auto</t>
        </is>
      </c>
      <c r="J7" s="5" t="inlineStr">
        <is>
          <t>No automated check today — manual only.</t>
        </is>
      </c>
      <c r="K7" t="inlineStr">
        <is>
          <t>1h</t>
        </is>
      </c>
      <c r="L7" t="inlineStr">
        <is>
          <t>WCAG-AA auditor</t>
        </is>
      </c>
      <c r="M7" t="inlineStr">
        <is>
          <t>n/a — manual evaluation</t>
        </is>
      </c>
      <c r="O7" t="inlineStr">
        <is>
          <t>Not Yet Run</t>
        </is>
      </c>
      <c r="Q7" t="inlineStr">
        <is>
          <t>—</t>
        </is>
      </c>
      <c r="R7" t="inlineStr">
        <is>
          <t>0%</t>
        </is>
      </c>
    </row>
    <row r="8" ht="30" customHeight="1" s="40">
      <c r="A8" s="7" t="inlineStr">
        <is>
          <t>E-004</t>
        </is>
      </c>
      <c r="B8" s="5" t="inlineStr">
        <is>
          <t>WCAG-AA</t>
        </is>
      </c>
      <c r="C8" s="6" t="inlineStr">
        <is>
          <t>29</t>
        </is>
      </c>
      <c r="D8" s="5" t="inlineStr">
        <is>
          <t>Keyboard-only navigation through entire app</t>
        </is>
      </c>
      <c r="E8" s="5" t="inlineStr">
        <is>
          <t>1. Disconnect mouse
2. Tab through all routes
3. Verify all controls reachable + actionable</t>
        </is>
      </c>
      <c r="F8" s="5" t="inlineStr">
        <is>
          <t>Full keyboard navigation possible</t>
        </is>
      </c>
      <c r="G8" s="6" t="inlineStr">
        <is>
          <t>P3</t>
        </is>
      </c>
      <c r="H8" s="6" t="inlineStr">
        <is>
          <t>Major</t>
        </is>
      </c>
      <c r="I8" s="6" t="inlineStr">
        <is>
          <t>Manual</t>
        </is>
      </c>
      <c r="J8" s="5" t="inlineStr">
        <is>
          <t>No automated check today — manual only.</t>
        </is>
      </c>
      <c r="K8" t="inlineStr">
        <is>
          <t>4h</t>
        </is>
      </c>
      <c r="L8" t="inlineStr">
        <is>
          <t>WCAG-AA auditor</t>
        </is>
      </c>
      <c r="M8" t="inlineStr">
        <is>
          <t>n/a — manual evaluation</t>
        </is>
      </c>
      <c r="O8" t="inlineStr">
        <is>
          <t>Not Yet Run</t>
        </is>
      </c>
      <c r="Q8" t="inlineStr">
        <is>
          <t>—</t>
        </is>
      </c>
      <c r="R8" t="inlineStr">
        <is>
          <t>0%</t>
        </is>
      </c>
    </row>
    <row r="9" ht="30" customHeight="1" s="40">
      <c r="A9" s="7" t="inlineStr">
        <is>
          <t>E-005</t>
        </is>
      </c>
      <c r="B9" s="5" t="inlineStr">
        <is>
          <t>WCAG-AA</t>
        </is>
      </c>
      <c r="C9" s="6" t="inlineStr">
        <is>
          <t>29</t>
        </is>
      </c>
      <c r="D9" s="5" t="inlineStr">
        <is>
          <t>Focus-indicator visibility</t>
        </is>
      </c>
      <c r="E9" s="5" t="inlineStr">
        <is>
          <t>1. Tab through controls
2. Verify focus ring is visible (≥3:1 contrast against background)</t>
        </is>
      </c>
      <c r="F9" s="5" t="inlineStr">
        <is>
          <t>Focus indicator always visible</t>
        </is>
      </c>
      <c r="G9" s="6" t="inlineStr">
        <is>
          <t>P3</t>
        </is>
      </c>
      <c r="H9" s="6" t="inlineStr">
        <is>
          <t>Major</t>
        </is>
      </c>
      <c r="I9" s="6" t="inlineStr">
        <is>
          <t>Manual</t>
        </is>
      </c>
      <c r="J9" s="5" t="inlineStr">
        <is>
          <t>No automated check today — manual only.</t>
        </is>
      </c>
      <c r="K9" t="inlineStr">
        <is>
          <t>4h</t>
        </is>
      </c>
      <c r="L9" t="inlineStr">
        <is>
          <t>WCAG-AA auditor</t>
        </is>
      </c>
      <c r="M9" t="inlineStr">
        <is>
          <t>n/a — manual evaluation</t>
        </is>
      </c>
      <c r="O9" t="inlineStr">
        <is>
          <t>Not Yet Run</t>
        </is>
      </c>
      <c r="Q9" t="inlineStr">
        <is>
          <t>—</t>
        </is>
      </c>
      <c r="R9" t="inlineStr">
        <is>
          <t>0%</t>
        </is>
      </c>
    </row>
    <row r="10" ht="30" customHeight="1" s="40">
      <c r="A10" s="7" t="inlineStr">
        <is>
          <t>E-006</t>
        </is>
      </c>
      <c r="B10" s="5" t="inlineStr">
        <is>
          <t>WCAG-AA</t>
        </is>
      </c>
      <c r="C10" s="6" t="inlineStr">
        <is>
          <t>29</t>
        </is>
      </c>
      <c r="D10" s="5" t="inlineStr">
        <is>
          <t>Skip-to-main link at page top</t>
        </is>
      </c>
      <c r="E10" s="5" t="inlineStr">
        <is>
          <t>1. Tab once after page load
2. Verify 'Skip to main content' link appears</t>
        </is>
      </c>
      <c r="F10" s="5" t="inlineStr">
        <is>
          <t>Skip-link present and functional</t>
        </is>
      </c>
      <c r="G10" s="6" t="inlineStr">
        <is>
          <t>P4</t>
        </is>
      </c>
      <c r="H10" s="6" t="inlineStr">
        <is>
          <t>Minor</t>
        </is>
      </c>
      <c r="I10" s="6" t="inlineStr">
        <is>
          <t>Manual</t>
        </is>
      </c>
      <c r="J10" s="5" t="inlineStr">
        <is>
          <t>No automated check today — manual only.</t>
        </is>
      </c>
      <c r="K10" t="inlineStr">
        <is>
          <t>4h</t>
        </is>
      </c>
      <c r="L10" t="inlineStr">
        <is>
          <t>WCAG-AA auditor</t>
        </is>
      </c>
      <c r="M10" t="inlineStr">
        <is>
          <t>n/a — manual evaluation</t>
        </is>
      </c>
      <c r="O10" t="inlineStr">
        <is>
          <t>Not Yet Run</t>
        </is>
      </c>
      <c r="Q10" t="inlineStr">
        <is>
          <t>—</t>
        </is>
      </c>
      <c r="R10" t="inlineStr">
        <is>
          <t>0%</t>
        </is>
      </c>
    </row>
    <row r="11" ht="40" customHeight="1" s="40">
      <c r="A11" s="7" t="inlineStr">
        <is>
          <t>E-007</t>
        </is>
      </c>
      <c r="B11" s="5" t="inlineStr">
        <is>
          <t>Screen reader</t>
        </is>
      </c>
      <c r="C11" s="6" t="inlineStr">
        <is>
          <t>30</t>
        </is>
      </c>
      <c r="D11" s="5" t="inlineStr">
        <is>
          <t>VoiceOver (macOS) reads Japanese text with correct language tag</t>
        </is>
      </c>
      <c r="E11" s="5" t="inlineStr">
        <is>
          <t>1. Enable VoiceOver
2. Navigate Japanese passages
3. Verify reader uses Japanese voice (not English mis-pronouncing kanji)</t>
        </is>
      </c>
      <c r="F11" s="5" t="inlineStr">
        <is>
          <t>Japanese text reads in Japanese voice</t>
        </is>
      </c>
      <c r="G11" s="6" t="inlineStr">
        <is>
          <t>P3</t>
        </is>
      </c>
      <c r="H11" s="6" t="inlineStr">
        <is>
          <t>Major</t>
        </is>
      </c>
      <c r="I11" s="6" t="inlineStr">
        <is>
          <t>Manual</t>
        </is>
      </c>
      <c r="J11" s="5" t="inlineStr">
        <is>
          <t>Needs &lt;span lang='ja'&gt; tags</t>
        </is>
      </c>
      <c r="K11" t="inlineStr">
        <is>
          <t>4h</t>
        </is>
      </c>
      <c r="L11" t="inlineStr">
        <is>
          <t>WCAG-AA auditor</t>
        </is>
      </c>
      <c r="M11" t="inlineStr">
        <is>
          <t>n/a — manual evaluation</t>
        </is>
      </c>
      <c r="O11" t="inlineStr">
        <is>
          <t>Not Yet Run</t>
        </is>
      </c>
      <c r="Q11" t="inlineStr">
        <is>
          <t>—</t>
        </is>
      </c>
      <c r="R11" t="inlineStr">
        <is>
          <t>0%</t>
        </is>
      </c>
    </row>
    <row r="12" ht="33" customHeight="1" s="40">
      <c r="A12" s="7" t="inlineStr">
        <is>
          <t>E-008</t>
        </is>
      </c>
      <c r="B12" s="5" t="inlineStr">
        <is>
          <t>Screen reader</t>
        </is>
      </c>
      <c r="C12" s="6" t="inlineStr">
        <is>
          <t>30</t>
        </is>
      </c>
      <c r="D12" s="5" t="inlineStr">
        <is>
          <t>NVDA (Windows) reads mixed Japanese + Hindi + English correctly</t>
        </is>
      </c>
      <c r="E12" s="5" t="inlineStr">
        <is>
          <t>1. Enable NVDA
2. Navigate quiz with all three locales visible
3. Verify per-language voice switching</t>
        </is>
      </c>
      <c r="F12" s="5" t="inlineStr">
        <is>
          <t>Per-language voices used</t>
        </is>
      </c>
      <c r="G12" s="6" t="inlineStr">
        <is>
          <t>P3</t>
        </is>
      </c>
      <c r="H12" s="6" t="inlineStr">
        <is>
          <t>Major</t>
        </is>
      </c>
      <c r="I12" s="6" t="inlineStr">
        <is>
          <t>Manual</t>
        </is>
      </c>
      <c r="J12" s="5" t="inlineStr">
        <is>
          <t>No automated check today — manual only.</t>
        </is>
      </c>
      <c r="K12" t="inlineStr">
        <is>
          <t>4h</t>
        </is>
      </c>
      <c r="L12" t="inlineStr">
        <is>
          <t>WCAG-AA auditor</t>
        </is>
      </c>
      <c r="M12" t="inlineStr">
        <is>
          <t>n/a — manual evaluation</t>
        </is>
      </c>
      <c r="O12" t="inlineStr">
        <is>
          <t>Not Yet Run</t>
        </is>
      </c>
      <c r="Q12" t="inlineStr">
        <is>
          <t>—</t>
        </is>
      </c>
      <c r="R12" t="inlineStr">
        <is>
          <t>0%</t>
        </is>
      </c>
    </row>
    <row r="13" ht="30" customHeight="1" s="40">
      <c r="A13" s="7" t="inlineStr">
        <is>
          <t>E-009</t>
        </is>
      </c>
      <c r="B13" s="5" t="inlineStr">
        <is>
          <t>Screen reader</t>
        </is>
      </c>
      <c r="C13" s="6" t="inlineStr">
        <is>
          <t>30</t>
        </is>
      </c>
      <c r="D13" s="5" t="inlineStr">
        <is>
          <t>TalkBack (Android) navigation through learn-vocab page</t>
        </is>
      </c>
      <c r="E13" s="5" t="inlineStr">
        <is>
          <t>1. Enable TalkBack
2. Swipe through vocab card
3. Verify each element announces clearly</t>
        </is>
      </c>
      <c r="F13" s="5" t="inlineStr">
        <is>
          <t>All elements announced</t>
        </is>
      </c>
      <c r="G13" s="6" t="inlineStr">
        <is>
          <t>P3</t>
        </is>
      </c>
      <c r="H13" s="6" t="inlineStr">
        <is>
          <t>Major</t>
        </is>
      </c>
      <c r="I13" s="6" t="inlineStr">
        <is>
          <t>Manual</t>
        </is>
      </c>
      <c r="J13" s="5" t="inlineStr">
        <is>
          <t>No automated check today — manual only.</t>
        </is>
      </c>
      <c r="K13" t="inlineStr">
        <is>
          <t>4h</t>
        </is>
      </c>
      <c r="L13" t="inlineStr">
        <is>
          <t>WCAG-AA auditor</t>
        </is>
      </c>
      <c r="M13" t="inlineStr">
        <is>
          <t>n/a — manual evaluation</t>
        </is>
      </c>
      <c r="O13" t="inlineStr">
        <is>
          <t>Not Yet Run</t>
        </is>
      </c>
      <c r="Q13" t="inlineStr">
        <is>
          <t>—</t>
        </is>
      </c>
      <c r="R13" t="inlineStr">
        <is>
          <t>0%</t>
        </is>
      </c>
    </row>
    <row r="14" ht="31" customHeight="1" s="40">
      <c r="A14" s="7" t="inlineStr">
        <is>
          <t>E-010</t>
        </is>
      </c>
      <c r="B14" s="5" t="inlineStr">
        <is>
          <t>Screen reader</t>
        </is>
      </c>
      <c r="C14" s="6" t="inlineStr">
        <is>
          <t>30</t>
        </is>
      </c>
      <c r="D14" s="5" t="inlineStr">
        <is>
          <t>Furigana exposure to screen reader (ruby tag handling)</t>
        </is>
      </c>
      <c r="E14" s="5" t="inlineStr">
        <is>
          <t>1. Enable VoiceOver
2. Read kanji with furigana
3. Verify reader uses ruby reading (not skip)</t>
        </is>
      </c>
      <c r="F14" s="5" t="inlineStr">
        <is>
          <t>Furigana read or kanji read; not silenced</t>
        </is>
      </c>
      <c r="G14" s="6" t="inlineStr">
        <is>
          <t>P3</t>
        </is>
      </c>
      <c r="H14" s="6" t="inlineStr">
        <is>
          <t>Major</t>
        </is>
      </c>
      <c r="I14" s="6" t="inlineStr">
        <is>
          <t>Manual</t>
        </is>
      </c>
      <c r="J14" s="5" t="inlineStr">
        <is>
          <t>No automated check today — manual only.</t>
        </is>
      </c>
      <c r="K14" t="inlineStr">
        <is>
          <t>4h</t>
        </is>
      </c>
      <c r="L14" t="inlineStr">
        <is>
          <t>WCAG-AA auditor</t>
        </is>
      </c>
      <c r="M14" t="inlineStr">
        <is>
          <t>n/a — manual evaluation</t>
        </is>
      </c>
      <c r="O14" t="inlineStr">
        <is>
          <t>Not Yet Run</t>
        </is>
      </c>
      <c r="Q14" t="inlineStr">
        <is>
          <t>—</t>
        </is>
      </c>
      <c r="R14" t="inlineStr">
        <is>
          <t>0%</t>
        </is>
      </c>
    </row>
    <row r="15" ht="30" customHeight="1" s="40">
      <c r="A15" s="7" t="inlineStr">
        <is>
          <t>E-011</t>
        </is>
      </c>
      <c r="B15" s="5" t="inlineStr">
        <is>
          <t>Motor</t>
        </is>
      </c>
      <c r="C15" s="6" t="inlineStr">
        <is>
          <t>31</t>
        </is>
      </c>
      <c r="D15" s="5" t="inlineStr">
        <is>
          <t>Touch-target size ≥ 48x48 px on mobile</t>
        </is>
      </c>
      <c r="E15" s="5" t="inlineStr">
        <is>
          <t>1. Render quiz on 360px wide viewport
2. Measure all tap targets</t>
        </is>
      </c>
      <c r="F15" s="5" t="inlineStr">
        <is>
          <t>All targets ≥ 48x48</t>
        </is>
      </c>
      <c r="G15" s="6" t="inlineStr">
        <is>
          <t>P5</t>
        </is>
      </c>
      <c r="H15" s="6" t="inlineStr">
        <is>
          <t>Minor</t>
        </is>
      </c>
      <c r="I15" s="6" t="inlineStr">
        <is>
          <t>Auto</t>
        </is>
      </c>
      <c r="J15" s="5" t="inlineStr">
        <is>
          <t>No automated check today — manual only.</t>
        </is>
      </c>
      <c r="K15" t="inlineStr">
        <is>
          <t>4h</t>
        </is>
      </c>
      <c r="L15" t="inlineStr">
        <is>
          <t>WCAG-AA auditor</t>
        </is>
      </c>
      <c r="M15" t="inlineStr">
        <is>
          <t>n/a — manual evaluation</t>
        </is>
      </c>
      <c r="O15" t="inlineStr">
        <is>
          <t>Not Yet Run</t>
        </is>
      </c>
      <c r="Q15" t="inlineStr">
        <is>
          <t>—</t>
        </is>
      </c>
      <c r="R15" t="inlineStr">
        <is>
          <t>0%</t>
        </is>
      </c>
    </row>
    <row r="16" ht="45" customHeight="1" s="40">
      <c r="A16" s="7" t="inlineStr">
        <is>
          <t>E-012</t>
        </is>
      </c>
      <c r="B16" s="5" t="inlineStr">
        <is>
          <t>Motor</t>
        </is>
      </c>
      <c r="C16" s="6" t="inlineStr">
        <is>
          <t>31</t>
        </is>
      </c>
      <c r="D16" s="5" t="inlineStr">
        <is>
          <t>Keyboard-shortcut customization for power users</t>
        </is>
      </c>
      <c r="E16" s="5" t="inlineStr">
        <is>
          <t>1. Verify common actions (next question, mark correct, replay audio) have shortcuts
2. Verify shortcuts don't conflict with screen-reader</t>
        </is>
      </c>
      <c r="F16" s="5" t="inlineStr">
        <is>
          <t>Shortcuts exist + don't conflict</t>
        </is>
      </c>
      <c r="G16" s="6" t="inlineStr">
        <is>
          <t>P5</t>
        </is>
      </c>
      <c r="H16" s="6" t="inlineStr">
        <is>
          <t>Minor</t>
        </is>
      </c>
      <c r="I16" s="6" t="inlineStr">
        <is>
          <t>Manual</t>
        </is>
      </c>
      <c r="J16" s="5" t="inlineStr">
        <is>
          <t>No automated check today — manual only.</t>
        </is>
      </c>
      <c r="K16" t="inlineStr">
        <is>
          <t>4h</t>
        </is>
      </c>
      <c r="L16" t="inlineStr">
        <is>
          <t>WCAG-AA auditor</t>
        </is>
      </c>
      <c r="M16" t="inlineStr">
        <is>
          <t>n/a — manual evaluation</t>
        </is>
      </c>
      <c r="O16" t="inlineStr">
        <is>
          <t>Not Yet Run</t>
        </is>
      </c>
      <c r="Q16" t="inlineStr">
        <is>
          <t>—</t>
        </is>
      </c>
      <c r="R16" t="inlineStr">
        <is>
          <t>0%</t>
        </is>
      </c>
    </row>
    <row r="17" ht="30" customHeight="1" s="40">
      <c r="A17" s="7" t="inlineStr">
        <is>
          <t>E-013</t>
        </is>
      </c>
      <c r="B17" s="5" t="inlineStr">
        <is>
          <t>Cognitive accessibility</t>
        </is>
      </c>
      <c r="C17" s="6" t="inlineStr">
        <is>
          <t>32</t>
        </is>
      </c>
      <c r="D17" s="5" t="inlineStr">
        <is>
          <t>Reduced-motion preference respect</t>
        </is>
      </c>
      <c r="E17" s="5" t="inlineStr">
        <is>
          <t>1. Set OS prefers-reduced-motion = true
2. Verify app disables transitions / animations</t>
        </is>
      </c>
      <c r="F17" s="5" t="inlineStr">
        <is>
          <t>Reduced-motion respected</t>
        </is>
      </c>
      <c r="G17" s="6" t="inlineStr">
        <is>
          <t>P5</t>
        </is>
      </c>
      <c r="H17" s="6" t="inlineStr">
        <is>
          <t>Minor</t>
        </is>
      </c>
      <c r="I17" s="6" t="inlineStr">
        <is>
          <t>Manual</t>
        </is>
      </c>
      <c r="J17" s="5" t="inlineStr">
        <is>
          <t>No automated check today — manual only.</t>
        </is>
      </c>
      <c r="K17" t="inlineStr">
        <is>
          <t>4h</t>
        </is>
      </c>
      <c r="L17" t="inlineStr">
        <is>
          <t>WCAG-AA auditor</t>
        </is>
      </c>
      <c r="M17" t="inlineStr">
        <is>
          <t>n/a — manual evaluation</t>
        </is>
      </c>
      <c r="O17" t="inlineStr">
        <is>
          <t>Not Yet Run</t>
        </is>
      </c>
      <c r="Q17" t="inlineStr">
        <is>
          <t>—</t>
        </is>
      </c>
      <c r="R17" t="inlineStr">
        <is>
          <t>0%</t>
        </is>
      </c>
    </row>
    <row r="18" ht="35" customHeight="1" s="40">
      <c r="A18" s="7" t="inlineStr">
        <is>
          <t>E-014</t>
        </is>
      </c>
      <c r="B18" s="5" t="inlineStr">
        <is>
          <t>Cognitive accessibility</t>
        </is>
      </c>
      <c r="C18" s="6" t="inlineStr">
        <is>
          <t>32</t>
        </is>
      </c>
      <c r="D18" s="5" t="inlineStr">
        <is>
          <t>Dyslexia-friendly font option</t>
        </is>
      </c>
      <c r="E18" s="5" t="inlineStr">
        <is>
          <t>1. Verify font is dyslexia-friendly (OpenDyslexic toggle?) OR default font is reasonably dyslexia-friendly</t>
        </is>
      </c>
      <c r="F18" s="5" t="inlineStr">
        <is>
          <t>Decision documented; option exists if needed</t>
        </is>
      </c>
      <c r="G18" s="6" t="inlineStr">
        <is>
          <t>P5</t>
        </is>
      </c>
      <c r="H18" s="6" t="inlineStr">
        <is>
          <t>Minor</t>
        </is>
      </c>
      <c r="I18" s="6" t="inlineStr">
        <is>
          <t>Manual</t>
        </is>
      </c>
      <c r="J18" s="5" t="inlineStr">
        <is>
          <t>No automated check today — manual only.</t>
        </is>
      </c>
      <c r="K18" t="inlineStr">
        <is>
          <t>4h</t>
        </is>
      </c>
      <c r="L18" t="inlineStr">
        <is>
          <t>WCAG-AA auditor</t>
        </is>
      </c>
      <c r="M18" t="inlineStr">
        <is>
          <t>n/a — manual evaluation</t>
        </is>
      </c>
      <c r="O18" t="inlineStr">
        <is>
          <t>Not Yet Run</t>
        </is>
      </c>
      <c r="Q18" t="inlineStr">
        <is>
          <t>—</t>
        </is>
      </c>
      <c r="R18" t="inlineStr">
        <is>
          <t>0%</t>
        </is>
      </c>
    </row>
    <row r="19" ht="30" customHeight="1" s="40">
      <c r="A19" s="7" t="inlineStr">
        <is>
          <t>E-015</t>
        </is>
      </c>
      <c r="B19" s="5" t="inlineStr">
        <is>
          <t>Cognitive accessibility</t>
        </is>
      </c>
      <c r="C19" s="6" t="inlineStr">
        <is>
          <t>32</t>
        </is>
      </c>
      <c r="D19" s="5" t="inlineStr">
        <is>
          <t>Reading-flow predictability (no surprise pop-ups)</t>
        </is>
      </c>
      <c r="E19" s="5" t="inlineStr">
        <is>
          <t>1. Use app for 20 min
2. Note unexpected modals / context changes</t>
        </is>
      </c>
      <c r="F19" s="5" t="inlineStr">
        <is>
          <t>0 surprise context-shifts</t>
        </is>
      </c>
      <c r="G19" s="6" t="inlineStr">
        <is>
          <t>P5</t>
        </is>
      </c>
      <c r="H19" s="6" t="inlineStr">
        <is>
          <t>Minor</t>
        </is>
      </c>
      <c r="I19" s="6" t="inlineStr">
        <is>
          <t>Manual</t>
        </is>
      </c>
      <c r="J19" s="5" t="inlineStr">
        <is>
          <t>No automated check today — manual only.</t>
        </is>
      </c>
      <c r="K19" t="inlineStr">
        <is>
          <t>4h</t>
        </is>
      </c>
      <c r="L19" t="inlineStr">
        <is>
          <t>WCAG-AA auditor</t>
        </is>
      </c>
      <c r="M19" t="inlineStr">
        <is>
          <t>n/a — manual evaluation</t>
        </is>
      </c>
      <c r="O19" t="inlineStr">
        <is>
          <t>Not Yet Run</t>
        </is>
      </c>
      <c r="Q19" t="inlineStr">
        <is>
          <t>—</t>
        </is>
      </c>
      <c r="R19" t="inlineStr">
        <is>
          <t>0%</t>
        </is>
      </c>
    </row>
    <row r="20" ht="30" customHeight="1" s="40">
      <c r="A20" s="7" t="inlineStr">
        <is>
          <t>E-016</t>
        </is>
      </c>
      <c r="B20" s="5" t="inlineStr">
        <is>
          <t>Hearing-impaired</t>
        </is>
      </c>
      <c r="C20" s="6" t="inlineStr">
        <is>
          <t>33</t>
        </is>
      </c>
      <c r="D20" s="5" t="inlineStr">
        <is>
          <t>Audio-dependent items have transcripts visible</t>
        </is>
      </c>
      <c r="E20" s="5" t="inlineStr">
        <is>
          <t>1. Open listening.json items
2. Verify script_ja is visible OR can be revealed</t>
        </is>
      </c>
      <c r="F20" s="5" t="inlineStr">
        <is>
          <t>Transcripts accessible</t>
        </is>
      </c>
      <c r="G20" s="6" t="inlineStr">
        <is>
          <t>P3</t>
        </is>
      </c>
      <c r="H20" s="6" t="inlineStr">
        <is>
          <t>Major</t>
        </is>
      </c>
      <c r="I20" s="6" t="inlineStr">
        <is>
          <t>Manual</t>
        </is>
      </c>
      <c r="J20" s="5" t="inlineStr">
        <is>
          <t>JA-86 ensures script_ja exists</t>
        </is>
      </c>
      <c r="K20" t="inlineStr">
        <is>
          <t>4h</t>
        </is>
      </c>
      <c r="L20" t="inlineStr">
        <is>
          <t>WCAG-AA auditor</t>
        </is>
      </c>
      <c r="M20" t="inlineStr">
        <is>
          <t>n/a — manual evaluation</t>
        </is>
      </c>
      <c r="O20" t="inlineStr">
        <is>
          <t>Not Yet Run</t>
        </is>
      </c>
      <c r="Q20" t="inlineStr">
        <is>
          <t>—</t>
        </is>
      </c>
      <c r="R20" t="inlineStr">
        <is>
          <t>0%</t>
        </is>
      </c>
    </row>
    <row r="21" ht="30" customHeight="1" s="40">
      <c r="A21" s="7" t="inlineStr">
        <is>
          <t>E-017</t>
        </is>
      </c>
      <c r="B21" s="5" t="inlineStr">
        <is>
          <t>Hearing-impaired</t>
        </is>
      </c>
      <c r="C21" s="6" t="inlineStr">
        <is>
          <t>33</t>
        </is>
      </c>
      <c r="D21" s="5" t="inlineStr">
        <is>
          <t>Pitch-accent visual representation</t>
        </is>
      </c>
      <c r="E21" s="5" t="inlineStr">
        <is>
          <t>1. Verify pitch-accent diagram (drop arrow / line graph) is visible</t>
        </is>
      </c>
      <c r="F21" s="5" t="inlineStr">
        <is>
          <t>Visual pitch-accent renders correctly</t>
        </is>
      </c>
      <c r="G21" s="6" t="inlineStr">
        <is>
          <t>P3</t>
        </is>
      </c>
      <c r="H21" s="6" t="inlineStr">
        <is>
          <t>Major</t>
        </is>
      </c>
      <c r="I21" s="6" t="inlineStr">
        <is>
          <t>Manual</t>
        </is>
      </c>
      <c r="J21" s="5" t="inlineStr">
        <is>
          <t>No automated check today — manual only.</t>
        </is>
      </c>
      <c r="K21" t="inlineStr">
        <is>
          <t>4h</t>
        </is>
      </c>
      <c r="L21" t="inlineStr">
        <is>
          <t>WCAG-AA auditor</t>
        </is>
      </c>
      <c r="M21" t="inlineStr">
        <is>
          <t>n/a — manual evaluation</t>
        </is>
      </c>
      <c r="O21" t="inlineStr">
        <is>
          <t>Not Yet Run</t>
        </is>
      </c>
      <c r="Q21" t="inlineStr">
        <is>
          <t>—</t>
        </is>
      </c>
      <c r="R21" t="inlineStr">
        <is>
          <t>0%</t>
        </is>
      </c>
    </row>
    <row r="22" ht="30" customHeight="1" s="40">
      <c r="A22" s="7" t="inlineStr">
        <is>
          <t>E-018</t>
        </is>
      </c>
      <c r="B22" s="5" t="inlineStr">
        <is>
          <t>Hearing-impaired</t>
        </is>
      </c>
      <c r="C22" s="6" t="inlineStr">
        <is>
          <t>33</t>
        </is>
      </c>
      <c r="D22" s="5" t="inlineStr">
        <is>
          <t>Mock-exam listening section has 'reveal-script' button</t>
        </is>
      </c>
      <c r="E22" s="5" t="inlineStr">
        <is>
          <t>1. In mock-exam mode, listen to a question
2. Verify learner can reveal script post-answer</t>
        </is>
      </c>
      <c r="F22" s="5" t="inlineStr">
        <is>
          <t>Script reveal available post-answer</t>
        </is>
      </c>
      <c r="G22" s="6" t="inlineStr">
        <is>
          <t>P3</t>
        </is>
      </c>
      <c r="H22" s="6" t="inlineStr">
        <is>
          <t>Major</t>
        </is>
      </c>
      <c r="I22" s="6" t="inlineStr">
        <is>
          <t>Manual</t>
        </is>
      </c>
      <c r="J22" s="5" t="inlineStr">
        <is>
          <t>No automated check today — manual only.</t>
        </is>
      </c>
      <c r="K22" t="inlineStr">
        <is>
          <t>4h</t>
        </is>
      </c>
      <c r="L22" t="inlineStr">
        <is>
          <t>WCAG-AA auditor</t>
        </is>
      </c>
      <c r="M22" t="inlineStr">
        <is>
          <t>n/a — manual evaluation</t>
        </is>
      </c>
      <c r="O22" t="inlineStr">
        <is>
          <t>Not Yet Run</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40" min="1" max="1"/>
    <col width="19.08984375" customWidth="1" style="40" min="2" max="2"/>
    <col width="9.08984375" customWidth="1" style="40" min="3" max="3"/>
    <col width="43.6328125" customWidth="1" style="40" min="4" max="4"/>
    <col width="50.90625" customWidth="1" style="40" min="5" max="5"/>
    <col width="40" customWidth="1" style="40" min="6" max="6"/>
    <col width="14.54296875" customWidth="1" style="40" min="7" max="7"/>
    <col width="16.36328125" customWidth="1" style="40" min="8" max="8"/>
    <col width="14.54296875" customWidth="1" style="40" min="9" max="9"/>
    <col width="32.7265625" customWidth="1" style="40" min="10" max="10"/>
    <col width="16" customWidth="1" style="40" min="11" max="11"/>
    <col width="24" customWidth="1" style="40" min="12" max="12"/>
    <col width="32" customWidth="1" style="40" min="13" max="13"/>
    <col width="14" customWidth="1" style="40" min="14" max="15"/>
    <col width="18" customWidth="1" style="40" min="16" max="16"/>
    <col width="16" customWidth="1" style="40" min="17" max="17"/>
    <col width="12" customWidth="1" style="40" min="18" max="18"/>
  </cols>
  <sheetData>
    <row r="1" ht="28" customHeight="1" s="40">
      <c r="A1" s="39" t="inlineStr">
        <is>
          <t>F. Security</t>
        </is>
      </c>
    </row>
    <row r="2" ht="36" customHeight="1" s="40">
      <c r="A2" s="42" t="inlineStr">
        <is>
          <t>Perspectives: OWASP, CSP, supply-chain, secrets, penetration, GitHub Actions security (perspectives 34-39)</t>
        </is>
      </c>
    </row>
    <row r="4" ht="24" customHeight="1" s="40">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42" customHeight="1" s="40">
      <c r="A5" s="7" t="inlineStr">
        <is>
          <t>F-001</t>
        </is>
      </c>
      <c r="B5" s="5" t="inlineStr">
        <is>
          <t>XSS</t>
        </is>
      </c>
      <c r="C5" s="6" t="inlineStr">
        <is>
          <t>34</t>
        </is>
      </c>
      <c r="D5" s="5" t="inlineStr">
        <is>
          <t>Input field XSS payload injection (feedback module if exists)</t>
        </is>
      </c>
      <c r="E5" s="5" t="inlineStr">
        <is>
          <t>1. Identify all input surfaces
2. Submit &lt;script&gt;alert(1)&lt;/script&gt;, &lt;img src=x onerror=alert(1)&gt;
3. Verify no script execution</t>
        </is>
      </c>
      <c r="F5" s="5" t="inlineStr">
        <is>
          <t>All inputs sanitized; no payload executes</t>
        </is>
      </c>
      <c r="G5" s="6" t="inlineStr">
        <is>
          <t>P1</t>
        </is>
      </c>
      <c r="H5" s="6" t="inlineStr">
        <is>
          <t>Critical</t>
        </is>
      </c>
      <c r="I5" s="6" t="inlineStr">
        <is>
          <t>Auto</t>
        </is>
      </c>
      <c r="J5" s="5" t="inlineStr">
        <is>
          <t>No automated check today — manual only.</t>
        </is>
      </c>
      <c r="K5" t="inlineStr">
        <is>
          <t>1h</t>
        </is>
      </c>
      <c r="L5" t="inlineStr">
        <is>
          <t>Security engineer</t>
        </is>
      </c>
      <c r="M5" t="inlineStr">
        <is>
          <t>Lighthouse + npm audit + secrets-scan</t>
        </is>
      </c>
      <c r="O5" t="inlineStr">
        <is>
          <t>Not Yet Run</t>
        </is>
      </c>
      <c r="Q5" t="inlineStr">
        <is>
          <t>—</t>
        </is>
      </c>
      <c r="R5" t="inlineStr">
        <is>
          <t>0%</t>
        </is>
      </c>
    </row>
    <row r="6" ht="30" customHeight="1" s="40">
      <c r="A6" s="7" t="inlineStr">
        <is>
          <t>F-002</t>
        </is>
      </c>
      <c r="B6" s="5" t="inlineStr">
        <is>
          <t>XSS</t>
        </is>
      </c>
      <c r="C6" s="6" t="inlineStr">
        <is>
          <t>34</t>
        </is>
      </c>
      <c r="D6" s="5" t="inlineStr">
        <is>
          <t>URL-parameter XSS in route handlers</t>
        </is>
      </c>
      <c r="E6" s="5" t="inlineStr">
        <is>
          <t>1. Identify all URL params parsed by JS
2. Inject XSS payload
3. Verify no execution</t>
        </is>
      </c>
      <c r="F6" s="5" t="inlineStr">
        <is>
          <t>URL params sanitized</t>
        </is>
      </c>
      <c r="G6" s="6" t="inlineStr">
        <is>
          <t>P1</t>
        </is>
      </c>
      <c r="H6" s="6" t="inlineStr">
        <is>
          <t>Critical</t>
        </is>
      </c>
      <c r="I6" s="6" t="inlineStr">
        <is>
          <t>Auto</t>
        </is>
      </c>
      <c r="J6" s="5" t="inlineStr">
        <is>
          <t>No automated check today — manual only.</t>
        </is>
      </c>
      <c r="K6" t="inlineStr">
        <is>
          <t>1h</t>
        </is>
      </c>
      <c r="L6" t="inlineStr">
        <is>
          <t>Security engineer</t>
        </is>
      </c>
      <c r="M6" t="inlineStr">
        <is>
          <t>npm audit / Snyk / Dependabot</t>
        </is>
      </c>
      <c r="O6" t="inlineStr">
        <is>
          <t>Not Yet Run</t>
        </is>
      </c>
      <c r="Q6" t="inlineStr">
        <is>
          <t>—</t>
        </is>
      </c>
      <c r="R6" t="inlineStr">
        <is>
          <t>0%</t>
        </is>
      </c>
    </row>
    <row r="7" ht="34" customHeight="1" s="40">
      <c r="A7" s="7" t="inlineStr">
        <is>
          <t>F-003</t>
        </is>
      </c>
      <c r="B7" s="5" t="inlineStr">
        <is>
          <t>XSS</t>
        </is>
      </c>
      <c r="C7" s="6" t="inlineStr">
        <is>
          <t>34</t>
        </is>
      </c>
      <c r="D7" s="5" t="inlineStr">
        <is>
          <t>localStorage payload injection</t>
        </is>
      </c>
      <c r="E7" s="5" t="inlineStr">
        <is>
          <t>1. Manually write XSS payload to known localStorage key
2. Reload page
3. Verify app sanitizes on read</t>
        </is>
      </c>
      <c r="F7" s="5" t="inlineStr">
        <is>
          <t>localStorage values sanitized on read</t>
        </is>
      </c>
      <c r="G7" s="6" t="inlineStr">
        <is>
          <t>P1</t>
        </is>
      </c>
      <c r="H7" s="6" t="inlineStr">
        <is>
          <t>Critical</t>
        </is>
      </c>
      <c r="I7" s="6" t="inlineStr">
        <is>
          <t>Auto</t>
        </is>
      </c>
      <c r="J7" s="5" t="inlineStr">
        <is>
          <t>No automated check today — manual only.</t>
        </is>
      </c>
      <c r="K7" t="inlineStr">
        <is>
          <t>1h</t>
        </is>
      </c>
      <c r="L7" t="inlineStr">
        <is>
          <t>Security engineer</t>
        </is>
      </c>
      <c r="M7" t="inlineStr">
        <is>
          <t>GitGuardian / trufflehog (secrets in tree)</t>
        </is>
      </c>
      <c r="O7" t="inlineStr">
        <is>
          <t>Not Yet Run</t>
        </is>
      </c>
      <c r="Q7" t="inlineStr">
        <is>
          <t>—</t>
        </is>
      </c>
      <c r="R7" t="inlineStr">
        <is>
          <t>0%</t>
        </is>
      </c>
    </row>
    <row r="8" ht="30" customHeight="1" s="40">
      <c r="A8" s="7" t="inlineStr">
        <is>
          <t>F-004</t>
        </is>
      </c>
      <c r="B8" s="5" t="inlineStr">
        <is>
          <t>XSS</t>
        </is>
      </c>
      <c r="C8" s="6" t="inlineStr">
        <is>
          <t>34</t>
        </is>
      </c>
      <c r="D8" s="5" t="inlineStr">
        <is>
          <t>JSON-fixture injection (if any user-uploaded JSON path exists)</t>
        </is>
      </c>
      <c r="E8" s="5" t="inlineStr">
        <is>
          <t>1. Verify no user-upload paths
2. If any, test JSON-payload injection</t>
        </is>
      </c>
      <c r="F8" s="5" t="inlineStr">
        <is>
          <t>No user-upload OR uploads sanitized</t>
        </is>
      </c>
      <c r="G8" s="6" t="inlineStr">
        <is>
          <t>P3</t>
        </is>
      </c>
      <c r="H8" s="6" t="inlineStr">
        <is>
          <t>Major</t>
        </is>
      </c>
      <c r="I8" s="6" t="inlineStr">
        <is>
          <t>Auto</t>
        </is>
      </c>
      <c r="J8" s="5" t="inlineStr">
        <is>
          <t>No automated check today — manual only.</t>
        </is>
      </c>
      <c r="K8" t="inlineStr">
        <is>
          <t>1h</t>
        </is>
      </c>
      <c r="L8" t="inlineStr">
        <is>
          <t>Security engineer</t>
        </is>
      </c>
      <c r="M8" t="inlineStr">
        <is>
          <t>Static analysis (eslint-plugin-security)</t>
        </is>
      </c>
      <c r="O8" t="inlineStr">
        <is>
          <t>Not Yet Run</t>
        </is>
      </c>
      <c r="Q8" t="inlineStr">
        <is>
          <t>—</t>
        </is>
      </c>
      <c r="R8" t="inlineStr">
        <is>
          <t>0%</t>
        </is>
      </c>
    </row>
    <row r="9" ht="52" customHeight="1" s="40">
      <c r="A9" s="7" t="inlineStr">
        <is>
          <t>F-005</t>
        </is>
      </c>
      <c r="B9" s="5" t="inlineStr">
        <is>
          <t>CSP</t>
        </is>
      </c>
      <c r="C9" s="6" t="inlineStr">
        <is>
          <t>35</t>
        </is>
      </c>
      <c r="D9" s="5" t="inlineStr">
        <is>
          <t>Content-Security-Policy header strictness</t>
        </is>
      </c>
      <c r="E9" s="5" t="inlineStr">
        <is>
          <t>1. Inspect response headers from production deploy
2. Verify CSP includes default-src 'self'; script-src 'self' 'sha256-...'
3. No unsafe-inline / unsafe-eval</t>
        </is>
      </c>
      <c r="F9" s="5" t="inlineStr">
        <is>
          <t>Strict CSP without unsafe-*</t>
        </is>
      </c>
      <c r="G9" s="6" t="inlineStr">
        <is>
          <t>P3</t>
        </is>
      </c>
      <c r="H9" s="6" t="inlineStr">
        <is>
          <t>Major</t>
        </is>
      </c>
      <c r="I9" s="6" t="inlineStr">
        <is>
          <t>Auto</t>
        </is>
      </c>
      <c r="J9" s="5" t="inlineStr">
        <is>
          <t>No automated check today — manual only.</t>
        </is>
      </c>
      <c r="K9" t="inlineStr">
        <is>
          <t>1h</t>
        </is>
      </c>
      <c r="L9" t="inlineStr">
        <is>
          <t>Security engineer</t>
        </is>
      </c>
      <c r="M9" t="inlineStr">
        <is>
          <t>n/a — manual evaluation</t>
        </is>
      </c>
      <c r="O9" t="inlineStr">
        <is>
          <t>Not Yet Run</t>
        </is>
      </c>
      <c r="Q9" t="inlineStr">
        <is>
          <t>—</t>
        </is>
      </c>
      <c r="R9" t="inlineStr">
        <is>
          <t>0%</t>
        </is>
      </c>
    </row>
    <row r="10" ht="30" customHeight="1" s="40">
      <c r="A10" s="7" t="inlineStr">
        <is>
          <t>F-006</t>
        </is>
      </c>
      <c r="B10" s="5" t="inlineStr">
        <is>
          <t>CSP</t>
        </is>
      </c>
      <c r="C10" s="6" t="inlineStr">
        <is>
          <t>35</t>
        </is>
      </c>
      <c r="D10" s="5" t="inlineStr">
        <is>
          <t>frame-ancestors / X-Frame-Options (clickjacking)</t>
        </is>
      </c>
      <c r="E10" s="5" t="inlineStr">
        <is>
          <t>1. Verify CSP frame-ancestors 'none' OR X-Frame-Options DENY</t>
        </is>
      </c>
      <c r="F10" s="5" t="inlineStr">
        <is>
          <t>Embedding prevented</t>
        </is>
      </c>
      <c r="G10" s="6" t="inlineStr">
        <is>
          <t>P3</t>
        </is>
      </c>
      <c r="H10" s="6" t="inlineStr">
        <is>
          <t>Major</t>
        </is>
      </c>
      <c r="I10" s="6" t="inlineStr">
        <is>
          <t>Auto</t>
        </is>
      </c>
      <c r="J10" s="5" t="inlineStr">
        <is>
          <t>No automated check today — manual only.</t>
        </is>
      </c>
      <c r="K10" t="inlineStr">
        <is>
          <t>1h</t>
        </is>
      </c>
      <c r="L10" t="inlineStr">
        <is>
          <t>Security engineer</t>
        </is>
      </c>
      <c r="M10" t="inlineStr">
        <is>
          <t>n/a — manual evaluation</t>
        </is>
      </c>
      <c r="O10" t="inlineStr">
        <is>
          <t>Not Yet Run</t>
        </is>
      </c>
      <c r="Q10" t="inlineStr">
        <is>
          <t>—</t>
        </is>
      </c>
      <c r="R10" t="inlineStr">
        <is>
          <t>0%</t>
        </is>
      </c>
    </row>
    <row r="11" ht="30" customHeight="1" s="40">
      <c r="A11" s="7" t="inlineStr">
        <is>
          <t>F-007</t>
        </is>
      </c>
      <c r="B11" s="5" t="inlineStr">
        <is>
          <t>CSP</t>
        </is>
      </c>
      <c r="C11" s="6" t="inlineStr">
        <is>
          <t>35</t>
        </is>
      </c>
      <c r="D11" s="5" t="inlineStr">
        <is>
          <t>Referrer-Policy header</t>
        </is>
      </c>
      <c r="E11" s="5" t="inlineStr">
        <is>
          <t>1. Verify Referrer-Policy = strict-origin-when-cross-origin or stricter</t>
        </is>
      </c>
      <c r="F11" s="5" t="inlineStr">
        <is>
          <t>Referrer leak prevented</t>
        </is>
      </c>
      <c r="G11" s="6" t="inlineStr">
        <is>
          <t>P5</t>
        </is>
      </c>
      <c r="H11" s="6" t="inlineStr">
        <is>
          <t>Minor</t>
        </is>
      </c>
      <c r="I11" s="6" t="inlineStr">
        <is>
          <t>Auto</t>
        </is>
      </c>
      <c r="J11" s="5" t="inlineStr">
        <is>
          <t>No automated check today — manual only.</t>
        </is>
      </c>
      <c r="K11" t="inlineStr">
        <is>
          <t>1h</t>
        </is>
      </c>
      <c r="L11" t="inlineStr">
        <is>
          <t>Security engineer</t>
        </is>
      </c>
      <c r="M11" t="inlineStr">
        <is>
          <t>n/a — manual evaluation</t>
        </is>
      </c>
      <c r="O11" t="inlineStr">
        <is>
          <t>Not Yet Run</t>
        </is>
      </c>
      <c r="Q11" t="inlineStr">
        <is>
          <t>—</t>
        </is>
      </c>
      <c r="R11" t="inlineStr">
        <is>
          <t>0%</t>
        </is>
      </c>
    </row>
    <row r="12" ht="30" customHeight="1" s="40">
      <c r="A12" s="7" t="inlineStr">
        <is>
          <t>F-008</t>
        </is>
      </c>
      <c r="B12" s="5" t="inlineStr">
        <is>
          <t>CSP</t>
        </is>
      </c>
      <c r="C12" s="6" t="inlineStr">
        <is>
          <t>35</t>
        </is>
      </c>
      <c r="D12" s="5" t="inlineStr">
        <is>
          <t>Permissions-Policy header (mic / camera / geolocation)</t>
        </is>
      </c>
      <c r="E12" s="5" t="inlineStr">
        <is>
          <t>1. Verify Permissions-Policy disables unused features</t>
        </is>
      </c>
      <c r="F12" s="5" t="inlineStr">
        <is>
          <t>Unused features denied</t>
        </is>
      </c>
      <c r="G12" s="6" t="inlineStr">
        <is>
          <t>P5</t>
        </is>
      </c>
      <c r="H12" s="6" t="inlineStr">
        <is>
          <t>Minor</t>
        </is>
      </c>
      <c r="I12" s="6" t="inlineStr">
        <is>
          <t>Auto</t>
        </is>
      </c>
      <c r="J12" s="5" t="inlineStr">
        <is>
          <t>No automated check today — manual only.</t>
        </is>
      </c>
      <c r="K12" t="inlineStr">
        <is>
          <t>1h</t>
        </is>
      </c>
      <c r="L12" t="inlineStr">
        <is>
          <t>Security engineer</t>
        </is>
      </c>
      <c r="M12" t="inlineStr">
        <is>
          <t>n/a — manual evaluation</t>
        </is>
      </c>
      <c r="O12" t="inlineStr">
        <is>
          <t>Not Yet Run</t>
        </is>
      </c>
      <c r="Q12" t="inlineStr">
        <is>
          <t>—</t>
        </is>
      </c>
      <c r="R12" t="inlineStr">
        <is>
          <t>0%</t>
        </is>
      </c>
    </row>
    <row r="13" ht="30" customHeight="1" s="40">
      <c r="A13" s="7" t="inlineStr">
        <is>
          <t>F-009</t>
        </is>
      </c>
      <c r="B13" s="5" t="inlineStr">
        <is>
          <t>Supply chain</t>
        </is>
      </c>
      <c r="C13" s="6" t="inlineStr">
        <is>
          <t>36</t>
        </is>
      </c>
      <c r="D13" s="5" t="inlineStr">
        <is>
          <t>npm dependency CVE scan</t>
        </is>
      </c>
      <c r="E13" s="5" t="inlineStr">
        <is>
          <t>1. Run npm audit
2. Verify 0 high/critical CVEs</t>
        </is>
      </c>
      <c r="F13" s="5" t="inlineStr">
        <is>
          <t>0 high/critical CVEs</t>
        </is>
      </c>
      <c r="G13" s="6" t="inlineStr">
        <is>
          <t>P3</t>
        </is>
      </c>
      <c r="H13" s="6" t="inlineStr">
        <is>
          <t>Major</t>
        </is>
      </c>
      <c r="I13" s="6" t="inlineStr">
        <is>
          <t>Auto</t>
        </is>
      </c>
      <c r="J13" s="5" t="inlineStr">
        <is>
          <t>No automated check today — manual only.</t>
        </is>
      </c>
      <c r="K13" t="inlineStr">
        <is>
          <t>4h</t>
        </is>
      </c>
      <c r="L13" t="inlineStr">
        <is>
          <t>Security engineer</t>
        </is>
      </c>
      <c r="M13" t="inlineStr">
        <is>
          <t>n/a — manual evaluation</t>
        </is>
      </c>
      <c r="O13" t="inlineStr">
        <is>
          <t>Not Yet Run</t>
        </is>
      </c>
      <c r="Q13" t="inlineStr">
        <is>
          <t>—</t>
        </is>
      </c>
      <c r="R13" t="inlineStr">
        <is>
          <t>0%</t>
        </is>
      </c>
    </row>
    <row r="14" ht="30" customHeight="1" s="40">
      <c r="A14" s="7" t="inlineStr">
        <is>
          <t>F-010</t>
        </is>
      </c>
      <c r="B14" s="5" t="inlineStr">
        <is>
          <t>Supply chain</t>
        </is>
      </c>
      <c r="C14" s="6" t="inlineStr">
        <is>
          <t>36</t>
        </is>
      </c>
      <c r="D14" s="5" t="inlineStr">
        <is>
          <t>Python dependency CVE scan (pip-audit / safety)</t>
        </is>
      </c>
      <c r="E14" s="5" t="inlineStr">
        <is>
          <t>1. Run pip-audit on tools/requirements.txt
2. Verify 0 high/critical</t>
        </is>
      </c>
      <c r="F14" s="5" t="inlineStr">
        <is>
          <t>0 high/critical CVEs</t>
        </is>
      </c>
      <c r="G14" s="6" t="inlineStr">
        <is>
          <t>P3</t>
        </is>
      </c>
      <c r="H14" s="6" t="inlineStr">
        <is>
          <t>Major</t>
        </is>
      </c>
      <c r="I14" s="6" t="inlineStr">
        <is>
          <t>Auto</t>
        </is>
      </c>
      <c r="J14" s="5" t="inlineStr">
        <is>
          <t>No automated check today — manual only.</t>
        </is>
      </c>
      <c r="K14" t="inlineStr">
        <is>
          <t>4h</t>
        </is>
      </c>
      <c r="L14" t="inlineStr">
        <is>
          <t>Security engineer</t>
        </is>
      </c>
      <c r="M14" t="inlineStr">
        <is>
          <t>n/a — manual evaluation</t>
        </is>
      </c>
      <c r="O14" t="inlineStr">
        <is>
          <t>Not Yet Run</t>
        </is>
      </c>
      <c r="Q14" t="inlineStr">
        <is>
          <t>—</t>
        </is>
      </c>
      <c r="R14" t="inlineStr">
        <is>
          <t>0%</t>
        </is>
      </c>
    </row>
    <row r="15" ht="34" customHeight="1" s="40">
      <c r="A15" s="7" t="inlineStr">
        <is>
          <t>F-011</t>
        </is>
      </c>
      <c r="B15" s="5" t="inlineStr">
        <is>
          <t>Supply chain</t>
        </is>
      </c>
      <c r="C15" s="6" t="inlineStr">
        <is>
          <t>36</t>
        </is>
      </c>
      <c r="D15" s="5" t="inlineStr">
        <is>
          <t>Transitive-dependency license-compliance scan</t>
        </is>
      </c>
      <c r="E15" s="5" t="inlineStr">
        <is>
          <t>1. Run license-checker / pip-licenses
2. Verify no GPL contamination (project license is MIT or similar)</t>
        </is>
      </c>
      <c r="F15" s="5" t="inlineStr">
        <is>
          <t>License-clean</t>
        </is>
      </c>
      <c r="G15" s="6" t="inlineStr">
        <is>
          <t>P3</t>
        </is>
      </c>
      <c r="H15" s="6" t="inlineStr">
        <is>
          <t>Major</t>
        </is>
      </c>
      <c r="I15" s="6" t="inlineStr">
        <is>
          <t>Auto</t>
        </is>
      </c>
      <c r="J15" s="5" t="inlineStr">
        <is>
          <t>No automated check today — manual only.</t>
        </is>
      </c>
      <c r="K15" t="inlineStr">
        <is>
          <t>4h</t>
        </is>
      </c>
      <c r="L15" t="inlineStr">
        <is>
          <t>Security engineer</t>
        </is>
      </c>
      <c r="M15" t="inlineStr">
        <is>
          <t>n/a — manual evaluation</t>
        </is>
      </c>
      <c r="O15" t="inlineStr">
        <is>
          <t>Not Yet Run</t>
        </is>
      </c>
      <c r="Q15" t="inlineStr">
        <is>
          <t>—</t>
        </is>
      </c>
      <c r="R15" t="inlineStr">
        <is>
          <t>0%</t>
        </is>
      </c>
    </row>
    <row r="16" ht="30" customHeight="1" s="40">
      <c r="A16" s="7" t="inlineStr">
        <is>
          <t>F-012</t>
        </is>
      </c>
      <c r="B16" s="5" t="inlineStr">
        <is>
          <t>Supply chain</t>
        </is>
      </c>
      <c r="C16" s="6" t="inlineStr">
        <is>
          <t>36</t>
        </is>
      </c>
      <c r="D16" s="5" t="inlineStr">
        <is>
          <t>GitHub Actions third-party-action pinning by SHA</t>
        </is>
      </c>
      <c r="E16" s="5" t="inlineStr">
        <is>
          <t>1. Inspect .github/workflows/*.yml
2. Verify external actions pinned by SHA, not tag</t>
        </is>
      </c>
      <c r="F16" s="5" t="inlineStr">
        <is>
          <t>All third-party actions SHA-pinned</t>
        </is>
      </c>
      <c r="G16" s="6" t="inlineStr">
        <is>
          <t>P3</t>
        </is>
      </c>
      <c r="H16" s="6" t="inlineStr">
        <is>
          <t>Major</t>
        </is>
      </c>
      <c r="I16" s="6" t="inlineStr">
        <is>
          <t>Manual</t>
        </is>
      </c>
      <c r="J16" s="5" t="inlineStr">
        <is>
          <t>No automated check today — manual only.</t>
        </is>
      </c>
      <c r="K16" t="inlineStr">
        <is>
          <t>4h</t>
        </is>
      </c>
      <c r="L16" t="inlineStr">
        <is>
          <t>Security engineer</t>
        </is>
      </c>
      <c r="M16" t="inlineStr">
        <is>
          <t>n/a — manual evaluation</t>
        </is>
      </c>
      <c r="O16" t="inlineStr">
        <is>
          <t>Not Yet Run</t>
        </is>
      </c>
      <c r="Q16" t="inlineStr">
        <is>
          <t>—</t>
        </is>
      </c>
      <c r="R16" t="inlineStr">
        <is>
          <t>0%</t>
        </is>
      </c>
    </row>
    <row r="17" ht="33" customHeight="1" s="40">
      <c r="A17" s="7" t="inlineStr">
        <is>
          <t>F-013</t>
        </is>
      </c>
      <c r="B17" s="5" t="inlineStr">
        <is>
          <t>Supply chain</t>
        </is>
      </c>
      <c r="C17" s="6" t="inlineStr">
        <is>
          <t>36</t>
        </is>
      </c>
      <c r="D17" s="5" t="inlineStr">
        <is>
          <t>Subresource Integrity (SRI) for any CDN assets</t>
        </is>
      </c>
      <c r="E17" s="5" t="inlineStr">
        <is>
          <t>1. Inspect any &lt;script src='cdn...'&gt; or &lt;link href='cdn...'&gt;
2. Verify integrity= attribute present</t>
        </is>
      </c>
      <c r="F17" s="5" t="inlineStr">
        <is>
          <t>SRI present where applicable</t>
        </is>
      </c>
      <c r="G17" s="6" t="inlineStr">
        <is>
          <t>P5</t>
        </is>
      </c>
      <c r="H17" s="6" t="inlineStr">
        <is>
          <t>Minor</t>
        </is>
      </c>
      <c r="I17" s="6" t="inlineStr">
        <is>
          <t>Manual</t>
        </is>
      </c>
      <c r="J17" s="5" t="inlineStr">
        <is>
          <t>No automated check today — manual only.</t>
        </is>
      </c>
      <c r="K17" t="inlineStr">
        <is>
          <t>4h</t>
        </is>
      </c>
      <c r="L17" t="inlineStr">
        <is>
          <t>Security engineer</t>
        </is>
      </c>
      <c r="M17" t="inlineStr">
        <is>
          <t>n/a — manual evaluation</t>
        </is>
      </c>
      <c r="O17" t="inlineStr">
        <is>
          <t>Not Yet Run</t>
        </is>
      </c>
      <c r="Q17" t="inlineStr">
        <is>
          <t>—</t>
        </is>
      </c>
      <c r="R17" t="inlineStr">
        <is>
          <t>0%</t>
        </is>
      </c>
    </row>
    <row r="18" ht="30" customHeight="1" s="40">
      <c r="A18" s="7" t="inlineStr">
        <is>
          <t>F-014</t>
        </is>
      </c>
      <c r="B18" s="5" t="inlineStr">
        <is>
          <t>Secrets</t>
        </is>
      </c>
      <c r="C18" s="6" t="inlineStr">
        <is>
          <t>37</t>
        </is>
      </c>
      <c r="D18" s="5" t="inlineStr">
        <is>
          <t>Git-history scan for accidentally-committed tokens</t>
        </is>
      </c>
      <c r="E18" s="5" t="inlineStr">
        <is>
          <t>1. Run trufflehog / git-secrets across full history
2. Verify 0 high-confidence hits</t>
        </is>
      </c>
      <c r="F18" s="5" t="inlineStr">
        <is>
          <t>0 leaked secrets in history</t>
        </is>
      </c>
      <c r="G18" s="6" t="inlineStr">
        <is>
          <t>P1</t>
        </is>
      </c>
      <c r="H18" s="6" t="inlineStr">
        <is>
          <t>Critical</t>
        </is>
      </c>
      <c r="I18" s="6" t="inlineStr">
        <is>
          <t>Auto</t>
        </is>
      </c>
      <c r="J18" s="5" t="inlineStr">
        <is>
          <t>Never formally scanned | [BUG-026] Critical severity (git-history secret leak) → P1 priority post-remap.</t>
        </is>
      </c>
      <c r="K18" t="inlineStr">
        <is>
          <t>4h</t>
        </is>
      </c>
      <c r="L18" t="inlineStr">
        <is>
          <t>Security engineer</t>
        </is>
      </c>
      <c r="M18" t="inlineStr">
        <is>
          <t>n/a — manual evaluation</t>
        </is>
      </c>
      <c r="O18" t="inlineStr">
        <is>
          <t>Not Yet Run</t>
        </is>
      </c>
      <c r="Q18" t="inlineStr">
        <is>
          <t>—</t>
        </is>
      </c>
      <c r="R18" t="inlineStr">
        <is>
          <t>0%</t>
        </is>
      </c>
    </row>
    <row r="19" ht="32" customHeight="1" s="40">
      <c r="A19" s="7" t="inlineStr">
        <is>
          <t>F-015</t>
        </is>
      </c>
      <c r="B19" s="5" t="inlineStr">
        <is>
          <t>Secrets</t>
        </is>
      </c>
      <c r="C19" s="6" t="inlineStr">
        <is>
          <t>37</t>
        </is>
      </c>
      <c r="D19" s="5" t="inlineStr">
        <is>
          <t>.env files / private keys in tree</t>
        </is>
      </c>
      <c r="E19" s="5" t="inlineStr">
        <is>
          <t>1. ls-files for .env / .pem / .key / credentials.json
2. Verify absence + .gitignore covers these</t>
        </is>
      </c>
      <c r="F19" s="5" t="inlineStr">
        <is>
          <t>0 secret files present</t>
        </is>
      </c>
      <c r="G19" s="6" t="inlineStr">
        <is>
          <t>P1</t>
        </is>
      </c>
      <c r="H19" s="6" t="inlineStr">
        <is>
          <t>Critical</t>
        </is>
      </c>
      <c r="I19" s="6" t="inlineStr">
        <is>
          <t>Auto</t>
        </is>
      </c>
      <c r="J19" s="5" t="inlineStr">
        <is>
          <t>[BUG-026] Critical severity (.env / private keys) → P1 priority post-remap.</t>
        </is>
      </c>
      <c r="K19" t="inlineStr">
        <is>
          <t>4h</t>
        </is>
      </c>
      <c r="L19" t="inlineStr">
        <is>
          <t>Security engineer</t>
        </is>
      </c>
      <c r="M19" t="inlineStr">
        <is>
          <t>n/a — manual evaluation</t>
        </is>
      </c>
      <c r="O19" t="inlineStr">
        <is>
          <t>Not Yet Run</t>
        </is>
      </c>
      <c r="Q19" t="inlineStr">
        <is>
          <t>—</t>
        </is>
      </c>
      <c r="R19" t="inlineStr">
        <is>
          <t>0%</t>
        </is>
      </c>
    </row>
    <row r="20" ht="31" customHeight="1" s="40">
      <c r="A20" s="7" t="inlineStr">
        <is>
          <t>F-016</t>
        </is>
      </c>
      <c r="B20" s="5" t="inlineStr">
        <is>
          <t>Penetration</t>
        </is>
      </c>
      <c r="C20" s="6" t="inlineStr">
        <is>
          <t>38</t>
        </is>
      </c>
      <c r="D20" s="5" t="inlineStr">
        <is>
          <t>Static-site dynamic-surface enumeration</t>
        </is>
      </c>
      <c r="E20" s="5" t="inlineStr">
        <is>
          <t>1. Crawl the site
2. Identify any JS-driven dynamic-data writes (localStorage, feedback POSTs)</t>
        </is>
      </c>
      <c r="F20" s="5" t="inlineStr">
        <is>
          <t>Dynamic-surface enumeration documented</t>
        </is>
      </c>
      <c r="G20" s="6" t="inlineStr">
        <is>
          <t>P3</t>
        </is>
      </c>
      <c r="H20" s="6" t="inlineStr">
        <is>
          <t>Major</t>
        </is>
      </c>
      <c r="I20" s="6" t="inlineStr">
        <is>
          <t>Manual</t>
        </is>
      </c>
      <c r="J20" s="5" t="inlineStr">
        <is>
          <t>[BUG-026] ELEVATED: Major severity (static-site dynamic-surface enumeration) — minimal effort, high signal. Elevated from P4 to P3 per BUG-026.</t>
        </is>
      </c>
      <c r="K20" t="inlineStr">
        <is>
          <t>4h</t>
        </is>
      </c>
      <c r="L20" t="inlineStr">
        <is>
          <t>Security engineer</t>
        </is>
      </c>
      <c r="M20" t="inlineStr">
        <is>
          <t>n/a — manual evaluation</t>
        </is>
      </c>
      <c r="O20" t="inlineStr">
        <is>
          <t>Not Yet Run</t>
        </is>
      </c>
      <c r="Q20" t="inlineStr">
        <is>
          <t>—</t>
        </is>
      </c>
      <c r="R20" t="inlineStr">
        <is>
          <t>0%</t>
        </is>
      </c>
    </row>
    <row r="21" ht="30" customHeight="1" s="40">
      <c r="A21" s="7" t="inlineStr">
        <is>
          <t>F-017</t>
        </is>
      </c>
      <c r="B21" s="5" t="inlineStr">
        <is>
          <t>Penetration</t>
        </is>
      </c>
      <c r="C21" s="6" t="inlineStr">
        <is>
          <t>38</t>
        </is>
      </c>
      <c r="D21" s="5" t="inlineStr">
        <is>
          <t>Rate-limit / DoS surface on any POST endpoints</t>
        </is>
      </c>
      <c r="E21" s="5" t="inlineStr">
        <is>
          <t>1. Identify any POST endpoints
2. Verify rate-limit or static-only architecture</t>
        </is>
      </c>
      <c r="F21" s="5" t="inlineStr">
        <is>
          <t>Static-only OR rate-limited</t>
        </is>
      </c>
      <c r="G21" s="6" t="inlineStr">
        <is>
          <t>P3</t>
        </is>
      </c>
      <c r="H21" s="6" t="inlineStr">
        <is>
          <t>Major</t>
        </is>
      </c>
      <c r="I21" s="6" t="inlineStr">
        <is>
          <t>Manual</t>
        </is>
      </c>
      <c r="J21" s="5" t="inlineStr">
        <is>
          <t>[BUG-026] ELEVATED: Major severity (rate-limit on POST endpoints) — even a static-PWA has feedback endpoints. Elevated from P4 to P3 per BUG-026.</t>
        </is>
      </c>
      <c r="K21" t="inlineStr">
        <is>
          <t>4h</t>
        </is>
      </c>
      <c r="L21" t="inlineStr">
        <is>
          <t>Security engineer</t>
        </is>
      </c>
      <c r="M21" t="inlineStr">
        <is>
          <t>n/a — manual evaluation</t>
        </is>
      </c>
      <c r="O21" t="inlineStr">
        <is>
          <t>Not Yet Run</t>
        </is>
      </c>
      <c r="Q21" t="inlineStr">
        <is>
          <t>—</t>
        </is>
      </c>
      <c r="R21" t="inlineStr">
        <is>
          <t>0%</t>
        </is>
      </c>
    </row>
    <row r="22" ht="37" customHeight="1" s="40">
      <c r="A22" s="7" t="inlineStr">
        <is>
          <t>F-018</t>
        </is>
      </c>
      <c r="B22" s="5" t="inlineStr">
        <is>
          <t>GitHub Actions</t>
        </is>
      </c>
      <c r="C22" s="6" t="inlineStr">
        <is>
          <t>39</t>
        </is>
      </c>
      <c r="D22" s="5" t="inlineStr">
        <is>
          <t>Workflow permissions: least-privilege token scopes</t>
        </is>
      </c>
      <c r="E22" s="5" t="inlineStr">
        <is>
          <t>1. Inspect permissions: blocks in workflows
2. Verify least-priv (e.g., contents:read, not write unless needed)</t>
        </is>
      </c>
      <c r="F22" s="5" t="inlineStr">
        <is>
          <t>All workflows least-priv</t>
        </is>
      </c>
      <c r="G22" s="6" t="inlineStr">
        <is>
          <t>P3</t>
        </is>
      </c>
      <c r="H22" s="6" t="inlineStr">
        <is>
          <t>Major</t>
        </is>
      </c>
      <c r="I22" s="6" t="inlineStr">
        <is>
          <t>Manual</t>
        </is>
      </c>
      <c r="J22" s="5" t="inlineStr">
        <is>
          <t>No automated check today — manual only.</t>
        </is>
      </c>
      <c r="K22" t="inlineStr">
        <is>
          <t>4h</t>
        </is>
      </c>
      <c r="L22" t="inlineStr">
        <is>
          <t>Security engineer</t>
        </is>
      </c>
      <c r="M22" t="inlineStr">
        <is>
          <t>n/a — manual evaluation</t>
        </is>
      </c>
      <c r="O22" t="inlineStr">
        <is>
          <t>Not Yet Run</t>
        </is>
      </c>
      <c r="Q22" t="inlineStr">
        <is>
          <t>—</t>
        </is>
      </c>
      <c r="R22" t="inlineStr">
        <is>
          <t>0%</t>
        </is>
      </c>
    </row>
    <row r="23" ht="30" customHeight="1" s="40">
      <c r="A23" s="7" t="inlineStr">
        <is>
          <t>F-019</t>
        </is>
      </c>
      <c r="B23" s="5" t="inlineStr">
        <is>
          <t>GitHub Actions</t>
        </is>
      </c>
      <c r="C23" s="6" t="inlineStr">
        <is>
          <t>39</t>
        </is>
      </c>
      <c r="D23" s="5" t="inlineStr">
        <is>
          <t>Pull-request workflow protection (no secret access on fork PRs)</t>
        </is>
      </c>
      <c r="E23" s="5" t="inlineStr">
        <is>
          <t>1. Verify workflows use pull_request not pull_request_target where appropriate</t>
        </is>
      </c>
      <c r="F23" s="5" t="inlineStr">
        <is>
          <t>Fork PRs can't access secrets</t>
        </is>
      </c>
      <c r="G23" s="6" t="inlineStr">
        <is>
          <t>P1</t>
        </is>
      </c>
      <c r="H23" s="6" t="inlineStr">
        <is>
          <t>Critical</t>
        </is>
      </c>
      <c r="I23" s="6" t="inlineStr">
        <is>
          <t>Manual</t>
        </is>
      </c>
      <c r="J23" s="5" t="inlineStr">
        <is>
          <t>[BUG-026] Critical severity (PR fork attack surface) → P1 priority post-remap.</t>
        </is>
      </c>
      <c r="K23" t="inlineStr">
        <is>
          <t>4h</t>
        </is>
      </c>
      <c r="L23" t="inlineStr">
        <is>
          <t>Security engineer</t>
        </is>
      </c>
      <c r="M23" t="inlineStr">
        <is>
          <t>n/a — manual evaluation</t>
        </is>
      </c>
      <c r="O23" t="inlineStr">
        <is>
          <t>Not Yet Run</t>
        </is>
      </c>
      <c r="Q23" t="inlineStr">
        <is>
          <t>—</t>
        </is>
      </c>
      <c r="R23"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9"/>
  <sheetViews>
    <sheetView workbookViewId="0">
      <pane ySplit="4" topLeftCell="A5" activePane="bottomLeft" state="frozen"/>
      <selection pane="bottomLeft" activeCell="H24" sqref="H24"/>
    </sheetView>
  </sheetViews>
  <sheetFormatPr baseColWidth="8" defaultRowHeight="14.5"/>
  <cols>
    <col width="10" customWidth="1" style="40" min="1" max="1"/>
    <col width="19.08984375" customWidth="1" style="40" min="2" max="2"/>
    <col width="9.08984375" customWidth="1" style="40" min="3" max="3"/>
    <col width="43.6328125" customWidth="1" style="40" min="4" max="4"/>
    <col width="50.90625" customWidth="1" style="40" min="5" max="5"/>
    <col width="40" customWidth="1" style="40" min="6" max="6"/>
    <col width="14.54296875" customWidth="1" style="40" min="7" max="7"/>
    <col width="16.36328125" customWidth="1" style="40" min="8" max="8"/>
    <col width="14.54296875" customWidth="1" style="40" min="9" max="9"/>
    <col width="32.7265625" customWidth="1" style="40" min="10" max="10"/>
    <col width="16" customWidth="1" style="40" min="11" max="11"/>
    <col width="24" customWidth="1" style="40" min="12" max="12"/>
    <col width="32" customWidth="1" style="40" min="13" max="13"/>
    <col width="14" customWidth="1" style="40" min="14" max="15"/>
    <col width="18" customWidth="1" style="40" min="16" max="16"/>
    <col width="16" customWidth="1" style="40" min="17" max="17"/>
    <col width="12" customWidth="1" style="40" min="18" max="18"/>
  </cols>
  <sheetData>
    <row r="1" ht="28" customHeight="1" s="40">
      <c r="A1" s="39" t="inlineStr">
        <is>
          <t>G. Privacy and legal</t>
        </is>
      </c>
    </row>
    <row r="2" ht="36" customHeight="1" s="40">
      <c r="A2" s="42" t="inlineStr">
        <is>
          <t>Perspectives: Privacy/GDPR/DPDP, cookie-consent, COPPA, license-compliance, trademark, advertising-claims (perspectives 40-45)</t>
        </is>
      </c>
    </row>
    <row r="4" ht="24" customHeight="1" s="40">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2" customHeight="1" s="40">
      <c r="A5" s="7" t="inlineStr">
        <is>
          <t>G-001</t>
        </is>
      </c>
      <c r="B5" s="5" t="inlineStr">
        <is>
          <t>Privacy</t>
        </is>
      </c>
      <c r="C5" s="6" t="inlineStr">
        <is>
          <t>40</t>
        </is>
      </c>
      <c r="D5" s="5" t="inlineStr">
        <is>
          <t>Telemetry / analytics actually-zero verification</t>
        </is>
      </c>
      <c r="E5" s="5" t="inlineStr">
        <is>
          <t>1. Open app, monitor network tab
2. Verify no analytics POSTs (Google Analytics, Mixpanel, etc.)</t>
        </is>
      </c>
      <c r="F5" s="5" t="inlineStr">
        <is>
          <t>0 outbound analytics traffic</t>
        </is>
      </c>
      <c r="G5" s="6" t="inlineStr">
        <is>
          <t>P3</t>
        </is>
      </c>
      <c r="H5" s="6" t="inlineStr">
        <is>
          <t>Major</t>
        </is>
      </c>
      <c r="I5" s="6" t="inlineStr">
        <is>
          <t>Manual</t>
        </is>
      </c>
      <c r="J5" s="5" t="inlineStr">
        <is>
          <t>Project claims no tracking; verify</t>
        </is>
      </c>
      <c r="K5" t="inlineStr">
        <is>
          <t>4h</t>
        </is>
      </c>
      <c r="L5" t="inlineStr">
        <is>
          <t>Privacy / legal counsel</t>
        </is>
      </c>
      <c r="M5" t="inlineStr">
        <is>
          <t>n/a — manual evaluation</t>
        </is>
      </c>
      <c r="O5" t="inlineStr">
        <is>
          <t>Not Yet Run</t>
        </is>
      </c>
      <c r="Q5" t="inlineStr">
        <is>
          <t>—</t>
        </is>
      </c>
      <c r="R5" t="inlineStr">
        <is>
          <t>0%</t>
        </is>
      </c>
    </row>
    <row r="6" ht="30" customHeight="1" s="40">
      <c r="A6" s="7" t="inlineStr">
        <is>
          <t>G-002</t>
        </is>
      </c>
      <c r="B6" s="5" t="inlineStr">
        <is>
          <t>Privacy</t>
        </is>
      </c>
      <c r="C6" s="6" t="inlineStr">
        <is>
          <t>40</t>
        </is>
      </c>
      <c r="D6" s="5" t="inlineStr">
        <is>
          <t>localStorage content audit (no PII)</t>
        </is>
      </c>
      <c r="E6" s="5" t="inlineStr">
        <is>
          <t>1. Inspect localStorage after typical use
2. Verify only progress + preferences; no PII</t>
        </is>
      </c>
      <c r="F6" s="5" t="inlineStr">
        <is>
          <t>0 PII in localStorage</t>
        </is>
      </c>
      <c r="G6" s="6" t="inlineStr">
        <is>
          <t>P3</t>
        </is>
      </c>
      <c r="H6" s="6" t="inlineStr">
        <is>
          <t>Major</t>
        </is>
      </c>
      <c r="I6" s="6" t="inlineStr">
        <is>
          <t>Auto</t>
        </is>
      </c>
      <c r="J6" s="5" t="inlineStr">
        <is>
          <t>No automated check today — manual only.</t>
        </is>
      </c>
      <c r="K6" t="inlineStr">
        <is>
          <t>1h</t>
        </is>
      </c>
      <c r="L6" t="inlineStr">
        <is>
          <t>Privacy / legal counsel</t>
        </is>
      </c>
      <c r="M6" t="inlineStr">
        <is>
          <t>Custom Python (localStorage namespace scan + PII regex sweep)</t>
        </is>
      </c>
      <c r="O6" t="inlineStr">
        <is>
          <t>Not Yet Run</t>
        </is>
      </c>
      <c r="Q6" t="inlineStr">
        <is>
          <t>—</t>
        </is>
      </c>
      <c r="R6" t="inlineStr">
        <is>
          <t>0%</t>
        </is>
      </c>
    </row>
    <row r="7" ht="30" customHeight="1" s="40">
      <c r="A7" s="7" t="inlineStr">
        <is>
          <t>G-003</t>
        </is>
      </c>
      <c r="B7" s="5" t="inlineStr">
        <is>
          <t>Privacy</t>
        </is>
      </c>
      <c r="C7" s="6" t="inlineStr">
        <is>
          <t>40</t>
        </is>
      </c>
      <c r="D7" s="5" t="inlineStr">
        <is>
          <t>Cookie use audit</t>
        </is>
      </c>
      <c r="E7" s="5" t="inlineStr">
        <is>
          <t>1. Inspect cookies after app use
2. Verify essential-only (or zero)</t>
        </is>
      </c>
      <c r="F7" s="5" t="inlineStr">
        <is>
          <t>Essential cookies only</t>
        </is>
      </c>
      <c r="G7" s="6" t="inlineStr">
        <is>
          <t>P4</t>
        </is>
      </c>
      <c r="H7" s="6" t="inlineStr">
        <is>
          <t>Minor</t>
        </is>
      </c>
      <c r="I7" s="6" t="inlineStr">
        <is>
          <t>Manual</t>
        </is>
      </c>
      <c r="J7" s="5" t="inlineStr">
        <is>
          <t>No automated check today — manual only.</t>
        </is>
      </c>
      <c r="K7" t="inlineStr">
        <is>
          <t>4h</t>
        </is>
      </c>
      <c r="L7" t="inlineStr">
        <is>
          <t>Privacy / legal counsel</t>
        </is>
      </c>
      <c r="M7" t="inlineStr">
        <is>
          <t>n/a — manual evaluation</t>
        </is>
      </c>
      <c r="O7" t="inlineStr">
        <is>
          <t>Not Yet Run</t>
        </is>
      </c>
      <c r="Q7" t="inlineStr">
        <is>
          <t>—</t>
        </is>
      </c>
      <c r="R7" t="inlineStr">
        <is>
          <t>0%</t>
        </is>
      </c>
    </row>
    <row r="8" ht="30" customHeight="1" s="40">
      <c r="A8" s="7" t="inlineStr">
        <is>
          <t>G-004</t>
        </is>
      </c>
      <c r="B8" s="5" t="inlineStr">
        <is>
          <t>Privacy</t>
        </is>
      </c>
      <c r="C8" s="6" t="inlineStr">
        <is>
          <t>40</t>
        </is>
      </c>
      <c r="D8" s="5" t="inlineStr">
        <is>
          <t>GDPR Article 13 disclosures (if EU users)</t>
        </is>
      </c>
      <c r="E8" s="5" t="inlineStr">
        <is>
          <t>1. Verify privacy policy exists
2. Check it covers GDPR points if applicable</t>
        </is>
      </c>
      <c r="F8" s="5" t="inlineStr">
        <is>
          <t>Privacy policy present</t>
        </is>
      </c>
      <c r="G8" s="6" t="inlineStr">
        <is>
          <t>P3</t>
        </is>
      </c>
      <c r="H8" s="6" t="inlineStr">
        <is>
          <t>Major</t>
        </is>
      </c>
      <c r="I8" s="6" t="inlineStr">
        <is>
          <t>Manual</t>
        </is>
      </c>
      <c r="J8" s="5" t="inlineStr">
        <is>
          <t>No automated check today — manual only.</t>
        </is>
      </c>
      <c r="K8" t="inlineStr">
        <is>
          <t>4h</t>
        </is>
      </c>
      <c r="L8" t="inlineStr">
        <is>
          <t>Privacy / legal counsel</t>
        </is>
      </c>
      <c r="M8" t="inlineStr">
        <is>
          <t>n/a — manual evaluation</t>
        </is>
      </c>
      <c r="O8" t="inlineStr">
        <is>
          <t>Not Yet Run</t>
        </is>
      </c>
      <c r="Q8" t="inlineStr">
        <is>
          <t>—</t>
        </is>
      </c>
      <c r="R8" t="inlineStr">
        <is>
          <t>0%</t>
        </is>
      </c>
    </row>
    <row r="9" ht="36" customHeight="1" s="40">
      <c r="A9" s="7" t="inlineStr">
        <is>
          <t>G-005</t>
        </is>
      </c>
      <c r="B9" s="5" t="inlineStr">
        <is>
          <t>Privacy</t>
        </is>
      </c>
      <c r="C9" s="6" t="inlineStr">
        <is>
          <t>40</t>
        </is>
      </c>
      <c r="D9" s="5" t="inlineStr">
        <is>
          <t>DPDP Act (India) compliance</t>
        </is>
      </c>
      <c r="E9" s="5" t="inlineStr">
        <is>
          <t>1. Verify Hindi/English privacy disclosure for Indian users
2. Check data-fiduciary registration if required</t>
        </is>
      </c>
      <c r="F9" s="5" t="inlineStr">
        <is>
          <t>DPDP applicable + compliant</t>
        </is>
      </c>
      <c r="G9" s="6" t="inlineStr">
        <is>
          <t>P3</t>
        </is>
      </c>
      <c r="H9" s="6" t="inlineStr">
        <is>
          <t>Major</t>
        </is>
      </c>
      <c r="I9" s="6" t="inlineStr">
        <is>
          <t>Manual</t>
        </is>
      </c>
      <c r="J9" s="5" t="inlineStr">
        <is>
          <t>India-specific</t>
        </is>
      </c>
      <c r="K9" t="inlineStr">
        <is>
          <t>4h</t>
        </is>
      </c>
      <c r="L9" t="inlineStr">
        <is>
          <t>Privacy / legal counsel</t>
        </is>
      </c>
      <c r="M9" t="inlineStr">
        <is>
          <t>n/a — manual evaluation</t>
        </is>
      </c>
      <c r="O9" t="inlineStr">
        <is>
          <t>Not Yet Run</t>
        </is>
      </c>
      <c r="Q9" t="inlineStr">
        <is>
          <t>—</t>
        </is>
      </c>
      <c r="R9" t="inlineStr">
        <is>
          <t>0%</t>
        </is>
      </c>
    </row>
    <row r="10" ht="32" customHeight="1" s="40">
      <c r="A10" s="7" t="inlineStr">
        <is>
          <t>G-006</t>
        </is>
      </c>
      <c r="B10" s="5" t="inlineStr">
        <is>
          <t>Cookies / consent</t>
        </is>
      </c>
      <c r="C10" s="6" t="inlineStr">
        <is>
          <t>41</t>
        </is>
      </c>
      <c r="D10" s="5" t="inlineStr">
        <is>
          <t>Cookie-consent banner if any third-party scripts load</t>
        </is>
      </c>
      <c r="E10" s="5" t="inlineStr">
        <is>
          <t>1. If Google Fonts / CDN / analytics loads, verify consent flow
2. If zero third-party, document</t>
        </is>
      </c>
      <c r="F10" s="5" t="inlineStr">
        <is>
          <t>Consent OR zero-third-party documented</t>
        </is>
      </c>
      <c r="G10" s="6" t="inlineStr">
        <is>
          <t>P5</t>
        </is>
      </c>
      <c r="H10" s="6" t="inlineStr">
        <is>
          <t>Minor</t>
        </is>
      </c>
      <c r="I10" s="6" t="inlineStr">
        <is>
          <t>Manual</t>
        </is>
      </c>
      <c r="J10" s="5" t="inlineStr">
        <is>
          <t>No automated check today — manual only.</t>
        </is>
      </c>
      <c r="K10" t="inlineStr">
        <is>
          <t>4h</t>
        </is>
      </c>
      <c r="L10" t="inlineStr">
        <is>
          <t>Privacy / legal counsel</t>
        </is>
      </c>
      <c r="M10" t="inlineStr">
        <is>
          <t>n/a — manual evaluation</t>
        </is>
      </c>
      <c r="O10" t="inlineStr">
        <is>
          <t>Not Yet Run</t>
        </is>
      </c>
      <c r="Q10" t="inlineStr">
        <is>
          <t>—</t>
        </is>
      </c>
      <c r="R10" t="inlineStr">
        <is>
          <t>0%</t>
        </is>
      </c>
    </row>
    <row r="11" ht="30" customHeight="1" s="40">
      <c r="A11" s="7" t="inlineStr">
        <is>
          <t>G-007</t>
        </is>
      </c>
      <c r="B11" s="5" t="inlineStr">
        <is>
          <t>COPPA</t>
        </is>
      </c>
      <c r="C11" s="6" t="inlineStr">
        <is>
          <t>42</t>
        </is>
      </c>
      <c r="D11" s="5" t="inlineStr">
        <is>
          <t>Minor-user (&lt;13) data-collection check</t>
        </is>
      </c>
      <c r="E11" s="5" t="inlineStr">
        <is>
          <t>1. If app has account system, verify age gate
2. If no accounts, document COPPA-out-of-scope</t>
        </is>
      </c>
      <c r="F11" s="5" t="inlineStr">
        <is>
          <t>Compliant per audience age</t>
        </is>
      </c>
      <c r="G11" s="6" t="inlineStr">
        <is>
          <t>P5</t>
        </is>
      </c>
      <c r="H11" s="6" t="inlineStr">
        <is>
          <t>Minor</t>
        </is>
      </c>
      <c r="I11" s="6" t="inlineStr">
        <is>
          <t>Manual</t>
        </is>
      </c>
      <c r="J11" s="5" t="inlineStr">
        <is>
          <t>No automated check today — manual only.</t>
        </is>
      </c>
      <c r="K11" t="inlineStr">
        <is>
          <t>4h</t>
        </is>
      </c>
      <c r="L11" t="inlineStr">
        <is>
          <t>Privacy / legal counsel</t>
        </is>
      </c>
      <c r="M11" t="inlineStr">
        <is>
          <t>n/a — manual evaluation</t>
        </is>
      </c>
      <c r="O11" t="inlineStr">
        <is>
          <t>Not Yet Run</t>
        </is>
      </c>
      <c r="Q11" t="inlineStr">
        <is>
          <t>—</t>
        </is>
      </c>
      <c r="R11" t="inlineStr">
        <is>
          <t>0%</t>
        </is>
      </c>
    </row>
    <row r="12" ht="30" customHeight="1" s="40">
      <c r="A12" s="7" t="inlineStr">
        <is>
          <t>G-008</t>
        </is>
      </c>
      <c r="B12" s="5" t="inlineStr">
        <is>
          <t>License compliance</t>
        </is>
      </c>
      <c r="C12" s="6" t="inlineStr">
        <is>
          <t>43</t>
        </is>
      </c>
      <c r="D12" s="5" t="inlineStr">
        <is>
          <t>kanjium CC-BY-SA 4.0 attribution surface visibility</t>
        </is>
      </c>
      <c r="E12" s="5" t="inlineStr">
        <is>
          <t>1. Open app
2. Find pitch-accent data attribution
3. Verify visible per CC-BY-SA terms</t>
        </is>
      </c>
      <c r="F12" s="5" t="inlineStr">
        <is>
          <t>Attribution clearly visible</t>
        </is>
      </c>
      <c r="G12" s="6" t="inlineStr">
        <is>
          <t>P3</t>
        </is>
      </c>
      <c r="H12" s="6" t="inlineStr">
        <is>
          <t>Major</t>
        </is>
      </c>
      <c r="I12" s="6" t="inlineStr">
        <is>
          <t>Manual</t>
        </is>
      </c>
      <c r="J12" s="5" t="inlineStr">
        <is>
          <t>Currently in data/_meta; UI exposure?</t>
        </is>
      </c>
      <c r="K12" t="inlineStr">
        <is>
          <t>4h</t>
        </is>
      </c>
      <c r="L12" t="inlineStr">
        <is>
          <t>Privacy / legal counsel</t>
        </is>
      </c>
      <c r="M12" t="inlineStr">
        <is>
          <t>n/a — manual evaluation</t>
        </is>
      </c>
      <c r="O12" t="inlineStr">
        <is>
          <t>Not Yet Run</t>
        </is>
      </c>
      <c r="Q12" t="inlineStr">
        <is>
          <t>—</t>
        </is>
      </c>
      <c r="R12" t="inlineStr">
        <is>
          <t>0%</t>
        </is>
      </c>
    </row>
    <row r="13" ht="33" customHeight="1" s="40">
      <c r="A13" s="7" t="inlineStr">
        <is>
          <t>G-009</t>
        </is>
      </c>
      <c r="B13" s="5" t="inlineStr">
        <is>
          <t>License compliance</t>
        </is>
      </c>
      <c r="C13" s="6" t="inlineStr">
        <is>
          <t>43</t>
        </is>
      </c>
      <c r="D13" s="5" t="inlineStr">
        <is>
          <t>Audio-source licensing (VOICEVOX, speaker voice)</t>
        </is>
      </c>
      <c r="E13" s="5" t="inlineStr">
        <is>
          <t>1. Verify VOICEVOX usage complies with its license
2. Verify Tsumugi (speaker 8) voice usage rights</t>
        </is>
      </c>
      <c r="F13" s="5" t="inlineStr">
        <is>
          <t>VOICEVOX + voice licensing compliant</t>
        </is>
      </c>
      <c r="G13" s="6" t="inlineStr">
        <is>
          <t>P3</t>
        </is>
      </c>
      <c r="H13" s="6" t="inlineStr">
        <is>
          <t>Major</t>
        </is>
      </c>
      <c r="I13" s="6" t="inlineStr">
        <is>
          <t>Manual</t>
        </is>
      </c>
      <c r="J13" s="5" t="inlineStr">
        <is>
          <t>No automated check today — manual only.</t>
        </is>
      </c>
      <c r="K13" t="inlineStr">
        <is>
          <t>4h</t>
        </is>
      </c>
      <c r="L13" t="inlineStr">
        <is>
          <t>Privacy / legal counsel</t>
        </is>
      </c>
      <c r="M13" t="inlineStr">
        <is>
          <t>n/a — manual evaluation</t>
        </is>
      </c>
      <c r="O13" t="inlineStr">
        <is>
          <t>Not Yet Run</t>
        </is>
      </c>
      <c r="Q13" t="inlineStr">
        <is>
          <t>—</t>
        </is>
      </c>
      <c r="R13" t="inlineStr">
        <is>
          <t>0%</t>
        </is>
      </c>
    </row>
    <row r="14" ht="37" customHeight="1" s="40">
      <c r="A14" s="7" t="inlineStr">
        <is>
          <t>G-010</t>
        </is>
      </c>
      <c r="B14" s="5" t="inlineStr">
        <is>
          <t>License compliance</t>
        </is>
      </c>
      <c r="C14" s="6" t="inlineStr">
        <is>
          <t>43</t>
        </is>
      </c>
      <c r="D14" s="5" t="inlineStr">
        <is>
          <t>Open-source LICENSE file accurate to repo content</t>
        </is>
      </c>
      <c r="E14" s="5" t="inlineStr">
        <is>
          <t>1. Verify LICENSE file matches actual license intent
2. Verify content-license is distinguished from code-license</t>
        </is>
      </c>
      <c r="F14" s="5" t="inlineStr">
        <is>
          <t>LICENSE accurate; CONTENT-LICENSE.md handles content</t>
        </is>
      </c>
      <c r="G14" s="6" t="inlineStr">
        <is>
          <t>P3</t>
        </is>
      </c>
      <c r="H14" s="6" t="inlineStr">
        <is>
          <t>Major</t>
        </is>
      </c>
      <c r="I14" s="6" t="inlineStr">
        <is>
          <t>Manual</t>
        </is>
      </c>
      <c r="J14" s="5" t="inlineStr">
        <is>
          <t>CONTENT-LICENSE.md mentioned in N5Improvement.txt</t>
        </is>
      </c>
      <c r="K14" t="inlineStr">
        <is>
          <t>4h</t>
        </is>
      </c>
      <c r="L14" t="inlineStr">
        <is>
          <t>Privacy / legal counsel</t>
        </is>
      </c>
      <c r="M14" t="inlineStr">
        <is>
          <t>n/a — manual evaluation</t>
        </is>
      </c>
      <c r="O14" t="inlineStr">
        <is>
          <t>Not Yet Run</t>
        </is>
      </c>
      <c r="Q14" t="inlineStr">
        <is>
          <t>—</t>
        </is>
      </c>
      <c r="R14" t="inlineStr">
        <is>
          <t>0%</t>
        </is>
      </c>
    </row>
    <row r="15" ht="30" customHeight="1" s="40">
      <c r="A15" s="7" t="inlineStr">
        <is>
          <t>G-011</t>
        </is>
      </c>
      <c r="B15" s="5" t="inlineStr">
        <is>
          <t>License compliance</t>
        </is>
      </c>
      <c r="C15" s="6" t="inlineStr">
        <is>
          <t>43</t>
        </is>
      </c>
      <c r="D15" s="5" t="inlineStr">
        <is>
          <t>Transitive npm-license compatibility</t>
        </is>
      </c>
      <c r="E15" s="5" t="inlineStr">
        <is>
          <t>1. license-checker scan
2. Verify no GPL / AGPL contamination if project is MIT/Apache</t>
        </is>
      </c>
      <c r="F15" s="5" t="inlineStr">
        <is>
          <t>License-clean</t>
        </is>
      </c>
      <c r="G15" s="6" t="inlineStr">
        <is>
          <t>P3</t>
        </is>
      </c>
      <c r="H15" s="6" t="inlineStr">
        <is>
          <t>Major</t>
        </is>
      </c>
      <c r="I15" s="6" t="inlineStr">
        <is>
          <t>Auto</t>
        </is>
      </c>
      <c r="J15" s="5" t="inlineStr">
        <is>
          <t>[BUG-030 cross-ref] DUPLICATE of F-011 (transitive-dependency license-compliance). Canonical home: F tab.</t>
        </is>
      </c>
      <c r="K15" t="inlineStr">
        <is>
          <t>4h</t>
        </is>
      </c>
      <c r="L15" t="inlineStr">
        <is>
          <t>Privacy / legal counsel</t>
        </is>
      </c>
      <c r="M15" t="inlineStr">
        <is>
          <t>n/a — manual evaluation</t>
        </is>
      </c>
      <c r="O15" t="inlineStr">
        <is>
          <t>Not Yet Run</t>
        </is>
      </c>
      <c r="Q15" t="inlineStr">
        <is>
          <t>—</t>
        </is>
      </c>
      <c r="R15" t="inlineStr">
        <is>
          <t>0%</t>
        </is>
      </c>
    </row>
    <row r="16" ht="44" customHeight="1" s="40">
      <c r="A16" s="7" t="inlineStr">
        <is>
          <t>G-012</t>
        </is>
      </c>
      <c r="B16" s="5" t="inlineStr">
        <is>
          <t>Brand / trademark</t>
        </is>
      </c>
      <c r="C16" s="6" t="inlineStr">
        <is>
          <t>44</t>
        </is>
      </c>
      <c r="D16" s="5" t="inlineStr">
        <is>
          <t>'JLPT' trademark usage compliance</t>
        </is>
      </c>
      <c r="E16" s="5" t="inlineStr">
        <is>
          <t>1. Verify any 'JLPT' references include 'JLPT is a registered trademark of...' disclaimer
2. Verify app doesn't imply JEES affiliation</t>
        </is>
      </c>
      <c r="F16" s="5" t="inlineStr">
        <is>
          <t>Trademark disclaimer present + no affiliation implied</t>
        </is>
      </c>
      <c r="G16" s="6" t="inlineStr">
        <is>
          <t>P5</t>
        </is>
      </c>
      <c r="H16" s="6" t="inlineStr">
        <is>
          <t>Minor</t>
        </is>
      </c>
      <c r="I16" s="6" t="inlineStr">
        <is>
          <t>Manual</t>
        </is>
      </c>
      <c r="J16" s="5" t="inlineStr">
        <is>
          <t>No automated check today — manual only.</t>
        </is>
      </c>
      <c r="K16" t="inlineStr">
        <is>
          <t>4h</t>
        </is>
      </c>
      <c r="L16" t="inlineStr">
        <is>
          <t>Privacy / legal counsel</t>
        </is>
      </c>
      <c r="M16" t="inlineStr">
        <is>
          <t>n/a — manual evaluation</t>
        </is>
      </c>
      <c r="O16" t="inlineStr">
        <is>
          <t>Not Yet Run</t>
        </is>
      </c>
      <c r="Q16" t="inlineStr">
        <is>
          <t>—</t>
        </is>
      </c>
      <c r="R16" t="inlineStr">
        <is>
          <t>0%</t>
        </is>
      </c>
    </row>
    <row r="17" ht="30" customHeight="1" s="40">
      <c r="A17" s="7" t="inlineStr">
        <is>
          <t>G-013</t>
        </is>
      </c>
      <c r="B17" s="5" t="inlineStr">
        <is>
          <t>Brand / trademark</t>
        </is>
      </c>
      <c r="C17" s="6" t="inlineStr">
        <is>
          <t>44</t>
        </is>
      </c>
      <c r="D17" s="5" t="inlineStr">
        <is>
          <t>App-name trademark search (JLPT N5 Tutor / JLPTSuccess)</t>
        </is>
      </c>
      <c r="E17" s="5" t="inlineStr">
        <is>
          <t>1. Trademark search in India + Japan + US
2. Verify no conflict</t>
        </is>
      </c>
      <c r="F17" s="5" t="inlineStr">
        <is>
          <t>No trademark conflict</t>
        </is>
      </c>
      <c r="G17" s="6" t="inlineStr">
        <is>
          <t>P5</t>
        </is>
      </c>
      <c r="H17" s="6" t="inlineStr">
        <is>
          <t>Minor</t>
        </is>
      </c>
      <c r="I17" s="6" t="inlineStr">
        <is>
          <t>Manual</t>
        </is>
      </c>
      <c r="J17" s="5" t="inlineStr">
        <is>
          <t>No automated check today — manual only.</t>
        </is>
      </c>
      <c r="K17" t="inlineStr">
        <is>
          <t>4h</t>
        </is>
      </c>
      <c r="L17" t="inlineStr">
        <is>
          <t>Privacy / legal counsel</t>
        </is>
      </c>
      <c r="M17" t="inlineStr">
        <is>
          <t>n/a — manual evaluation</t>
        </is>
      </c>
      <c r="O17" t="inlineStr">
        <is>
          <t>Not Yet Run</t>
        </is>
      </c>
      <c r="Q17" t="inlineStr">
        <is>
          <t>—</t>
        </is>
      </c>
      <c r="R17" t="inlineStr">
        <is>
          <t>0%</t>
        </is>
      </c>
    </row>
    <row r="18" ht="30" customHeight="1" s="40">
      <c r="A18" s="7" t="inlineStr">
        <is>
          <t>G-014</t>
        </is>
      </c>
      <c r="B18" s="5" t="inlineStr">
        <is>
          <t>Advertising / claims</t>
        </is>
      </c>
      <c r="C18" s="6" t="inlineStr">
        <is>
          <t>45</t>
        </is>
      </c>
      <c r="D18" s="5" t="inlineStr">
        <is>
          <t>Claim accuracy: 'free, complete, local-audio, no-tracking'</t>
        </is>
      </c>
      <c r="E18" s="5" t="inlineStr">
        <is>
          <t>1. Verify each claim against actual app state
2. Flag any false claim</t>
        </is>
      </c>
      <c r="F18" s="5" t="inlineStr">
        <is>
          <t>All claims accurate</t>
        </is>
      </c>
      <c r="G18" s="6" t="inlineStr">
        <is>
          <t>P3</t>
        </is>
      </c>
      <c r="H18" s="6" t="inlineStr">
        <is>
          <t>Major</t>
        </is>
      </c>
      <c r="I18" s="6" t="inlineStr">
        <is>
          <t>Manual</t>
        </is>
      </c>
      <c r="J18" s="5" t="inlineStr">
        <is>
          <t>From N5Improvement.txt strategic framing</t>
        </is>
      </c>
      <c r="K18" t="inlineStr">
        <is>
          <t>4h</t>
        </is>
      </c>
      <c r="L18" t="inlineStr">
        <is>
          <t>Privacy / legal counsel</t>
        </is>
      </c>
      <c r="M18" t="inlineStr">
        <is>
          <t>n/a — manual evaluation</t>
        </is>
      </c>
      <c r="O18" t="inlineStr">
        <is>
          <t>Not Yet Run</t>
        </is>
      </c>
      <c r="Q18" t="inlineStr">
        <is>
          <t>—</t>
        </is>
      </c>
      <c r="R18" t="inlineStr">
        <is>
          <t>0%</t>
        </is>
      </c>
    </row>
    <row r="19" ht="30" customHeight="1" s="40">
      <c r="A19" s="7" t="inlineStr">
        <is>
          <t>G-015</t>
        </is>
      </c>
      <c r="B19" s="5" t="inlineStr">
        <is>
          <t>Advertising / claims</t>
        </is>
      </c>
      <c r="C19" s="6" t="inlineStr">
        <is>
          <t>45</t>
        </is>
      </c>
      <c r="D19" s="5" t="inlineStr">
        <is>
          <t>'Pass the JLPT N5' or similar outcome claim</t>
        </is>
      </c>
      <c r="E19" s="5" t="inlineStr">
        <is>
          <t>1. Search marketing copy for outcome claims
2. Verify backed by data OR softened</t>
        </is>
      </c>
      <c r="F19" s="5" t="inlineStr">
        <is>
          <t>Outcome claims backed or removed</t>
        </is>
      </c>
      <c r="G19" s="6" t="inlineStr">
        <is>
          <t>P5</t>
        </is>
      </c>
      <c r="H19" s="6" t="inlineStr">
        <is>
          <t>Minor</t>
        </is>
      </c>
      <c r="I19" s="6" t="inlineStr">
        <is>
          <t>Manual</t>
        </is>
      </c>
      <c r="J19" s="5" t="inlineStr">
        <is>
          <t>No automated check today — manual only.</t>
        </is>
      </c>
      <c r="K19" t="inlineStr">
        <is>
          <t>4h</t>
        </is>
      </c>
      <c r="L19" t="inlineStr">
        <is>
          <t>Privacy / legal counsel</t>
        </is>
      </c>
      <c r="M19" t="inlineStr">
        <is>
          <t>n/a — manual evaluation</t>
        </is>
      </c>
      <c r="O19" t="inlineStr">
        <is>
          <t>Not Yet Run</t>
        </is>
      </c>
      <c r="Q19" t="inlineStr">
        <is>
          <t>—</t>
        </is>
      </c>
      <c r="R19"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40" min="1" max="1"/>
    <col width="19.08984375" customWidth="1" style="40" min="2" max="2"/>
    <col width="9.08984375" customWidth="1" style="40" min="3" max="3"/>
    <col width="43.6328125" customWidth="1" style="40" min="4" max="4"/>
    <col width="50.90625" customWidth="1" style="40" min="5" max="5"/>
    <col width="40" customWidth="1" style="40" min="6" max="6"/>
    <col width="14.54296875" customWidth="1" style="40" min="7" max="7"/>
    <col width="16.36328125" customWidth="1" style="40" min="8" max="8"/>
    <col width="14.54296875" customWidth="1" style="40" min="9" max="9"/>
    <col width="32.7265625" customWidth="1" style="40" min="10" max="10"/>
    <col width="16" customWidth="1" style="40" min="11" max="11"/>
    <col width="24" customWidth="1" style="40" min="12" max="12"/>
    <col width="32" customWidth="1" style="40" min="13" max="13"/>
    <col width="14" customWidth="1" style="40" min="14" max="15"/>
    <col width="18" customWidth="1" style="40" min="16" max="16"/>
    <col width="16" customWidth="1" style="40" min="17" max="17"/>
    <col width="12" customWidth="1" style="40" min="18" max="18"/>
  </cols>
  <sheetData>
    <row r="1" ht="28" customHeight="1" s="40">
      <c r="A1" s="39" t="inlineStr">
        <is>
          <t>H. Performance</t>
        </is>
      </c>
    </row>
    <row r="2" ht="36" customHeight="1" s="40">
      <c r="A2" s="42" t="inlineStr">
        <is>
          <t>Perspectives: Web-performance, audio-cache, PWA, cross-browser, mobile-responsive, font-rendering, i18n, SEO (perspectives 46-53)</t>
        </is>
      </c>
    </row>
    <row r="4" ht="24" customHeight="1" s="40">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0">
      <c r="A5" s="7" t="inlineStr">
        <is>
          <t>H-001</t>
        </is>
      </c>
      <c r="B5" s="5" t="inlineStr">
        <is>
          <t>Core Web Vitals</t>
        </is>
      </c>
      <c r="C5" s="6" t="inlineStr">
        <is>
          <t>46</t>
        </is>
      </c>
      <c r="D5" s="5" t="inlineStr">
        <is>
          <t>LCP (Largest Contentful Paint) &lt; 2.5s on 3G</t>
        </is>
      </c>
      <c r="E5" s="5" t="inlineStr">
        <is>
          <t>1. Throttle to slow 3G
2. Load homepage
3. Measure LCP</t>
        </is>
      </c>
      <c r="F5" s="5" t="inlineStr">
        <is>
          <t>LCP &lt; 2.5s</t>
        </is>
      </c>
      <c r="G5" s="6" t="inlineStr">
        <is>
          <t>P3</t>
        </is>
      </c>
      <c r="H5" s="6" t="inlineStr">
        <is>
          <t>Major</t>
        </is>
      </c>
      <c r="I5" s="6" t="inlineStr">
        <is>
          <t>Auto</t>
        </is>
      </c>
      <c r="J5" s="5" t="inlineStr">
        <is>
          <t>Lighthouse</t>
        </is>
      </c>
      <c r="K5" t="inlineStr">
        <is>
          <t>1h</t>
        </is>
      </c>
      <c r="L5" t="inlineStr">
        <is>
          <t>Web-performance engineer</t>
        </is>
      </c>
      <c r="M5" t="inlineStr">
        <is>
          <t>n/a — manual evaluation</t>
        </is>
      </c>
      <c r="O5" t="inlineStr">
        <is>
          <t>Not Yet Run</t>
        </is>
      </c>
      <c r="Q5" t="inlineStr">
        <is>
          <t>—</t>
        </is>
      </c>
      <c r="R5" t="inlineStr">
        <is>
          <t>0%</t>
        </is>
      </c>
    </row>
    <row r="6" ht="30" customHeight="1" s="40">
      <c r="A6" s="7" t="inlineStr">
        <is>
          <t>H-002</t>
        </is>
      </c>
      <c r="B6" s="5" t="inlineStr">
        <is>
          <t>Core Web Vitals</t>
        </is>
      </c>
      <c r="C6" s="6" t="inlineStr">
        <is>
          <t>46</t>
        </is>
      </c>
      <c r="D6" s="5" t="inlineStr">
        <is>
          <t>FID / INP &lt; 100ms</t>
        </is>
      </c>
      <c r="E6" s="5" t="inlineStr">
        <is>
          <t>1. Load app, interact within 1s of load
2. Measure FID/INP</t>
        </is>
      </c>
      <c r="F6" s="5" t="inlineStr">
        <is>
          <t>FID/INP &lt; 100ms</t>
        </is>
      </c>
      <c r="G6" s="6" t="inlineStr">
        <is>
          <t>P3</t>
        </is>
      </c>
      <c r="H6" s="6" t="inlineStr">
        <is>
          <t>Major</t>
        </is>
      </c>
      <c r="I6" s="6" t="inlineStr">
        <is>
          <t>Auto</t>
        </is>
      </c>
      <c r="J6" s="5" t="inlineStr">
        <is>
          <t>No automated check today — manual only.</t>
        </is>
      </c>
      <c r="K6" t="inlineStr">
        <is>
          <t>1h</t>
        </is>
      </c>
      <c r="L6" t="inlineStr">
        <is>
          <t>Web-performance engineer</t>
        </is>
      </c>
      <c r="M6" t="inlineStr">
        <is>
          <t>n/a — manual evaluation</t>
        </is>
      </c>
      <c r="O6" t="inlineStr">
        <is>
          <t>Not Yet Run</t>
        </is>
      </c>
      <c r="Q6" t="inlineStr">
        <is>
          <t>—</t>
        </is>
      </c>
      <c r="R6" t="inlineStr">
        <is>
          <t>0%</t>
        </is>
      </c>
    </row>
    <row r="7" ht="30" customHeight="1" s="40">
      <c r="A7" s="7" t="inlineStr">
        <is>
          <t>H-003</t>
        </is>
      </c>
      <c r="B7" s="5" t="inlineStr">
        <is>
          <t>Core Web Vitals</t>
        </is>
      </c>
      <c r="C7" s="6" t="inlineStr">
        <is>
          <t>46</t>
        </is>
      </c>
      <c r="D7" s="5" t="inlineStr">
        <is>
          <t>CLS &lt; 0.1</t>
        </is>
      </c>
      <c r="E7" s="5" t="inlineStr">
        <is>
          <t>1. Load app
2. Observe layout shifts during load
3. Measure CLS</t>
        </is>
      </c>
      <c r="F7" s="5" t="inlineStr">
        <is>
          <t>CLS &lt; 0.1</t>
        </is>
      </c>
      <c r="G7" s="6" t="inlineStr">
        <is>
          <t>P3</t>
        </is>
      </c>
      <c r="H7" s="6" t="inlineStr">
        <is>
          <t>Major</t>
        </is>
      </c>
      <c r="I7" s="6" t="inlineStr">
        <is>
          <t>Auto</t>
        </is>
      </c>
      <c r="J7" s="5" t="inlineStr">
        <is>
          <t>No automated check today — manual only.</t>
        </is>
      </c>
      <c r="K7" t="inlineStr">
        <is>
          <t>1h</t>
        </is>
      </c>
      <c r="L7" t="inlineStr">
        <is>
          <t>Web-performance engineer</t>
        </is>
      </c>
      <c r="M7" t="inlineStr">
        <is>
          <t>n/a — manual evaluation</t>
        </is>
      </c>
      <c r="O7" t="inlineStr">
        <is>
          <t>Not Yet Run</t>
        </is>
      </c>
      <c r="Q7" t="inlineStr">
        <is>
          <t>—</t>
        </is>
      </c>
      <c r="R7" t="inlineStr">
        <is>
          <t>0%</t>
        </is>
      </c>
    </row>
    <row r="8" ht="30" customHeight="1" s="40">
      <c r="A8" s="7" t="inlineStr">
        <is>
          <t>H-004</t>
        </is>
      </c>
      <c r="B8" s="5" t="inlineStr">
        <is>
          <t>Bundle size</t>
        </is>
      </c>
      <c r="C8" s="6" t="inlineStr">
        <is>
          <t>46</t>
        </is>
      </c>
      <c r="D8" s="5" t="inlineStr">
        <is>
          <t>Total JS bundle size on initial load</t>
        </is>
      </c>
      <c r="E8" s="5" t="inlineStr">
        <is>
          <t>1. Measure first-load JS
2. Verify &lt; 300KB compressed</t>
        </is>
      </c>
      <c r="F8" s="5" t="inlineStr">
        <is>
          <t>JS budget met</t>
        </is>
      </c>
      <c r="G8" s="6" t="inlineStr">
        <is>
          <t>P3</t>
        </is>
      </c>
      <c r="H8" s="6" t="inlineStr">
        <is>
          <t>Major</t>
        </is>
      </c>
      <c r="I8" s="6" t="inlineStr">
        <is>
          <t>Auto</t>
        </is>
      </c>
      <c r="J8" s="5" t="inlineStr">
        <is>
          <t>No automated check today — manual only.</t>
        </is>
      </c>
      <c r="K8" t="inlineStr">
        <is>
          <t>4h</t>
        </is>
      </c>
      <c r="L8" t="inlineStr">
        <is>
          <t>Web-performance engineer</t>
        </is>
      </c>
      <c r="M8" t="inlineStr">
        <is>
          <t>n/a — manual evaluation</t>
        </is>
      </c>
      <c r="O8" t="inlineStr">
        <is>
          <t>Not Yet Run</t>
        </is>
      </c>
      <c r="Q8" t="inlineStr">
        <is>
          <t>—</t>
        </is>
      </c>
      <c r="R8" t="inlineStr">
        <is>
          <t>0%</t>
        </is>
      </c>
    </row>
    <row r="9" ht="30" customHeight="1" s="40">
      <c r="A9" s="7" t="inlineStr">
        <is>
          <t>H-005</t>
        </is>
      </c>
      <c r="B9" s="5" t="inlineStr">
        <is>
          <t>Bundle size</t>
        </is>
      </c>
      <c r="C9" s="6" t="inlineStr">
        <is>
          <t>46</t>
        </is>
      </c>
      <c r="D9" s="5" t="inlineStr">
        <is>
          <t>Per-route code-splitting effectiveness</t>
        </is>
      </c>
      <c r="E9" s="5" t="inlineStr">
        <is>
          <t>1. Verify each module loads its own chunk
2. Verify shared bundle doesn't bloat</t>
        </is>
      </c>
      <c r="F9" s="5" t="inlineStr">
        <is>
          <t>Code-splitting works</t>
        </is>
      </c>
      <c r="G9" s="6" t="inlineStr">
        <is>
          <t>P5</t>
        </is>
      </c>
      <c r="H9" s="6" t="inlineStr">
        <is>
          <t>Minor</t>
        </is>
      </c>
      <c r="I9" s="6" t="inlineStr">
        <is>
          <t>Auto</t>
        </is>
      </c>
      <c r="J9" s="5" t="inlineStr">
        <is>
          <t>No automated check today — manual only.</t>
        </is>
      </c>
      <c r="K9" t="inlineStr">
        <is>
          <t>4h</t>
        </is>
      </c>
      <c r="L9" t="inlineStr">
        <is>
          <t>Web-performance engineer</t>
        </is>
      </c>
      <c r="M9" t="inlineStr">
        <is>
          <t>n/a — manual evaluation</t>
        </is>
      </c>
      <c r="O9" t="inlineStr">
        <is>
          <t>Not Yet Run</t>
        </is>
      </c>
      <c r="Q9" t="inlineStr">
        <is>
          <t>—</t>
        </is>
      </c>
      <c r="R9" t="inlineStr">
        <is>
          <t>0%</t>
        </is>
      </c>
    </row>
    <row r="10" ht="30" customHeight="1" s="40">
      <c r="A10" s="7" t="inlineStr">
        <is>
          <t>H-006</t>
        </is>
      </c>
      <c r="B10" s="5" t="inlineStr">
        <is>
          <t>Audio cache</t>
        </is>
      </c>
      <c r="C10" s="6" t="inlineStr">
        <is>
          <t>47</t>
        </is>
      </c>
      <c r="D10" s="5" t="inlineStr">
        <is>
          <t>Service-worker audio precache strategy</t>
        </is>
      </c>
      <c r="E10" s="5" t="inlineStr">
        <is>
          <t>1. Inspect sw.js precache list
2. Verify per-module audio precached on first visit</t>
        </is>
      </c>
      <c r="F10" s="5" t="inlineStr">
        <is>
          <t>Per-module audio cached</t>
        </is>
      </c>
      <c r="G10" s="6" t="inlineStr">
        <is>
          <t>P3</t>
        </is>
      </c>
      <c r="H10" s="6" t="inlineStr">
        <is>
          <t>Major</t>
        </is>
      </c>
      <c r="I10" s="6" t="inlineStr">
        <is>
          <t>Manual</t>
        </is>
      </c>
      <c r="J10" s="5" t="inlineStr">
        <is>
          <t>No automated check today — manual only.</t>
        </is>
      </c>
      <c r="K10" t="inlineStr">
        <is>
          <t>4h</t>
        </is>
      </c>
      <c r="L10" t="inlineStr">
        <is>
          <t>Web-performance engineer</t>
        </is>
      </c>
      <c r="M10" t="inlineStr">
        <is>
          <t>n/a — manual evaluation</t>
        </is>
      </c>
      <c r="O10" t="inlineStr">
        <is>
          <t>Not Yet Run</t>
        </is>
      </c>
      <c r="Q10" t="inlineStr">
        <is>
          <t>—</t>
        </is>
      </c>
      <c r="R10" t="inlineStr">
        <is>
          <t>0%</t>
        </is>
      </c>
    </row>
    <row r="11" ht="30" customHeight="1" s="40">
      <c r="A11" s="7" t="inlineStr">
        <is>
          <t>H-007</t>
        </is>
      </c>
      <c r="B11" s="5" t="inlineStr">
        <is>
          <t>Audio cache</t>
        </is>
      </c>
      <c r="C11" s="6" t="inlineStr">
        <is>
          <t>47</t>
        </is>
      </c>
      <c r="D11" s="5" t="inlineStr">
        <is>
          <t>Storage-quota management for 1782 grammar MP3s + others</t>
        </is>
      </c>
      <c r="E11" s="5" t="inlineStr">
        <is>
          <t>1. Estimate total audio size (~100MB+)
2. Verify cache eviction policy</t>
        </is>
      </c>
      <c r="F11" s="5" t="inlineStr">
        <is>
          <t>Quota managed; eviction policy documented</t>
        </is>
      </c>
      <c r="G11" s="6" t="inlineStr">
        <is>
          <t>P3</t>
        </is>
      </c>
      <c r="H11" s="6" t="inlineStr">
        <is>
          <t>Major</t>
        </is>
      </c>
      <c r="I11" s="6" t="inlineStr">
        <is>
          <t>Manual</t>
        </is>
      </c>
      <c r="J11" s="5" t="inlineStr">
        <is>
          <t>No automated check today — manual only.</t>
        </is>
      </c>
      <c r="K11" t="inlineStr">
        <is>
          <t>4h</t>
        </is>
      </c>
      <c r="L11" t="inlineStr">
        <is>
          <t>Web-performance engineer</t>
        </is>
      </c>
      <c r="M11" t="inlineStr">
        <is>
          <t>n/a — manual evaluation</t>
        </is>
      </c>
      <c r="O11" t="inlineStr">
        <is>
          <t>Not Yet Run</t>
        </is>
      </c>
      <c r="Q11" t="inlineStr">
        <is>
          <t>—</t>
        </is>
      </c>
      <c r="R11" t="inlineStr">
        <is>
          <t>0%</t>
        </is>
      </c>
    </row>
    <row r="12" ht="30" customHeight="1" s="40">
      <c r="A12" s="7" t="inlineStr">
        <is>
          <t>H-008</t>
        </is>
      </c>
      <c r="B12" s="5" t="inlineStr">
        <is>
          <t>Audio cache</t>
        </is>
      </c>
      <c r="C12" s="6" t="inlineStr">
        <is>
          <t>47</t>
        </is>
      </c>
      <c r="D12" s="5" t="inlineStr">
        <is>
          <t>Offline-mode availability per module</t>
        </is>
      </c>
      <c r="E12" s="5" t="inlineStr">
        <is>
          <t>1. Load module while online
2. Disconnect
3. Verify module fully functional offline</t>
        </is>
      </c>
      <c r="F12" s="5" t="inlineStr">
        <is>
          <t>Modules work offline post-first-visit</t>
        </is>
      </c>
      <c r="G12" s="6" t="inlineStr">
        <is>
          <t>P3</t>
        </is>
      </c>
      <c r="H12" s="6" t="inlineStr">
        <is>
          <t>Major</t>
        </is>
      </c>
      <c r="I12" s="6" t="inlineStr">
        <is>
          <t>Manual</t>
        </is>
      </c>
      <c r="J12" s="5" t="inlineStr">
        <is>
          <t>No automated check today — manual only.</t>
        </is>
      </c>
      <c r="K12" t="inlineStr">
        <is>
          <t>4h</t>
        </is>
      </c>
      <c r="L12" t="inlineStr">
        <is>
          <t>Web-performance engineer</t>
        </is>
      </c>
      <c r="M12" t="inlineStr">
        <is>
          <t>n/a — manual evaluation</t>
        </is>
      </c>
      <c r="O12" t="inlineStr">
        <is>
          <t>Not Yet Run</t>
        </is>
      </c>
      <c r="Q12" t="inlineStr">
        <is>
          <t>—</t>
        </is>
      </c>
      <c r="R12" t="inlineStr">
        <is>
          <t>0%</t>
        </is>
      </c>
    </row>
    <row r="13" ht="30" customHeight="1" s="40">
      <c r="A13" s="7" t="inlineStr">
        <is>
          <t>H-009</t>
        </is>
      </c>
      <c r="B13" s="5" t="inlineStr">
        <is>
          <t>PWA</t>
        </is>
      </c>
      <c r="C13" s="6" t="inlineStr">
        <is>
          <t>48</t>
        </is>
      </c>
      <c r="D13" s="5" t="inlineStr">
        <is>
          <t>Installability on iOS Safari / Android Chrome / desktop Chrome</t>
        </is>
      </c>
      <c r="E13" s="5" t="inlineStr">
        <is>
          <t>1. Open app on each
2. Verify 'Add to Home Screen' / install prompt</t>
        </is>
      </c>
      <c r="F13" s="5" t="inlineStr">
        <is>
          <t>Installable everywhere</t>
        </is>
      </c>
      <c r="G13" s="6" t="inlineStr">
        <is>
          <t>P3</t>
        </is>
      </c>
      <c r="H13" s="6" t="inlineStr">
        <is>
          <t>Major</t>
        </is>
      </c>
      <c r="I13" s="6" t="inlineStr">
        <is>
          <t>Manual</t>
        </is>
      </c>
      <c r="J13" s="5" t="inlineStr">
        <is>
          <t>No automated check today — manual only.</t>
        </is>
      </c>
      <c r="K13" t="inlineStr">
        <is>
          <t>4h</t>
        </is>
      </c>
      <c r="L13" t="inlineStr">
        <is>
          <t>Web-performance engineer</t>
        </is>
      </c>
      <c r="M13" t="inlineStr">
        <is>
          <t>n/a — manual evaluation</t>
        </is>
      </c>
      <c r="O13" t="inlineStr">
        <is>
          <t>Not Yet Run</t>
        </is>
      </c>
      <c r="Q13" t="inlineStr">
        <is>
          <t>—</t>
        </is>
      </c>
      <c r="R13" t="inlineStr">
        <is>
          <t>0%</t>
        </is>
      </c>
    </row>
    <row r="14" ht="34" customHeight="1" s="40">
      <c r="A14" s="7" t="inlineStr">
        <is>
          <t>H-010</t>
        </is>
      </c>
      <c r="B14" s="5" t="inlineStr">
        <is>
          <t>PWA</t>
        </is>
      </c>
      <c r="C14" s="6" t="inlineStr">
        <is>
          <t>48</t>
        </is>
      </c>
      <c r="D14" s="5" t="inlineStr">
        <is>
          <t>Service-worker update strategy (cache-busting on deploy)</t>
        </is>
      </c>
      <c r="E14" s="5" t="inlineStr">
        <is>
          <t>1. Deploy new version with CACHE_VERSION bump
2. Verify existing users get new version within 1 reload</t>
        </is>
      </c>
      <c r="F14" s="5" t="inlineStr">
        <is>
          <t>Update propagates in ≤ 1 reload</t>
        </is>
      </c>
      <c r="G14" s="6" t="inlineStr">
        <is>
          <t>P3</t>
        </is>
      </c>
      <c r="H14" s="6" t="inlineStr">
        <is>
          <t>Major</t>
        </is>
      </c>
      <c r="I14" s="6" t="inlineStr">
        <is>
          <t>Manual</t>
        </is>
      </c>
      <c r="J14" s="5" t="inlineStr">
        <is>
          <t>Procedure manual references CACHE_VERSION discipline</t>
        </is>
      </c>
      <c r="K14" t="inlineStr">
        <is>
          <t>4h</t>
        </is>
      </c>
      <c r="L14" t="inlineStr">
        <is>
          <t>Web-performance engineer</t>
        </is>
      </c>
      <c r="M14" t="inlineStr">
        <is>
          <t>n/a — manual evaluation</t>
        </is>
      </c>
      <c r="O14" t="inlineStr">
        <is>
          <t>Not Yet Run</t>
        </is>
      </c>
      <c r="Q14" t="inlineStr">
        <is>
          <t>—</t>
        </is>
      </c>
      <c r="R14" t="inlineStr">
        <is>
          <t>0%</t>
        </is>
      </c>
    </row>
    <row r="15" ht="30" customHeight="1" s="40">
      <c r="A15" s="7" t="inlineStr">
        <is>
          <t>H-011</t>
        </is>
      </c>
      <c r="B15" s="5" t="inlineStr">
        <is>
          <t>PWA</t>
        </is>
      </c>
      <c r="C15" s="6" t="inlineStr">
        <is>
          <t>48</t>
        </is>
      </c>
      <c r="D15" s="5" t="inlineStr">
        <is>
          <t>Offline-error UX (no-connection scenario)</t>
        </is>
      </c>
      <c r="E15" s="5" t="inlineStr">
        <is>
          <t>1. Disconnect
2. Open uncached route
3. Verify graceful error + retry</t>
        </is>
      </c>
      <c r="F15" s="5" t="inlineStr">
        <is>
          <t>Offline error is informative</t>
        </is>
      </c>
      <c r="G15" s="6" t="inlineStr">
        <is>
          <t>P3</t>
        </is>
      </c>
      <c r="H15" s="6" t="inlineStr">
        <is>
          <t>Major</t>
        </is>
      </c>
      <c r="I15" s="6" t="inlineStr">
        <is>
          <t>Manual</t>
        </is>
      </c>
      <c r="J15" s="5" t="inlineStr">
        <is>
          <t>No automated check today — manual only.</t>
        </is>
      </c>
      <c r="K15" t="inlineStr">
        <is>
          <t>4h</t>
        </is>
      </c>
      <c r="L15" t="inlineStr">
        <is>
          <t>Web-performance engineer</t>
        </is>
      </c>
      <c r="M15" t="inlineStr">
        <is>
          <t>n/a — manual evaluation</t>
        </is>
      </c>
      <c r="O15" t="inlineStr">
        <is>
          <t>Not Yet Run</t>
        </is>
      </c>
      <c r="Q15" t="inlineStr">
        <is>
          <t>—</t>
        </is>
      </c>
      <c r="R15" t="inlineStr">
        <is>
          <t>0%</t>
        </is>
      </c>
    </row>
    <row r="16" ht="34" customHeight="1" s="40">
      <c r="A16" s="7" t="inlineStr">
        <is>
          <t>H-012</t>
        </is>
      </c>
      <c r="B16" s="5" t="inlineStr">
        <is>
          <t>Cross-browser</t>
        </is>
      </c>
      <c r="C16" s="6" t="inlineStr">
        <is>
          <t>49</t>
        </is>
      </c>
      <c r="D16" s="5" t="inlineStr">
        <is>
          <t>Safari iOS audio autoplay restriction handling</t>
        </is>
      </c>
      <c r="E16" s="5" t="inlineStr">
        <is>
          <t>1. Open audio drill on iOS Safari
2. Verify play requires user gesture
3. Verify subsequent plays don't</t>
        </is>
      </c>
      <c r="F16" s="5" t="inlineStr">
        <is>
          <t>Audio works post-first-tap</t>
        </is>
      </c>
      <c r="G16" s="6" t="inlineStr">
        <is>
          <t>P3</t>
        </is>
      </c>
      <c r="H16" s="6" t="inlineStr">
        <is>
          <t>Major</t>
        </is>
      </c>
      <c r="I16" s="6" t="inlineStr">
        <is>
          <t>Manual</t>
        </is>
      </c>
      <c r="J16" s="5" t="inlineStr">
        <is>
          <t>No automated check today — manual only.</t>
        </is>
      </c>
      <c r="K16" t="inlineStr">
        <is>
          <t>4h</t>
        </is>
      </c>
      <c r="L16" t="inlineStr">
        <is>
          <t>Web-performance engineer</t>
        </is>
      </c>
      <c r="M16" t="inlineStr">
        <is>
          <t>n/a — manual evaluation</t>
        </is>
      </c>
      <c r="O16" t="inlineStr">
        <is>
          <t>Not Yet Run</t>
        </is>
      </c>
      <c r="Q16" t="inlineStr">
        <is>
          <t>—</t>
        </is>
      </c>
      <c r="R16" t="inlineStr">
        <is>
          <t>0%</t>
        </is>
      </c>
    </row>
    <row r="17" ht="30" customHeight="1" s="40">
      <c r="A17" s="7" t="inlineStr">
        <is>
          <t>H-013</t>
        </is>
      </c>
      <c r="B17" s="5" t="inlineStr">
        <is>
          <t>Cross-browser</t>
        </is>
      </c>
      <c r="C17" s="6" t="inlineStr">
        <is>
          <t>49</t>
        </is>
      </c>
      <c r="D17" s="5" t="inlineStr">
        <is>
          <t>Firefox MP3 decoder behavior</t>
        </is>
      </c>
      <c r="E17" s="5" t="inlineStr">
        <is>
          <t>1. Play all 1782 MP3s on Firefox
2. Verify no decode failures</t>
        </is>
      </c>
      <c r="F17" s="5" t="inlineStr">
        <is>
          <t>All MP3s decode in Firefox</t>
        </is>
      </c>
      <c r="G17" s="6" t="inlineStr">
        <is>
          <t>P5</t>
        </is>
      </c>
      <c r="H17" s="6" t="inlineStr">
        <is>
          <t>Minor</t>
        </is>
      </c>
      <c r="I17" s="6" t="inlineStr">
        <is>
          <t>Manual</t>
        </is>
      </c>
      <c r="J17" s="5" t="inlineStr">
        <is>
          <t>No automated check today — manual only.</t>
        </is>
      </c>
      <c r="K17" t="inlineStr">
        <is>
          <t>4h</t>
        </is>
      </c>
      <c r="L17" t="inlineStr">
        <is>
          <t>Web-performance engineer</t>
        </is>
      </c>
      <c r="M17" t="inlineStr">
        <is>
          <t>n/a — manual evaluation</t>
        </is>
      </c>
      <c r="O17" t="inlineStr">
        <is>
          <t>Not Yet Run</t>
        </is>
      </c>
      <c r="Q17" t="inlineStr">
        <is>
          <t>—</t>
        </is>
      </c>
      <c r="R17" t="inlineStr">
        <is>
          <t>0%</t>
        </is>
      </c>
    </row>
    <row r="18" ht="30" customHeight="1" s="40">
      <c r="A18" s="7" t="inlineStr">
        <is>
          <t>H-014</t>
        </is>
      </c>
      <c r="B18" s="5" t="inlineStr">
        <is>
          <t>Cross-browser</t>
        </is>
      </c>
      <c r="C18" s="6" t="inlineStr">
        <is>
          <t>49</t>
        </is>
      </c>
      <c r="D18" s="5" t="inlineStr">
        <is>
          <t>Older-Android Chrome (≤ Chrome 90) rendering</t>
        </is>
      </c>
      <c r="E18" s="5" t="inlineStr">
        <is>
          <t>1. Test on Android 8/9 with Chrome 90
2. Verify app loads + functions</t>
        </is>
      </c>
      <c r="F18" s="5" t="inlineStr">
        <is>
          <t>Functional on older Chrome</t>
        </is>
      </c>
      <c r="G18" s="6" t="inlineStr">
        <is>
          <t>P5</t>
        </is>
      </c>
      <c r="H18" s="6" t="inlineStr">
        <is>
          <t>Minor</t>
        </is>
      </c>
      <c r="I18" s="6" t="inlineStr">
        <is>
          <t>Manual</t>
        </is>
      </c>
      <c r="J18" s="5" t="inlineStr">
        <is>
          <t>No automated check today — manual only.</t>
        </is>
      </c>
      <c r="K18" t="inlineStr">
        <is>
          <t>4h</t>
        </is>
      </c>
      <c r="L18" t="inlineStr">
        <is>
          <t>Web-performance engineer</t>
        </is>
      </c>
      <c r="M18" t="inlineStr">
        <is>
          <t>n/a — manual evaluation</t>
        </is>
      </c>
      <c r="O18" t="inlineStr">
        <is>
          <t>Not Yet Run</t>
        </is>
      </c>
      <c r="Q18" t="inlineStr">
        <is>
          <t>—</t>
        </is>
      </c>
      <c r="R18" t="inlineStr">
        <is>
          <t>0%</t>
        </is>
      </c>
    </row>
    <row r="19" ht="30" customHeight="1" s="40">
      <c r="A19" s="7" t="inlineStr">
        <is>
          <t>H-015</t>
        </is>
      </c>
      <c r="B19" s="5" t="inlineStr">
        <is>
          <t>Mobile-responsive</t>
        </is>
      </c>
      <c r="C19" s="6" t="inlineStr">
        <is>
          <t>50</t>
        </is>
      </c>
      <c r="D19" s="5" t="inlineStr">
        <is>
          <t>Sub-360px viewport rendering</t>
        </is>
      </c>
      <c r="E19" s="5" t="inlineStr">
        <is>
          <t>1. Set viewport to 320px wide
2. Verify no horizontal scroll, no overflow</t>
        </is>
      </c>
      <c r="F19" s="5" t="inlineStr">
        <is>
          <t>No horizontal scroll at 320px</t>
        </is>
      </c>
      <c r="G19" s="6" t="inlineStr">
        <is>
          <t>P3</t>
        </is>
      </c>
      <c r="H19" s="6" t="inlineStr">
        <is>
          <t>Major</t>
        </is>
      </c>
      <c r="I19" s="6" t="inlineStr">
        <is>
          <t>Auto</t>
        </is>
      </c>
      <c r="J19" s="5" t="inlineStr">
        <is>
          <t>No automated check today — manual only.</t>
        </is>
      </c>
      <c r="K19" t="inlineStr">
        <is>
          <t>1h</t>
        </is>
      </c>
      <c r="L19" t="inlineStr">
        <is>
          <t>Web-performance engineer</t>
        </is>
      </c>
      <c r="M19" t="inlineStr">
        <is>
          <t>n/a — manual evaluation</t>
        </is>
      </c>
      <c r="O19" t="inlineStr">
        <is>
          <t>Not Yet Run</t>
        </is>
      </c>
      <c r="Q19" t="inlineStr">
        <is>
          <t>—</t>
        </is>
      </c>
      <c r="R19" t="inlineStr">
        <is>
          <t>0%</t>
        </is>
      </c>
    </row>
    <row r="20" ht="30" customHeight="1" s="40">
      <c r="A20" s="7" t="inlineStr">
        <is>
          <t>H-016</t>
        </is>
      </c>
      <c r="B20" s="5" t="inlineStr">
        <is>
          <t>Mobile-responsive</t>
        </is>
      </c>
      <c r="C20" s="6" t="inlineStr">
        <is>
          <t>50</t>
        </is>
      </c>
      <c r="D20" s="5" t="inlineStr">
        <is>
          <t>Portrait vs landscape orientation</t>
        </is>
      </c>
      <c r="E20" s="5" t="inlineStr">
        <is>
          <t>1. Rotate device during quiz
2. Verify state preserved + layout adapts</t>
        </is>
      </c>
      <c r="F20" s="5" t="inlineStr">
        <is>
          <t>Orientation change non-destructive</t>
        </is>
      </c>
      <c r="G20" s="6" t="inlineStr">
        <is>
          <t>P3</t>
        </is>
      </c>
      <c r="H20" s="6" t="inlineStr">
        <is>
          <t>Major</t>
        </is>
      </c>
      <c r="I20" s="6" t="inlineStr">
        <is>
          <t>Manual</t>
        </is>
      </c>
      <c r="J20" s="5" t="inlineStr">
        <is>
          <t>No automated check today — manual only.</t>
        </is>
      </c>
      <c r="K20" t="inlineStr">
        <is>
          <t>4h</t>
        </is>
      </c>
      <c r="L20" t="inlineStr">
        <is>
          <t>Web-performance engineer</t>
        </is>
      </c>
      <c r="M20" t="inlineStr">
        <is>
          <t>n/a — manual evaluation</t>
        </is>
      </c>
      <c r="O20" t="inlineStr">
        <is>
          <t>Not Yet Run</t>
        </is>
      </c>
      <c r="Q20" t="inlineStr">
        <is>
          <t>—</t>
        </is>
      </c>
      <c r="R20" t="inlineStr">
        <is>
          <t>0%</t>
        </is>
      </c>
    </row>
    <row r="21" ht="30" customHeight="1" s="40">
      <c r="A21" s="7" t="inlineStr">
        <is>
          <t>H-017</t>
        </is>
      </c>
      <c r="B21" s="5" t="inlineStr">
        <is>
          <t>Mobile-responsive</t>
        </is>
      </c>
      <c r="C21" s="6" t="inlineStr">
        <is>
          <t>50</t>
        </is>
      </c>
      <c r="D21" s="5" t="inlineStr">
        <is>
          <t>Notched-device safe-area handling (iPhone X+)</t>
        </is>
      </c>
      <c r="E21" s="5" t="inlineStr">
        <is>
          <t>1. Render on iPhone X simulator
2. Verify no content under notch / home indicator</t>
        </is>
      </c>
      <c r="F21" s="5" t="inlineStr">
        <is>
          <t>Safe-area respected</t>
        </is>
      </c>
      <c r="G21" s="6" t="inlineStr">
        <is>
          <t>P5</t>
        </is>
      </c>
      <c r="H21" s="6" t="inlineStr">
        <is>
          <t>Minor</t>
        </is>
      </c>
      <c r="I21" s="6" t="inlineStr">
        <is>
          <t>Manual</t>
        </is>
      </c>
      <c r="J21" s="5" t="inlineStr">
        <is>
          <t>No automated check today — manual only.</t>
        </is>
      </c>
      <c r="K21" t="inlineStr">
        <is>
          <t>4h</t>
        </is>
      </c>
      <c r="L21" t="inlineStr">
        <is>
          <t>Web-performance engineer</t>
        </is>
      </c>
      <c r="M21" t="inlineStr">
        <is>
          <t>n/a — manual evaluation</t>
        </is>
      </c>
      <c r="O21" t="inlineStr">
        <is>
          <t>Not Yet Run</t>
        </is>
      </c>
      <c r="Q21" t="inlineStr">
        <is>
          <t>—</t>
        </is>
      </c>
      <c r="R21" t="inlineStr">
        <is>
          <t>0%</t>
        </is>
      </c>
    </row>
    <row r="22" ht="30" customHeight="1" s="40">
      <c r="A22" s="7" t="inlineStr">
        <is>
          <t>H-018</t>
        </is>
      </c>
      <c r="B22" s="5" t="inlineStr">
        <is>
          <t>Font rendering</t>
        </is>
      </c>
      <c r="C22" s="6" t="inlineStr">
        <is>
          <t>51</t>
        </is>
      </c>
      <c r="D22" s="5" t="inlineStr">
        <is>
          <t>Noto Sans CJK availability fallback</t>
        </is>
      </c>
      <c r="E22" s="5" t="inlineStr">
        <is>
          <t>1. Simulate user without Noto fonts
2. Verify graceful fallback</t>
        </is>
      </c>
      <c r="F22" s="5" t="inlineStr">
        <is>
          <t>Fallback acceptable</t>
        </is>
      </c>
      <c r="G22" s="6" t="inlineStr">
        <is>
          <t>P5</t>
        </is>
      </c>
      <c r="H22" s="6" t="inlineStr">
        <is>
          <t>Minor</t>
        </is>
      </c>
      <c r="I22" s="6" t="inlineStr">
        <is>
          <t>Manual</t>
        </is>
      </c>
      <c r="J22" s="5" t="inlineStr">
        <is>
          <t>No automated check today — manual only.</t>
        </is>
      </c>
      <c r="K22" t="inlineStr">
        <is>
          <t>4h</t>
        </is>
      </c>
      <c r="L22" t="inlineStr">
        <is>
          <t>Web-performance engineer</t>
        </is>
      </c>
      <c r="M22" t="inlineStr">
        <is>
          <t>n/a — manual evaluation</t>
        </is>
      </c>
      <c r="O22" t="inlineStr">
        <is>
          <t>Not Yet Run</t>
        </is>
      </c>
      <c r="Q22" t="inlineStr">
        <is>
          <t>—</t>
        </is>
      </c>
      <c r="R22" t="inlineStr">
        <is>
          <t>0%</t>
        </is>
      </c>
    </row>
    <row r="23" ht="30" customHeight="1" s="40">
      <c r="A23" s="7" t="inlineStr">
        <is>
          <t>H-019</t>
        </is>
      </c>
      <c r="B23" s="5" t="inlineStr">
        <is>
          <t>Font rendering</t>
        </is>
      </c>
      <c r="C23" s="6" t="inlineStr">
        <is>
          <t>51</t>
        </is>
      </c>
      <c r="D23" s="5" t="inlineStr">
        <is>
          <t>Mixed-script line-height consistency</t>
        </is>
      </c>
      <c r="E23" s="5" t="inlineStr">
        <is>
          <t>1. Render lines with JA + HI + EN
2. Measure line-height variance</t>
        </is>
      </c>
      <c r="F23" s="5" t="inlineStr">
        <is>
          <t>Line-height consistent</t>
        </is>
      </c>
      <c r="G23" s="6" t="inlineStr">
        <is>
          <t>P5</t>
        </is>
      </c>
      <c r="H23" s="6" t="inlineStr">
        <is>
          <t>Minor</t>
        </is>
      </c>
      <c r="I23" s="6" t="inlineStr">
        <is>
          <t>Manual</t>
        </is>
      </c>
      <c r="J23" s="5" t="inlineStr">
        <is>
          <t>No automated check today — manual only.</t>
        </is>
      </c>
      <c r="K23" t="inlineStr">
        <is>
          <t>4h</t>
        </is>
      </c>
      <c r="L23" t="inlineStr">
        <is>
          <t>Web-performance engineer</t>
        </is>
      </c>
      <c r="M23" t="inlineStr">
        <is>
          <t>n/a — manual evaluation</t>
        </is>
      </c>
      <c r="O23" t="inlineStr">
        <is>
          <t>Not Yet Run</t>
        </is>
      </c>
      <c r="Q23" t="inlineStr">
        <is>
          <t>—</t>
        </is>
      </c>
      <c r="R23" t="inlineStr">
        <is>
          <t>0%</t>
        </is>
      </c>
    </row>
    <row r="24" ht="30" customHeight="1" s="40">
      <c r="A24" s="7" t="inlineStr">
        <is>
          <t>H-020</t>
        </is>
      </c>
      <c r="B24" s="5" t="inlineStr">
        <is>
          <t>i18n</t>
        </is>
      </c>
      <c r="C24" s="6" t="inlineStr">
        <is>
          <t>52</t>
        </is>
      </c>
      <c r="D24" s="5" t="inlineStr">
        <is>
          <t>Locale-switch state retention</t>
        </is>
      </c>
      <c r="E24" s="5" t="inlineStr">
        <is>
          <t>1. Mid-session HI ↔ EN toggle
2. Verify learner progress preserved</t>
        </is>
      </c>
      <c r="F24" s="5" t="inlineStr">
        <is>
          <t>State persists across toggle</t>
        </is>
      </c>
      <c r="G24" s="6" t="inlineStr">
        <is>
          <t>P3</t>
        </is>
      </c>
      <c r="H24" s="6" t="inlineStr">
        <is>
          <t>Major</t>
        </is>
      </c>
      <c r="I24" s="6" t="inlineStr">
        <is>
          <t>Manual</t>
        </is>
      </c>
      <c r="J24" s="5" t="inlineStr">
        <is>
          <t>No automated check today — manual only.</t>
        </is>
      </c>
      <c r="K24" t="inlineStr">
        <is>
          <t>4h</t>
        </is>
      </c>
      <c r="L24" t="inlineStr">
        <is>
          <t>Web-performance engineer</t>
        </is>
      </c>
      <c r="M24" t="inlineStr">
        <is>
          <t>n/a — manual evaluation</t>
        </is>
      </c>
      <c r="O24" t="inlineStr">
        <is>
          <t>Not Yet Run</t>
        </is>
      </c>
      <c r="Q24" t="inlineStr">
        <is>
          <t>—</t>
        </is>
      </c>
      <c r="R24" t="inlineStr">
        <is>
          <t>0%</t>
        </is>
      </c>
    </row>
    <row r="25" ht="30" customHeight="1" s="40">
      <c r="A25" s="7" t="inlineStr">
        <is>
          <t>H-021</t>
        </is>
      </c>
      <c r="B25" s="5" t="inlineStr">
        <is>
          <t>i18n</t>
        </is>
      </c>
      <c r="C25" s="6" t="inlineStr">
        <is>
          <t>52</t>
        </is>
      </c>
      <c r="D25" s="5" t="inlineStr">
        <is>
          <t>Text-expansion handling for Hindi (often 30% longer)</t>
        </is>
      </c>
      <c r="E25" s="5" t="inlineStr">
        <is>
          <t>1. Render UI in HI
2. Verify no truncation / overflow in buttons / labels</t>
        </is>
      </c>
      <c r="F25" s="5" t="inlineStr">
        <is>
          <t>0 truncated HI labels</t>
        </is>
      </c>
      <c r="G25" s="6" t="inlineStr">
        <is>
          <t>P3</t>
        </is>
      </c>
      <c r="H25" s="6" t="inlineStr">
        <is>
          <t>Major</t>
        </is>
      </c>
      <c r="I25" s="6" t="inlineStr">
        <is>
          <t>Manual</t>
        </is>
      </c>
      <c r="J25" s="5" t="inlineStr">
        <is>
          <t>No automated check today — manual only.</t>
        </is>
      </c>
      <c r="K25" t="inlineStr">
        <is>
          <t>4h</t>
        </is>
      </c>
      <c r="L25" t="inlineStr">
        <is>
          <t>Web-performance engineer</t>
        </is>
      </c>
      <c r="M25" t="inlineStr">
        <is>
          <t>n/a — manual evaluation</t>
        </is>
      </c>
      <c r="O25" t="inlineStr">
        <is>
          <t>Not Yet Run</t>
        </is>
      </c>
      <c r="Q25" t="inlineStr">
        <is>
          <t>—</t>
        </is>
      </c>
      <c r="R25" t="inlineStr">
        <is>
          <t>0%</t>
        </is>
      </c>
    </row>
    <row r="26" ht="30" customHeight="1" s="40">
      <c r="A26" s="7" t="inlineStr">
        <is>
          <t>H-022</t>
        </is>
      </c>
      <c r="B26" s="5" t="inlineStr">
        <is>
          <t>SEO</t>
        </is>
      </c>
      <c r="C26" s="6" t="inlineStr">
        <is>
          <t>53</t>
        </is>
      </c>
      <c r="D26" s="5" t="inlineStr">
        <is>
          <t>Sitemap.xml presence + accuracy</t>
        </is>
      </c>
      <c r="E26" s="5" t="inlineStr">
        <is>
          <t>1. Verify /sitemap.xml exists
2. Verify it includes all routes</t>
        </is>
      </c>
      <c r="F26" s="5" t="inlineStr">
        <is>
          <t>Sitemap accurate</t>
        </is>
      </c>
      <c r="G26" s="6" t="inlineStr">
        <is>
          <t>P5</t>
        </is>
      </c>
      <c r="H26" s="6" t="inlineStr">
        <is>
          <t>Minor</t>
        </is>
      </c>
      <c r="I26" s="6" t="inlineStr">
        <is>
          <t>Auto</t>
        </is>
      </c>
      <c r="J26" s="5" t="inlineStr">
        <is>
          <t>No automated check today — manual only.</t>
        </is>
      </c>
      <c r="K26" t="inlineStr">
        <is>
          <t>4h</t>
        </is>
      </c>
      <c r="L26" t="inlineStr">
        <is>
          <t>Web-performance engineer</t>
        </is>
      </c>
      <c r="M26" t="inlineStr">
        <is>
          <t>n/a — manual evaluation</t>
        </is>
      </c>
      <c r="O26" t="inlineStr">
        <is>
          <t>Not Yet Run</t>
        </is>
      </c>
      <c r="Q26" t="inlineStr">
        <is>
          <t>—</t>
        </is>
      </c>
      <c r="R26" t="inlineStr">
        <is>
          <t>0%</t>
        </is>
      </c>
    </row>
    <row r="27" ht="30" customHeight="1" s="40">
      <c r="A27" s="7" t="inlineStr">
        <is>
          <t>H-023</t>
        </is>
      </c>
      <c r="B27" s="5" t="inlineStr">
        <is>
          <t>SEO</t>
        </is>
      </c>
      <c r="C27" s="6" t="inlineStr">
        <is>
          <t>53</t>
        </is>
      </c>
      <c r="D27" s="5" t="inlineStr">
        <is>
          <t>Per-page meta-description + Open Graph tags</t>
        </is>
      </c>
      <c r="E27" s="5" t="inlineStr">
        <is>
          <t>1. Inspect each route's &lt;head&gt;
2. Verify unique meta-description + og:title / og:image</t>
        </is>
      </c>
      <c r="F27" s="5" t="inlineStr">
        <is>
          <t>Meta complete per route</t>
        </is>
      </c>
      <c r="G27" s="6" t="inlineStr">
        <is>
          <t>P5</t>
        </is>
      </c>
      <c r="H27" s="6" t="inlineStr">
        <is>
          <t>Minor</t>
        </is>
      </c>
      <c r="I27" s="6" t="inlineStr">
        <is>
          <t>Auto</t>
        </is>
      </c>
      <c r="J27" s="5" t="inlineStr">
        <is>
          <t>No automated check today — manual only.</t>
        </is>
      </c>
      <c r="K27" t="inlineStr">
        <is>
          <t>4h</t>
        </is>
      </c>
      <c r="L27" t="inlineStr">
        <is>
          <t>Web-performance engineer</t>
        </is>
      </c>
      <c r="M27" t="inlineStr">
        <is>
          <t>n/a — manual evaluation</t>
        </is>
      </c>
      <c r="O27" t="inlineStr">
        <is>
          <t>Not Yet Run</t>
        </is>
      </c>
      <c r="Q27" t="inlineStr">
        <is>
          <t>—</t>
        </is>
      </c>
      <c r="R27" t="inlineStr">
        <is>
          <t>0%</t>
        </is>
      </c>
    </row>
    <row r="28" ht="30" customHeight="1" s="40">
      <c r="A28" s="7" t="inlineStr">
        <is>
          <t>H-024</t>
        </is>
      </c>
      <c r="B28" s="5" t="inlineStr">
        <is>
          <t>SEO</t>
        </is>
      </c>
      <c r="C28" s="6" t="inlineStr">
        <is>
          <t>53</t>
        </is>
      </c>
      <c r="D28" s="5" t="inlineStr">
        <is>
          <t>Canonical-URL handling</t>
        </is>
      </c>
      <c r="E28" s="5" t="inlineStr">
        <is>
          <t>1. Verify &lt;link rel='canonical'&gt; on each route
2. Verify trailing-slash handling</t>
        </is>
      </c>
      <c r="F28" s="5" t="inlineStr">
        <is>
          <t>Canonical URLs correct</t>
        </is>
      </c>
      <c r="G28" s="6" t="inlineStr">
        <is>
          <t>P5</t>
        </is>
      </c>
      <c r="H28" s="6" t="inlineStr">
        <is>
          <t>Minor</t>
        </is>
      </c>
      <c r="I28" s="6" t="inlineStr">
        <is>
          <t>Auto</t>
        </is>
      </c>
      <c r="J28" s="5" t="inlineStr">
        <is>
          <t>No automated check today — manual only.</t>
        </is>
      </c>
      <c r="K28" t="inlineStr">
        <is>
          <t>4h</t>
        </is>
      </c>
      <c r="L28" t="inlineStr">
        <is>
          <t>Web-performance engineer</t>
        </is>
      </c>
      <c r="M28" t="inlineStr">
        <is>
          <t>n/a — manual evaluation</t>
        </is>
      </c>
      <c r="O28" t="inlineStr">
        <is>
          <t>Not Yet Run</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40" min="1" max="1"/>
    <col width="19.08984375" customWidth="1" style="40" min="2" max="2"/>
    <col width="9.08984375" customWidth="1" style="40" min="3" max="3"/>
    <col width="43.6328125" customWidth="1" style="40" min="4" max="4"/>
    <col width="50.90625" customWidth="1" style="40" min="5" max="5"/>
    <col width="40" customWidth="1" style="40" min="6" max="6"/>
    <col width="14.54296875" customWidth="1" style="40" min="7" max="7"/>
    <col width="16.36328125" customWidth="1" style="40" min="8" max="8"/>
    <col width="14.54296875" customWidth="1" style="40" min="9" max="9"/>
    <col width="32.7265625" customWidth="1" style="40" min="10" max="10"/>
    <col width="16" customWidth="1" style="40" min="11" max="11"/>
    <col width="24" customWidth="1" style="40" min="12" max="12"/>
    <col width="32" customWidth="1" style="40" min="13" max="13"/>
    <col width="14" customWidth="1" style="40" min="14" max="15"/>
    <col width="18" customWidth="1" style="40" min="16" max="16"/>
    <col width="16" customWidth="1" style="40" min="17" max="17"/>
    <col width="12" customWidth="1" style="40" min="18" max="18"/>
  </cols>
  <sheetData>
    <row r="1" ht="28" customHeight="1" s="40">
      <c r="A1" s="39" t="inlineStr">
        <is>
          <t>I. Data engineering</t>
        </is>
      </c>
    </row>
    <row r="2" ht="36" customHeight="1" s="40">
      <c r="A2" s="42" t="inlineStr">
        <is>
          <t>Perspectives: Schema validation, schema versioning, CACHE_VERSION, backup, build/CI (perspectives 54-57)</t>
        </is>
      </c>
    </row>
    <row r="4" ht="24" customHeight="1" s="40">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0">
      <c r="A5" s="7" t="inlineStr">
        <is>
          <t>I-001</t>
        </is>
      </c>
      <c r="B5" s="5" t="inlineStr">
        <is>
          <t>Schema validation</t>
        </is>
      </c>
      <c r="C5" s="6" t="inlineStr">
        <is>
          <t>54</t>
        </is>
      </c>
      <c r="D5" s="5" t="inlineStr">
        <is>
          <t>JSON-schema validation for all data/*.json beyond CI invariants</t>
        </is>
      </c>
      <c r="E5" s="5" t="inlineStr">
        <is>
          <t>1. Write formal JSON-schema for each file
2. Run validator on every release</t>
        </is>
      </c>
      <c r="F5" s="5" t="inlineStr">
        <is>
          <t>All files validate</t>
        </is>
      </c>
      <c r="G5" s="6" t="inlineStr">
        <is>
          <t>P3</t>
        </is>
      </c>
      <c r="H5" s="6" t="inlineStr">
        <is>
          <t>Major</t>
        </is>
      </c>
      <c r="I5" s="6" t="inlineStr">
        <is>
          <t>Auto</t>
        </is>
      </c>
      <c r="J5" s="5"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O5" t="inlineStr">
        <is>
          <t>Not Yet Run</t>
        </is>
      </c>
      <c r="Q5" t="inlineStr">
        <is>
          <t>—</t>
        </is>
      </c>
      <c r="R5" t="inlineStr">
        <is>
          <t>0%</t>
        </is>
      </c>
    </row>
    <row r="6" ht="30" customHeight="1" s="40">
      <c r="A6" s="7" t="inlineStr">
        <is>
          <t>I-002</t>
        </is>
      </c>
      <c r="B6" s="5" t="inlineStr">
        <is>
          <t>Schema validation</t>
        </is>
      </c>
      <c r="C6" s="6" t="inlineStr">
        <is>
          <t>54</t>
        </is>
      </c>
      <c r="D6" s="5" t="inlineStr">
        <is>
          <t>Field-presence invariants for new fields</t>
        </is>
      </c>
      <c r="E6" s="5" t="inlineStr">
        <is>
          <t>1. When new field added, ensure presence-check invariant in tools/check_content_integrity.py</t>
        </is>
      </c>
      <c r="F6" s="5" t="inlineStr">
        <is>
          <t>New fields locked</t>
        </is>
      </c>
      <c r="G6" s="6" t="inlineStr">
        <is>
          <t>P3</t>
        </is>
      </c>
      <c r="H6" s="6" t="inlineStr">
        <is>
          <t>Major</t>
        </is>
      </c>
      <c r="I6" s="6" t="inlineStr">
        <is>
          <t>Manual</t>
        </is>
      </c>
      <c r="J6" s="5" t="inlineStr">
        <is>
          <t>Discipline check | Related: BUG-016 (transitivity field-coverage gap) — JA-98 + A-039 new; BUG-012 (review_status provenance) — JA-35 + I-018 new.</t>
        </is>
      </c>
      <c r="K6" t="inlineStr">
        <is>
          <t>4h</t>
        </is>
      </c>
      <c r="L6" t="inlineStr">
        <is>
          <t>Data engineer</t>
        </is>
      </c>
      <c r="M6" t="inlineStr">
        <is>
          <t>n/a — manual evaluation</t>
        </is>
      </c>
      <c r="O6" t="inlineStr">
        <is>
          <t>Not Yet Run</t>
        </is>
      </c>
      <c r="Q6" t="inlineStr">
        <is>
          <t>—</t>
        </is>
      </c>
      <c r="R6" t="inlineStr">
        <is>
          <t>0%</t>
        </is>
      </c>
    </row>
    <row r="7" ht="30" customHeight="1" s="40">
      <c r="A7" s="7" t="inlineStr">
        <is>
          <t>I-003</t>
        </is>
      </c>
      <c r="B7" s="5" t="inlineStr">
        <is>
          <t>Schema validation</t>
        </is>
      </c>
      <c r="C7" s="6" t="inlineStr">
        <is>
          <t>54</t>
        </is>
      </c>
      <c r="D7" s="5" t="inlineStr">
        <is>
          <t>Cross-corpus FK integrity (vocab_id, grammarPatternId, kbSourceId)</t>
        </is>
      </c>
      <c r="E7" s="5" t="inlineStr">
        <is>
          <t>1. Wave-1 covers vocab_id + grammarPatternId
2. Add kbSourceId check</t>
        </is>
      </c>
      <c r="F7" s="5" t="inlineStr">
        <is>
          <t>All FKs resolve</t>
        </is>
      </c>
      <c r="G7" s="6" t="inlineStr">
        <is>
          <t>P3</t>
        </is>
      </c>
      <c r="H7" s="6" t="inlineStr">
        <is>
          <t>Major</t>
        </is>
      </c>
      <c r="I7" s="6" t="inlineStr">
        <is>
          <t>Auto</t>
        </is>
      </c>
      <c r="J7" s="5" t="inlineStr">
        <is>
          <t>AUDIT-COVERAGE lists kbSourceId as not-yet-CI-enforced | Related: BUG-020/023 (kanji.json ↔ vocab.json form drift) — JA-100 + I-020 new.</t>
        </is>
      </c>
      <c r="K7" t="inlineStr">
        <is>
          <t>4h</t>
        </is>
      </c>
      <c r="L7" t="inlineStr">
        <is>
          <t>Data engineer</t>
        </is>
      </c>
      <c r="M7" t="inlineStr">
        <is>
          <t>n/a — manual evaluation</t>
        </is>
      </c>
      <c r="O7" t="inlineStr">
        <is>
          <t>Not Yet Run</t>
        </is>
      </c>
      <c r="Q7" t="inlineStr">
        <is>
          <t>—</t>
        </is>
      </c>
      <c r="R7" t="inlineStr">
        <is>
          <t>0%</t>
        </is>
      </c>
    </row>
    <row r="8" ht="30" customHeight="1" s="40">
      <c r="A8" s="7" t="inlineStr">
        <is>
          <t>I-004</t>
        </is>
      </c>
      <c r="B8" s="5" t="inlineStr">
        <is>
          <t>Schema versioning</t>
        </is>
      </c>
      <c r="C8" s="6" t="inlineStr">
        <is>
          <t>55</t>
        </is>
      </c>
      <c r="D8" s="5" t="inlineStr">
        <is>
          <t>Schema-version field per data file</t>
        </is>
      </c>
      <c r="E8" s="5" t="inlineStr">
        <is>
          <t>1. Add `_meta.schema_version` to each data/*.json
2. Bump on migration</t>
        </is>
      </c>
      <c r="F8" s="5" t="inlineStr">
        <is>
          <t>All files versioned</t>
        </is>
      </c>
      <c r="G8" s="6" t="inlineStr">
        <is>
          <t>P3</t>
        </is>
      </c>
      <c r="H8" s="6" t="inlineStr">
        <is>
          <t>Major</t>
        </is>
      </c>
      <c r="I8" s="6" t="inlineStr">
        <is>
          <t>Manual</t>
        </is>
      </c>
      <c r="J8" s="5" t="inlineStr">
        <is>
          <t>No automated check today — manual only.</t>
        </is>
      </c>
      <c r="K8" t="inlineStr">
        <is>
          <t>4h</t>
        </is>
      </c>
      <c r="L8" t="inlineStr">
        <is>
          <t>Data engineer</t>
        </is>
      </c>
      <c r="M8" t="inlineStr">
        <is>
          <t>n/a — manual evaluation</t>
        </is>
      </c>
      <c r="O8" t="inlineStr">
        <is>
          <t>Not Yet Run</t>
        </is>
      </c>
      <c r="Q8" t="inlineStr">
        <is>
          <t>—</t>
        </is>
      </c>
      <c r="R8" t="inlineStr">
        <is>
          <t>0%</t>
        </is>
      </c>
    </row>
    <row r="9" ht="30" customHeight="1" s="40">
      <c r="A9" s="7" t="inlineStr">
        <is>
          <t>I-005</t>
        </is>
      </c>
      <c r="B9" s="5" t="inlineStr">
        <is>
          <t>Schema versioning</t>
        </is>
      </c>
      <c r="C9" s="6" t="inlineStr">
        <is>
          <t>55</t>
        </is>
      </c>
      <c r="D9" s="5" t="inlineStr">
        <is>
          <t>Migration script presence for past version bumps</t>
        </is>
      </c>
      <c r="E9" s="5" t="inlineStr">
        <is>
          <t>1. Audit any past migration
2. Verify reversible migration script exists</t>
        </is>
      </c>
      <c r="F9" s="5" t="inlineStr">
        <is>
          <t>Migrations documented + reversible</t>
        </is>
      </c>
      <c r="G9" s="6" t="inlineStr">
        <is>
          <t>P4</t>
        </is>
      </c>
      <c r="H9" s="6" t="inlineStr">
        <is>
          <t>Minor</t>
        </is>
      </c>
      <c r="I9" s="6" t="inlineStr">
        <is>
          <t>Manual</t>
        </is>
      </c>
      <c r="J9" s="5" t="inlineStr">
        <is>
          <t>No automated check today — manual only.</t>
        </is>
      </c>
      <c r="K9" t="inlineStr">
        <is>
          <t>4h</t>
        </is>
      </c>
      <c r="L9" t="inlineStr">
        <is>
          <t>Data engineer</t>
        </is>
      </c>
      <c r="M9" t="inlineStr">
        <is>
          <t>n/a — manual evaluation</t>
        </is>
      </c>
      <c r="O9" t="inlineStr">
        <is>
          <t>Not Yet Run</t>
        </is>
      </c>
      <c r="Q9" t="inlineStr">
        <is>
          <t>—</t>
        </is>
      </c>
      <c r="R9" t="inlineStr">
        <is>
          <t>0%</t>
        </is>
      </c>
    </row>
    <row r="10" ht="30" customHeight="1" s="40">
      <c r="A10" s="7" t="inlineStr">
        <is>
          <t>I-006</t>
        </is>
      </c>
      <c r="B10" s="5" t="inlineStr">
        <is>
          <t>CACHE_VERSION</t>
        </is>
      </c>
      <c r="C10" s="6" t="inlineStr">
        <is>
          <t>55</t>
        </is>
      </c>
      <c r="D10" s="5" t="inlineStr">
        <is>
          <t>CACHE_VERSION bump discipline</t>
        </is>
      </c>
      <c r="E10" s="5" t="inlineStr">
        <is>
          <t>1. On any data/*.json change, verify CACHE_VERSION bumped
2. Verify version.json updated</t>
        </is>
      </c>
      <c r="F10" s="5" t="inlineStr">
        <is>
          <t>Cache-bust on data changes</t>
        </is>
      </c>
      <c r="G10" s="6" t="inlineStr">
        <is>
          <t>P3</t>
        </is>
      </c>
      <c r="H10" s="6" t="inlineStr">
        <is>
          <t>Major</t>
        </is>
      </c>
      <c r="I10" s="6" t="inlineStr">
        <is>
          <t>Manual</t>
        </is>
      </c>
      <c r="J10" s="5" t="inlineStr">
        <is>
          <t>Procedure manual codifies this</t>
        </is>
      </c>
      <c r="K10" t="inlineStr">
        <is>
          <t>4h</t>
        </is>
      </c>
      <c r="L10" t="inlineStr">
        <is>
          <t>Data engineer</t>
        </is>
      </c>
      <c r="M10" t="inlineStr">
        <is>
          <t>n/a — manual evaluation</t>
        </is>
      </c>
      <c r="O10" t="inlineStr">
        <is>
          <t>Not Yet Run</t>
        </is>
      </c>
      <c r="Q10" t="inlineStr">
        <is>
          <t>—</t>
        </is>
      </c>
      <c r="R10" t="inlineStr">
        <is>
          <t>0%</t>
        </is>
      </c>
    </row>
    <row r="11" ht="35" customHeight="1" s="40">
      <c r="A11" s="7" t="inlineStr">
        <is>
          <t>I-007</t>
        </is>
      </c>
      <c r="B11" s="5" t="inlineStr">
        <is>
          <t>Backup</t>
        </is>
      </c>
      <c r="C11" s="6" t="inlineStr">
        <is>
          <t>56</t>
        </is>
      </c>
      <c r="D11" s="5" t="inlineStr">
        <is>
          <t>data/*.json.bak_* policy adherence</t>
        </is>
      </c>
      <c r="E11" s="5" t="inlineStr">
        <is>
          <t>1. Verify backup files never overwritten (versioned _v2, _v3)
2. Verify backup naming convention enforced</t>
        </is>
      </c>
      <c r="F11" s="5" t="inlineStr">
        <is>
          <t>Backup discipline followed</t>
        </is>
      </c>
      <c r="G11" s="6" t="inlineStr">
        <is>
          <t>P3</t>
        </is>
      </c>
      <c r="H11" s="6" t="inlineStr">
        <is>
          <t>Major</t>
        </is>
      </c>
      <c r="I11" s="6" t="inlineStr">
        <is>
          <t>Manual</t>
        </is>
      </c>
      <c r="J11" s="5" t="inlineStr">
        <is>
          <t>Project-CLAUDE.md backup policy</t>
        </is>
      </c>
      <c r="K11" t="inlineStr">
        <is>
          <t>4h</t>
        </is>
      </c>
      <c r="L11" t="inlineStr">
        <is>
          <t>Data engineer</t>
        </is>
      </c>
      <c r="M11" t="inlineStr">
        <is>
          <t>n/a — manual evaluation</t>
        </is>
      </c>
      <c r="O11" t="inlineStr">
        <is>
          <t>Not Yet Run</t>
        </is>
      </c>
      <c r="Q11" t="inlineStr">
        <is>
          <t>—</t>
        </is>
      </c>
      <c r="R11" t="inlineStr">
        <is>
          <t>0%</t>
        </is>
      </c>
    </row>
    <row r="12" ht="30" customHeight="1" s="40">
      <c r="A12" s="7" t="inlineStr">
        <is>
          <t>I-008</t>
        </is>
      </c>
      <c r="B12" s="5" t="inlineStr">
        <is>
          <t>Backup</t>
        </is>
      </c>
      <c r="C12" s="6" t="inlineStr">
        <is>
          <t>56</t>
        </is>
      </c>
      <c r="D12" s="5" t="inlineStr">
        <is>
          <t>Repo-level disaster recovery (release-bundle workaround)</t>
        </is>
      </c>
      <c r="E12" s="5" t="inlineStr">
        <is>
          <t>1. Verify backup-bundle release exists
2. Verify it can restore the repo</t>
        </is>
      </c>
      <c r="F12" s="5" t="inlineStr">
        <is>
          <t>DR procedure works</t>
        </is>
      </c>
      <c r="G12" s="6" t="inlineStr">
        <is>
          <t>P4</t>
        </is>
      </c>
      <c r="H12" s="6" t="inlineStr">
        <is>
          <t>Major</t>
        </is>
      </c>
      <c r="I12" s="6" t="inlineStr">
        <is>
          <t>Manual</t>
        </is>
      </c>
      <c r="J12" s="5" t="inlineStr">
        <is>
          <t>No automated check today — manual only.</t>
        </is>
      </c>
      <c r="K12" t="inlineStr">
        <is>
          <t>4h</t>
        </is>
      </c>
      <c r="L12" t="inlineStr">
        <is>
          <t>Data engineer</t>
        </is>
      </c>
      <c r="M12" t="inlineStr">
        <is>
          <t>n/a — manual evaluation</t>
        </is>
      </c>
      <c r="O12" t="inlineStr">
        <is>
          <t>Not Yet Run</t>
        </is>
      </c>
      <c r="Q12" t="inlineStr">
        <is>
          <t>—</t>
        </is>
      </c>
      <c r="R12" t="inlineStr">
        <is>
          <t>0%</t>
        </is>
      </c>
    </row>
    <row r="13" ht="30" customHeight="1" s="40">
      <c r="A13" s="7" t="inlineStr">
        <is>
          <t>I-009</t>
        </is>
      </c>
      <c r="B13" s="5" t="inlineStr">
        <is>
          <t>Build / CI</t>
        </is>
      </c>
      <c r="C13" s="6" t="inlineStr">
        <is>
          <t>57</t>
        </is>
      </c>
      <c r="D13" s="5" t="inlineStr">
        <is>
          <t>tools/check_content_integrity.py runs in CI on every PR</t>
        </is>
      </c>
      <c r="E13" s="5" t="inlineStr">
        <is>
          <t>1. Inspect .github/workflows/
2. Verify CI runs the script</t>
        </is>
      </c>
      <c r="F13" s="5" t="inlineStr">
        <is>
          <t>CI runs integrity check</t>
        </is>
      </c>
      <c r="G13" s="6" t="inlineStr">
        <is>
          <t>P1</t>
        </is>
      </c>
      <c r="H13" s="6" t="inlineStr">
        <is>
          <t>Critical</t>
        </is>
      </c>
      <c r="I13" s="6" t="inlineStr">
        <is>
          <t>Auto</t>
        </is>
      </c>
      <c r="J13" s="5" t="inlineStr">
        <is>
          <t>[BUG-026] Critical severity (CI on every PR) → P1 priority post-remap.</t>
        </is>
      </c>
      <c r="K13" t="inlineStr">
        <is>
          <t>4h</t>
        </is>
      </c>
      <c r="L13" t="inlineStr">
        <is>
          <t>Data engineer</t>
        </is>
      </c>
      <c r="M13" t="inlineStr">
        <is>
          <t>n/a — manual evaluation</t>
        </is>
      </c>
      <c r="O13" t="inlineStr">
        <is>
          <t>Not Yet Run</t>
        </is>
      </c>
      <c r="Q13" t="inlineStr">
        <is>
          <t>—</t>
        </is>
      </c>
      <c r="R13" t="inlineStr">
        <is>
          <t>0%</t>
        </is>
      </c>
    </row>
    <row r="14" ht="30" customHeight="1" s="40">
      <c r="A14" s="7" t="inlineStr">
        <is>
          <t>I-010</t>
        </is>
      </c>
      <c r="B14" s="5" t="inlineStr">
        <is>
          <t>Build / CI</t>
        </is>
      </c>
      <c r="C14" s="6" t="inlineStr">
        <is>
          <t>57</t>
        </is>
      </c>
      <c r="D14" s="5" t="inlineStr">
        <is>
          <t>Determinism: same input → same output across machines</t>
        </is>
      </c>
      <c r="E14" s="5" t="inlineStr">
        <is>
          <t>1. Run build on two machines
2. Verify byte-identical output</t>
        </is>
      </c>
      <c r="F14" s="5" t="inlineStr">
        <is>
          <t>Deterministic build</t>
        </is>
      </c>
      <c r="G14" s="6" t="inlineStr">
        <is>
          <t>P5</t>
        </is>
      </c>
      <c r="H14" s="6" t="inlineStr">
        <is>
          <t>Minor</t>
        </is>
      </c>
      <c r="I14" s="6" t="inlineStr">
        <is>
          <t>Manual</t>
        </is>
      </c>
      <c r="J14" s="5" t="inlineStr">
        <is>
          <t>No automated check today — manual only.</t>
        </is>
      </c>
      <c r="K14" t="inlineStr">
        <is>
          <t>4h</t>
        </is>
      </c>
      <c r="L14" t="inlineStr">
        <is>
          <t>Data engineer</t>
        </is>
      </c>
      <c r="M14" t="inlineStr">
        <is>
          <t>n/a — manual evaluation</t>
        </is>
      </c>
      <c r="O14" t="inlineStr">
        <is>
          <t>Not Yet Run</t>
        </is>
      </c>
      <c r="Q14" t="inlineStr">
        <is>
          <t>—</t>
        </is>
      </c>
      <c r="R14" t="inlineStr">
        <is>
          <t>0%</t>
        </is>
      </c>
    </row>
    <row r="15" ht="30" customHeight="1" s="40">
      <c r="A15" s="7" t="inlineStr">
        <is>
          <t>I-011</t>
        </is>
      </c>
      <c r="B15" s="5" t="inlineStr">
        <is>
          <t>Build / CI</t>
        </is>
      </c>
      <c r="C15" s="6" t="inlineStr">
        <is>
          <t>57</t>
        </is>
      </c>
      <c r="D15" s="5" t="inlineStr">
        <is>
          <t>CI runtime budget (build + tests &lt; 5 min)</t>
        </is>
      </c>
      <c r="E15" s="5" t="inlineStr">
        <is>
          <t>1. Measure CI duration
2. Verify under budget</t>
        </is>
      </c>
      <c r="F15" s="5" t="inlineStr">
        <is>
          <t>CI fast</t>
        </is>
      </c>
      <c r="G15" s="6" t="inlineStr">
        <is>
          <t>P5</t>
        </is>
      </c>
      <c r="H15" s="6" t="inlineStr">
        <is>
          <t>Minor</t>
        </is>
      </c>
      <c r="I15" s="6" t="inlineStr">
        <is>
          <t>Auto</t>
        </is>
      </c>
      <c r="J15" s="5" t="inlineStr">
        <is>
          <t>No automated check today — manual only.</t>
        </is>
      </c>
      <c r="K15" t="inlineStr">
        <is>
          <t>4h</t>
        </is>
      </c>
      <c r="L15" t="inlineStr">
        <is>
          <t>Data engineer</t>
        </is>
      </c>
      <c r="M15" t="inlineStr">
        <is>
          <t>n/a — manual evaluation</t>
        </is>
      </c>
      <c r="O15" t="inlineStr">
        <is>
          <t>Not Yet Run</t>
        </is>
      </c>
      <c r="Q15" t="inlineStr">
        <is>
          <t>—</t>
        </is>
      </c>
      <c r="R15" t="inlineStr">
        <is>
          <t>0%</t>
        </is>
      </c>
    </row>
    <row r="16" ht="30" customHeight="1" s="40">
      <c r="A16" s="7" t="inlineStr">
        <is>
          <t>I-012</t>
        </is>
      </c>
      <c r="B16" s="5" t="inlineStr">
        <is>
          <t>Versioning</t>
        </is>
      </c>
      <c r="C16" s="6" t="inlineStr">
        <is>
          <t>55</t>
        </is>
      </c>
      <c r="D16" s="5" t="inlineStr">
        <is>
          <t>Audit-coverage doc dated correctly + reflecting current commit</t>
        </is>
      </c>
      <c r="E16" s="5" t="inlineStr">
        <is>
          <t>1. Open AUDIT-COVERAGE-YYYY-MM-DD.md
2. Verify date matches last data-change commit</t>
        </is>
      </c>
      <c r="F16" s="5" t="inlineStr">
        <is>
          <t>Coverage doc current</t>
        </is>
      </c>
      <c r="G16" s="6" t="inlineStr">
        <is>
          <t>P4</t>
        </is>
      </c>
      <c r="H16" s="6" t="inlineStr">
        <is>
          <t>Minor</t>
        </is>
      </c>
      <c r="I16" s="6" t="inlineStr">
        <is>
          <t>Manual</t>
        </is>
      </c>
      <c r="J16" s="5" t="inlineStr">
        <is>
          <t>Data-engineering check; complements JA-82 (`_meta` resolution). No automated check beyond JA-82 today.</t>
        </is>
      </c>
      <c r="K16" t="inlineStr">
        <is>
          <t>4h</t>
        </is>
      </c>
      <c r="L16" t="inlineStr">
        <is>
          <t>Data engineer</t>
        </is>
      </c>
      <c r="M16" t="inlineStr">
        <is>
          <t>n/a — manual evaluation</t>
        </is>
      </c>
      <c r="O16" t="inlineStr">
        <is>
          <t>Not Yet Run</t>
        </is>
      </c>
      <c r="Q16" t="inlineStr">
        <is>
          <t>—</t>
        </is>
      </c>
      <c r="R16" t="inlineStr">
        <is>
          <t>0%</t>
        </is>
      </c>
    </row>
    <row r="17" ht="87" customHeight="1" s="40">
      <c r="A17" s="18" t="inlineStr">
        <is>
          <t>I-016</t>
        </is>
      </c>
      <c r="B17" s="18" t="inlineStr">
        <is>
          <t>Restore drill</t>
        </is>
      </c>
      <c r="C17" s="18" t="inlineStr">
        <is>
          <t>2</t>
        </is>
      </c>
      <c r="D17" s="18" t="inlineStr">
        <is>
          <t>Restore drill — corrupt or wipe localStorage / IndexedDB, verify recovery / non-fatality</t>
        </is>
      </c>
      <c r="E17" s="18" t="inlineStr">
        <is>
          <t>1. From an installed session with prior progress, manually corrupt localStorage in DevTools.
2. Reload app.
3. Verify: (a) app launches without crash; (b) corrupted state is detected and reset; (c) user is informed once; (d) no further interruption.</t>
        </is>
      </c>
      <c r="F17" s="18" t="inlineStr">
        <is>
          <t>App recovers gracefully; corruption is detected and reset; user sees a one-time notice.</t>
        </is>
      </c>
      <c r="G17" s="18" t="inlineStr">
        <is>
          <t>P3</t>
        </is>
      </c>
      <c r="H17" s="18" t="inlineStr">
        <is>
          <t>Major</t>
        </is>
      </c>
      <c r="I17" s="18" t="inlineStr">
        <is>
          <t>Manual</t>
        </is>
      </c>
      <c r="J17" s="18" t="inlineStr">
        <is>
          <t>[BUG-032 new] Coverage gap. Same class as service-worker stale-cache recovery.</t>
        </is>
      </c>
      <c r="K17" s="18" t="inlineStr">
        <is>
          <t>4h</t>
        </is>
      </c>
      <c r="L17" s="18" t="inlineStr">
        <is>
          <t>Data engineer + QA tester</t>
        </is>
      </c>
      <c r="M17" s="18" t="inlineStr">
        <is>
          <t>Browser DevTools + manual interaction</t>
        </is>
      </c>
      <c r="N17" s="18" t="n"/>
      <c r="O17" s="18" t="inlineStr">
        <is>
          <t>Not Yet Run</t>
        </is>
      </c>
      <c r="P17" s="18" t="n"/>
      <c r="Q17" s="18" t="inlineStr">
        <is>
          <t>—</t>
        </is>
      </c>
      <c r="R17" s="18" t="inlineStr">
        <is>
          <t>0%</t>
        </is>
      </c>
    </row>
    <row r="18" ht="72.5" customHeight="1" s="40">
      <c r="A18" s="18" t="inlineStr">
        <is>
          <t>I-017</t>
        </is>
      </c>
      <c r="B18" s="18" t="inlineStr">
        <is>
          <t>Schema canonicalization</t>
        </is>
      </c>
      <c r="C18" s="18" t="inlineStr">
        <is>
          <t>1</t>
        </is>
      </c>
      <c r="D18" s="18" t="inlineStr">
        <is>
          <t>vocab.json counter field is canonical (null OR {kanji, reading} dict); counter_register null (JA-97)</t>
        </is>
      </c>
      <c r="E18" s="18" t="inlineStr">
        <is>
          <t>1. Run tools/check_content_integrity.py JA-97.
2. Pass: 0 entries with non-canonical counter shape.
3. Reference: BUG-015 (3 inconsistent types pre-fix) + F.21.2.</t>
        </is>
      </c>
      <c r="F18" s="18" t="inlineStr">
        <is>
          <t>JA-97 PASS — counter shape uniform across 995 vocab entries.</t>
        </is>
      </c>
      <c r="G18" s="18" t="inlineStr">
        <is>
          <t>P2</t>
        </is>
      </c>
      <c r="H18" s="18" t="inlineStr">
        <is>
          <t>Major</t>
        </is>
      </c>
      <c r="I18" s="18" t="inlineStr">
        <is>
          <t>Auto</t>
        </is>
      </c>
      <c r="J18" s="18" t="inlineStr">
        <is>
          <t>Locked by JA-97. The 16 counter-word metadata entries (一つ/二つ/etc) use the isolated `counter_word_metadata` field, not counter_register.</t>
        </is>
      </c>
      <c r="K18" s="18" t="inlineStr">
        <is>
          <t>1h</t>
        </is>
      </c>
      <c r="L18" s="18" t="inlineStr">
        <is>
          <t>Data engineer</t>
        </is>
      </c>
      <c r="M18" s="18" t="inlineStr">
        <is>
          <t>tools/check_content_integrity.py (JA-97)</t>
        </is>
      </c>
      <c r="N18" s="18" t="n"/>
      <c r="O18" s="18" t="inlineStr">
        <is>
          <t>Not Yet Run</t>
        </is>
      </c>
      <c r="P18" s="18" t="n"/>
      <c r="Q18" s="18" t="inlineStr">
        <is>
          <t>—</t>
        </is>
      </c>
      <c r="R18" s="18" t="inlineStr">
        <is>
          <t>0%</t>
        </is>
      </c>
    </row>
    <row r="19" ht="101.5" customHeight="1" s="40">
      <c r="A19" s="18" t="inlineStr">
        <is>
          <t>I-018</t>
        </is>
      </c>
      <c r="B19" s="18" t="inlineStr">
        <is>
          <t>Provenance disambiguation</t>
        </is>
      </c>
      <c r="C19" s="18" t="inlineStr">
        <is>
          <t>2</t>
        </is>
      </c>
      <c r="D19" s="18" t="inlineStr">
        <is>
          <t>review_status from closed enum {ai_quality_reviewed, llm_curated, auto_generated, human_native_reviewed}; provenance field present (JA-35)</t>
        </is>
      </c>
      <c r="E19" s="18"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18" t="inlineStr">
        <is>
          <t>JA-35 PASS; 100% of items also have review_status_provenance.</t>
        </is>
      </c>
      <c r="G19" s="18" t="inlineStr">
        <is>
          <t>P2</t>
        </is>
      </c>
      <c r="H19" s="18" t="inlineStr">
        <is>
          <t>Major</t>
        </is>
      </c>
      <c r="I19" s="18" t="inlineStr">
        <is>
          <t>Auto</t>
        </is>
      </c>
      <c r="J19" s="18" t="inlineStr">
        <is>
          <t>Locked by JA-35 (extended enum). Phase-0 A58 in N5Improvement.txt catches retired-value regression. Reserved future value `human_native_reviewed` for actual native-human review pass.</t>
        </is>
      </c>
      <c r="K19" s="18" t="inlineStr">
        <is>
          <t>1h</t>
        </is>
      </c>
      <c r="L19" s="18" t="inlineStr">
        <is>
          <t>Data engineer</t>
        </is>
      </c>
      <c r="M19" s="18" t="inlineStr">
        <is>
          <t>tools/check_content_integrity.py (JA-35) + Phase-0 A58 (retired-value scan)</t>
        </is>
      </c>
      <c r="N19" s="18" t="n"/>
      <c r="O19" s="18" t="inlineStr">
        <is>
          <t>Not Yet Run</t>
        </is>
      </c>
      <c r="P19" s="18" t="n"/>
      <c r="Q19" s="18" t="inlineStr">
        <is>
          <t>—</t>
        </is>
      </c>
      <c r="R19" s="18" t="inlineStr">
        <is>
          <t>0%</t>
        </is>
      </c>
    </row>
    <row r="20" ht="130.5" customHeight="1" s="40">
      <c r="A20" s="18" t="inlineStr">
        <is>
          <t>I-019</t>
        </is>
      </c>
      <c r="B20" s="18" t="inlineStr">
        <is>
          <t>Cross-section dedup</t>
        </is>
      </c>
      <c r="C20" s="18" t="inlineStr">
        <is>
          <t>1</t>
        </is>
      </c>
      <c r="D20" s="18" t="inlineStr">
        <is>
          <t>Automated subset-gloss duplicate detection in vocab.json — same (form, reading) + same POS + gloss-B ⊂ gloss-A</t>
        </is>
      </c>
      <c r="E20" s="18"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18" t="inlineStr">
        <is>
          <t>0 flagged subset-gloss duplicate pairs (manual triage may reject false positives).</t>
        </is>
      </c>
      <c r="G20" s="18" t="inlineStr">
        <is>
          <t>P3</t>
        </is>
      </c>
      <c r="H20" s="18" t="inlineStr">
        <is>
          <t>Minor</t>
        </is>
      </c>
      <c r="I20" s="18" t="inlineStr">
        <is>
          <t>Auto+Manual</t>
        </is>
      </c>
      <c r="J20" s="18" t="inlineStr">
        <is>
          <t>Phase-0 regression script. The BUG-018 → BUG-019 round-trip taught: hand-curated case lists miss the full population; automated detector catches all cases. Run before every release.</t>
        </is>
      </c>
      <c r="K20" s="18" t="inlineStr">
        <is>
          <t>4h</t>
        </is>
      </c>
      <c r="L20" s="18" t="inlineStr">
        <is>
          <t>Data engineer</t>
        </is>
      </c>
      <c r="M20" s="18" t="inlineStr">
        <is>
          <t>Custom Python (subset-detector script in F.21.5 of procedure manual)</t>
        </is>
      </c>
      <c r="N20" s="18" t="n"/>
      <c r="O20" s="18" t="inlineStr">
        <is>
          <t>Not Yet Run</t>
        </is>
      </c>
      <c r="P20" s="18" t="n"/>
      <c r="Q20" s="18" t="inlineStr">
        <is>
          <t>—</t>
        </is>
      </c>
      <c r="R20" s="18" t="inlineStr">
        <is>
          <t>0%</t>
        </is>
      </c>
    </row>
    <row r="21" ht="87" customHeight="1" s="40">
      <c r="A21" s="18" t="inlineStr">
        <is>
          <t>I-020</t>
        </is>
      </c>
      <c r="B21" s="18" t="inlineStr">
        <is>
          <t>Cross-file integrity</t>
        </is>
      </c>
      <c r="C21" s="18" t="inlineStr">
        <is>
          <t>3</t>
        </is>
      </c>
      <c r="D21" s="18" t="inlineStr">
        <is>
          <t>kanji.json compound/example.form == linked vocab.form (strict; JA-100)</t>
        </is>
      </c>
      <c r="E21" s="18"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18" t="inlineStr">
        <is>
          <t>JA-100 PASS — strict form-equality between kanji.json compounds and linked vocab entries.</t>
        </is>
      </c>
      <c r="G21" s="18" t="inlineStr">
        <is>
          <t>P2</t>
        </is>
      </c>
      <c r="H21" s="18" t="inlineStr">
        <is>
          <t>Major</t>
        </is>
      </c>
      <c r="I21" s="18" t="inlineStr">
        <is>
          <t>Auto</t>
        </is>
      </c>
      <c r="J21" s="18" t="inlineStr">
        <is>
          <t>Locked by JA-100 (tightened 2026-05-17 from narrow OOS-only to strict equality after BUG-023 round-trip). Catches both directions of drift.</t>
        </is>
      </c>
      <c r="K21" s="18" t="inlineStr">
        <is>
          <t>1h</t>
        </is>
      </c>
      <c r="L21" s="18" t="inlineStr">
        <is>
          <t>Data engineer</t>
        </is>
      </c>
      <c r="M21" s="18" t="inlineStr">
        <is>
          <t>tools/check_content_integrity.py (JA-100)</t>
        </is>
      </c>
      <c r="N21" s="18" t="n"/>
      <c r="O21" s="18" t="inlineStr">
        <is>
          <t>Not Yet Run</t>
        </is>
      </c>
      <c r="P21" s="18" t="n"/>
      <c r="Q21" s="18" t="inlineStr">
        <is>
          <t>—</t>
        </is>
      </c>
      <c r="R21" s="18" t="inlineStr">
        <is>
          <t>0%</t>
        </is>
      </c>
    </row>
    <row r="22" ht="72.5" customHeight="1" s="40">
      <c r="A22" s="18" t="inlineStr">
        <is>
          <t>I-021</t>
        </is>
      </c>
      <c r="B22" s="18" t="inlineStr">
        <is>
          <t>Field naming canonicalization</t>
        </is>
      </c>
      <c r="C22" s="18" t="inlineStr">
        <is>
          <t>2</t>
        </is>
      </c>
      <c r="D22" s="18" t="inlineStr">
        <is>
          <t>kanji.json `examples[]` use `form` field name only, not legacy `lemma` (JA-101)</t>
        </is>
      </c>
      <c r="E22" s="18" t="inlineStr">
        <is>
          <t>1. Run tools/check_content_integrity.py JA-101.
2. Pass: every example object has `form`, no example has `lemma`.
3. Reference: BUG-022 (374 form + 20 lemma + 14 dual pre-fix) + F.22.3.</t>
        </is>
      </c>
      <c r="F22" s="18" t="inlineStr">
        <is>
          <t>JA-101 PASS.</t>
        </is>
      </c>
      <c r="G22" s="18" t="inlineStr">
        <is>
          <t>P3</t>
        </is>
      </c>
      <c r="H22" s="18" t="inlineStr">
        <is>
          <t>Minor</t>
        </is>
      </c>
      <c r="I22" s="18" t="inlineStr">
        <is>
          <t>Auto</t>
        </is>
      </c>
      <c r="J22" s="18" t="inlineStr">
        <is>
          <t>Locked by JA-101 (added 2026-05-17 from BUG-022). Same field-name-divergence class as BUG-015 counter schema.</t>
        </is>
      </c>
      <c r="K22" s="18" t="inlineStr">
        <is>
          <t>1h</t>
        </is>
      </c>
      <c r="L22" s="18" t="inlineStr">
        <is>
          <t>Data engineer</t>
        </is>
      </c>
      <c r="M22" s="18" t="inlineStr">
        <is>
          <t>tools/check_content_integrity.py (JA-101)</t>
        </is>
      </c>
      <c r="N22" s="18" t="n"/>
      <c r="O22" s="18" t="inlineStr">
        <is>
          <t>Not Yet Run</t>
        </is>
      </c>
      <c r="P22" s="18" t="n"/>
      <c r="Q22" s="18" t="inlineStr">
        <is>
          <t>—</t>
        </is>
      </c>
      <c r="R22" s="18" t="inlineStr">
        <is>
          <t>0%</t>
        </is>
      </c>
    </row>
    <row r="23" ht="101.5" customHeight="1" s="40">
      <c r="A23" s="18" t="inlineStr">
        <is>
          <t>I-022</t>
        </is>
      </c>
      <c r="B23" s="18" t="inlineStr">
        <is>
          <t>Within-corpus uniqueness</t>
        </is>
      </c>
      <c r="C23" s="18" t="inlineStr">
        <is>
          <t>1</t>
        </is>
      </c>
      <c r="D23" s="18" t="inlineStr">
        <is>
          <t>kanji.json n5_compounds: (form, reading) tuple unique within each kanji entry (JA-103)</t>
        </is>
      </c>
      <c r="E23" s="18"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18" t="inlineStr">
        <is>
          <t>JA-103 PASS — 0 duplicate compound rows.</t>
        </is>
      </c>
      <c r="G23" s="18" t="inlineStr">
        <is>
          <t>P3</t>
        </is>
      </c>
      <c r="H23" s="18" t="inlineStr">
        <is>
          <t>Minor</t>
        </is>
      </c>
      <c r="I23" s="18" t="inlineStr">
        <is>
          <t>Auto</t>
        </is>
      </c>
      <c r="J23" s="18" t="inlineStr">
        <is>
          <t>Locked by JA-103 (added 2026-05-17 from BUG-024). Auto-derived from vocab.json — re-run derivation after any vocab dedup pass.</t>
        </is>
      </c>
      <c r="K23" s="18" t="inlineStr">
        <is>
          <t>1h</t>
        </is>
      </c>
      <c r="L23" s="18" t="inlineStr">
        <is>
          <t>Data engineer</t>
        </is>
      </c>
      <c r="M23" s="18" t="inlineStr">
        <is>
          <t>tools/check_content_integrity.py (JA-103)</t>
        </is>
      </c>
      <c r="N23" s="18" t="n"/>
      <c r="O23" s="18" t="inlineStr">
        <is>
          <t>Not Yet Run</t>
        </is>
      </c>
      <c r="P23" s="18" t="n"/>
      <c r="Q23" s="18" t="inlineStr">
        <is>
          <t>—</t>
        </is>
      </c>
      <c r="R23" s="18" t="inlineStr">
        <is>
          <t>0%</t>
        </is>
      </c>
    </row>
    <row r="24" ht="101.5" customHeight="1" s="40">
      <c r="A24" s="18" t="inlineStr">
        <is>
          <t>I-023</t>
        </is>
      </c>
      <c r="B24" s="18" t="inlineStr">
        <is>
          <t>Auto-derivation freshness</t>
        </is>
      </c>
      <c r="C24" s="18" t="inlineStr">
        <is>
          <t>2</t>
        </is>
      </c>
      <c r="D24" s="18" t="inlineStr">
        <is>
          <t>Every auto-derived array (kanji.n5_compounds, kanji.examples) is fresh vs its source (vocab.json last_modified)</t>
        </is>
      </c>
      <c r="E24" s="18"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18" t="inlineStr">
        <is>
          <t>All auto-derived arrays' freshness timestamps ≥ vocab.json last_modified.</t>
        </is>
      </c>
      <c r="G24" s="18" t="inlineStr">
        <is>
          <t>P4</t>
        </is>
      </c>
      <c r="H24" s="18" t="inlineStr">
        <is>
          <t>Minor</t>
        </is>
      </c>
      <c r="I24" s="18" t="inlineStr">
        <is>
          <t>Auto</t>
        </is>
      </c>
      <c r="J24" s="18" t="inlineStr">
        <is>
          <t>Queued / not yet wired. Operational rule today: re-run auto-derivation after every vocab dedup pass. CI enforcement is the future iteration per F.22.5.</t>
        </is>
      </c>
      <c r="K24" s="18" t="inlineStr">
        <is>
          <t>1d</t>
        </is>
      </c>
      <c r="L24" s="18" t="inlineStr">
        <is>
          <t>Data engineer</t>
        </is>
      </c>
      <c r="M24" s="18" t="inlineStr">
        <is>
          <t>Custom Python (timestamp comparison; pending implementation)</t>
        </is>
      </c>
      <c r="N24" s="18" t="n"/>
      <c r="O24" s="18" t="inlineStr">
        <is>
          <t>Not Yet Run</t>
        </is>
      </c>
      <c r="P24" s="18" t="n"/>
      <c r="Q24" s="18" t="inlineStr">
        <is>
          <t>—</t>
        </is>
      </c>
      <c r="R24" s="18"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40" min="1" max="1"/>
    <col width="19.08984375" customWidth="1" style="40" min="2" max="2"/>
    <col width="9.08984375" customWidth="1" style="40" min="3" max="3"/>
    <col width="43.6328125" customWidth="1" style="40" min="4" max="4"/>
    <col width="50.90625" customWidth="1" style="40" min="5" max="5"/>
    <col width="40" customWidth="1" style="40" min="6" max="6"/>
    <col width="14.54296875" customWidth="1" style="40" min="7" max="7"/>
    <col width="16.36328125" customWidth="1" style="40" min="8" max="8"/>
    <col width="14.54296875" customWidth="1" style="40" min="9" max="9"/>
    <col width="32.7265625" customWidth="1" style="40" min="10" max="10"/>
    <col width="16" customWidth="1" style="40" min="11" max="11"/>
    <col width="24" customWidth="1" style="40" min="12" max="12"/>
    <col width="32" customWidth="1" style="40" min="13" max="13"/>
    <col width="14" customWidth="1" style="40" min="14" max="15"/>
    <col width="18" customWidth="1" style="40" min="16" max="16"/>
    <col width="16" customWidth="1" style="40" min="17" max="17"/>
    <col width="12" customWidth="1" style="40" min="18" max="18"/>
  </cols>
  <sheetData>
    <row r="1" ht="28" customHeight="1" s="40">
      <c r="A1" s="39" t="inlineStr">
        <is>
          <t>J. Pedagogy</t>
        </is>
      </c>
    </row>
    <row r="2" ht="36" customHeight="1" s="40">
      <c r="A2" s="42" t="inlineStr">
        <is>
          <t>Perspectives: SLA researcher, SRS algorithm, curriculum designer, assessment validity, comparative pedagogy, HI-L1 error anticipation (perspectives 58-63)</t>
        </is>
      </c>
    </row>
    <row r="4" ht="24" customHeight="1" s="40">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8" customHeight="1" s="40">
      <c r="A5" s="7" t="inlineStr">
        <is>
          <t>J-001</t>
        </is>
      </c>
      <c r="B5" s="5" t="inlineStr">
        <is>
          <t>SLA</t>
        </is>
      </c>
      <c r="C5" s="6" t="inlineStr">
        <is>
          <t>58</t>
        </is>
      </c>
      <c r="D5" s="5" t="inlineStr">
        <is>
          <t>Curriculum dependency graph: ≥80% of vocab used in lesson L's example sentences must appear in lessons ≤L</t>
        </is>
      </c>
      <c r="E5" s="5"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5" t="inlineStr">
        <is>
          <t>≥80% known-vocab fraction per lesson; lessons below threshold flagged for example rewrite or vocab reordering.</t>
        </is>
      </c>
      <c r="G5" s="6" t="inlineStr">
        <is>
          <t>P3</t>
        </is>
      </c>
      <c r="H5" s="6" t="inlineStr">
        <is>
          <t>Major</t>
        </is>
      </c>
      <c r="I5" s="6" t="inlineStr">
        <is>
          <t>Auto</t>
        </is>
      </c>
      <c r="J5" s="5"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O5" t="inlineStr">
        <is>
          <t>Not Yet Run</t>
        </is>
      </c>
      <c r="Q5" t="inlineStr">
        <is>
          <t>—</t>
        </is>
      </c>
      <c r="R5" t="inlineStr">
        <is>
          <t>0%</t>
        </is>
      </c>
    </row>
    <row r="6" ht="30" customHeight="1" s="40">
      <c r="A6" s="7" t="inlineStr">
        <is>
          <t>J-002</t>
        </is>
      </c>
      <c r="B6" s="5" t="inlineStr">
        <is>
          <t>SLA</t>
        </is>
      </c>
      <c r="C6" s="6" t="inlineStr">
        <is>
          <t>58</t>
        </is>
      </c>
      <c r="D6" s="5" t="inlineStr">
        <is>
          <t>Output-hypothesis adherence: each lesson has ≥1 production drill prompting the learner to use the new pattern</t>
        </is>
      </c>
      <c r="E6" s="5" t="inlineStr">
        <is>
          <t>1. For each grammar pattern P, check whether drills_auto.json has ≥1 production-type drill referencing P.id.
2. Output: list of patterns lacking production drills.
3. Pass: every core_n5 pattern has ≥1 production drill.</t>
        </is>
      </c>
      <c r="F6" s="5" t="inlineStr">
        <is>
          <t>0 core_n5 patterns lacking production drills.</t>
        </is>
      </c>
      <c r="G6" s="6" t="inlineStr">
        <is>
          <t>P3</t>
        </is>
      </c>
      <c r="H6" s="6" t="inlineStr">
        <is>
          <t>Major</t>
        </is>
      </c>
      <c r="I6" s="6" t="inlineStr">
        <is>
          <t>Auto</t>
        </is>
      </c>
      <c r="J6" s="5" t="inlineStr">
        <is>
          <t>No automated check today — manual only. | [BUG-033 rewrite] Rewritten from research-question form to testable item with deterministic input + pass criterion.</t>
        </is>
      </c>
      <c r="K6" t="inlineStr">
        <is>
          <t>1d</t>
        </is>
      </c>
      <c r="L6" t="inlineStr">
        <is>
          <t>SLA pedagogy researcher</t>
        </is>
      </c>
      <c r="M6" t="inlineStr">
        <is>
          <t>tools/check_content_integrity.py (extend or new check)</t>
        </is>
      </c>
      <c r="O6" t="inlineStr">
        <is>
          <t>Not Yet Run</t>
        </is>
      </c>
      <c r="Q6" t="inlineStr">
        <is>
          <t>—</t>
        </is>
      </c>
      <c r="R6" t="inlineStr">
        <is>
          <t>0%</t>
        </is>
      </c>
    </row>
    <row r="7" ht="33" customHeight="1" s="40">
      <c r="A7" s="7" t="inlineStr">
        <is>
          <t>J-003</t>
        </is>
      </c>
      <c r="B7" s="5" t="inlineStr">
        <is>
          <t>SLA</t>
        </is>
      </c>
      <c r="C7" s="6" t="inlineStr">
        <is>
          <t>58</t>
        </is>
      </c>
      <c r="D7" s="5" t="inlineStr">
        <is>
          <t>Spaced-repetition interval validation: SRS algorithm produces intervals within ±20% of SuperMemo SM-2 reference</t>
        </is>
      </c>
      <c r="E7" s="5" t="inlineStr">
        <is>
          <t>1. Simulate 100-card SRS trajectories with synthetic Pass/Fail sequences.
2. Compare interval growth against SM-2 reference (1-day → 3 → 7 → 14 → 30 → 90 days, with quality scaling).
3. Report any interval deviating &gt;20% from reference.</t>
        </is>
      </c>
      <c r="F7" s="5" t="inlineStr">
        <is>
          <t>100% of intervals within ±20% of SM-2 reference at quality=4 (good recall).</t>
        </is>
      </c>
      <c r="G7" s="6" t="inlineStr">
        <is>
          <t>P5</t>
        </is>
      </c>
      <c r="H7" s="6" t="inlineStr">
        <is>
          <t>Minor</t>
        </is>
      </c>
      <c r="I7" s="6" t="inlineStr">
        <is>
          <t>Auto</t>
        </is>
      </c>
      <c r="J7" s="5"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O7" t="inlineStr">
        <is>
          <t>Not Yet Run</t>
        </is>
      </c>
      <c r="Q7" t="inlineStr">
        <is>
          <t>—</t>
        </is>
      </c>
      <c r="R7" t="inlineStr">
        <is>
          <t>0%</t>
        </is>
      </c>
    </row>
    <row r="8" ht="30" customHeight="1" s="40">
      <c r="A8" s="7" t="inlineStr">
        <is>
          <t>J-004</t>
        </is>
      </c>
      <c r="B8" s="5" t="inlineStr">
        <is>
          <t>SRS</t>
        </is>
      </c>
      <c r="C8" s="6" t="inlineStr">
        <is>
          <t>59</t>
        </is>
      </c>
      <c r="D8" s="5" t="inlineStr">
        <is>
          <t>Lesson-to-test alignment: every test item ID in questions.json references a vocab/grammar item from a lesson ≤ the test's target lesson</t>
        </is>
      </c>
      <c r="E8" s="5" t="inlineStr">
        <is>
          <t>1. For each test item, look up the referenced vocab/grammar IDs.
2. Verify each is from a lesson ≤ test target lesson.
3. Flag any out-of-sequence references.</t>
        </is>
      </c>
      <c r="F8" s="5" t="inlineStr">
        <is>
          <t>0 test items reference items from later lessons.</t>
        </is>
      </c>
      <c r="G8" s="6" t="inlineStr">
        <is>
          <t>P3</t>
        </is>
      </c>
      <c r="H8" s="6" t="inlineStr">
        <is>
          <t>Major</t>
        </is>
      </c>
      <c r="I8" s="6" t="inlineStr">
        <is>
          <t>Auto</t>
        </is>
      </c>
      <c r="J8" s="5"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O8" t="inlineStr">
        <is>
          <t>Not Yet Run</t>
        </is>
      </c>
      <c r="Q8" t="inlineStr">
        <is>
          <t>—</t>
        </is>
      </c>
      <c r="R8" t="inlineStr">
        <is>
          <t>0%</t>
        </is>
      </c>
    </row>
    <row r="9" ht="30" customHeight="1" s="40">
      <c r="A9" s="7" t="inlineStr">
        <is>
          <t>J-005</t>
        </is>
      </c>
      <c r="B9" s="5" t="inlineStr">
        <is>
          <t>SRS</t>
        </is>
      </c>
      <c r="C9" s="6" t="inlineStr">
        <is>
          <t>59</t>
        </is>
      </c>
      <c r="D9" s="5" t="inlineStr">
        <is>
          <t>Distractor cognitive load: MCQ distractors are not so close to the correct answer that the test becomes a recognition test rather than a recall test</t>
        </is>
      </c>
      <c r="E9" s="5" t="inlineStr">
        <is>
          <t>1. For each MCQ, compute Levenshtein distance between correct answer and each distractor.
2. Flag MCQs where all 3 distractors have Lev ≤1 from correct (likely too close).
3. Manual review of flagged items by JLPT exam expert.</t>
        </is>
      </c>
      <c r="F9" s="5" t="inlineStr">
        <is>
          <t>&lt;5% of MCQs flagged with all-distractors-too-close.</t>
        </is>
      </c>
      <c r="G9" s="6" t="inlineStr">
        <is>
          <t>P3</t>
        </is>
      </c>
      <c r="H9" s="6" t="inlineStr">
        <is>
          <t>Major</t>
        </is>
      </c>
      <c r="I9" s="6" t="inlineStr">
        <is>
          <t>Auto+Manual</t>
        </is>
      </c>
      <c r="J9" s="5"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O9" t="inlineStr">
        <is>
          <t>Not Yet Run</t>
        </is>
      </c>
      <c r="Q9" t="inlineStr">
        <is>
          <t>—</t>
        </is>
      </c>
      <c r="R9" t="inlineStr">
        <is>
          <t>0%</t>
        </is>
      </c>
    </row>
    <row r="10" ht="30" customHeight="1" s="40">
      <c r="A10" s="7" t="inlineStr">
        <is>
          <t>J-006</t>
        </is>
      </c>
      <c r="B10" s="5" t="inlineStr">
        <is>
          <t>SRS</t>
        </is>
      </c>
      <c r="C10" s="6" t="inlineStr">
        <is>
          <t>59</t>
        </is>
      </c>
      <c r="D10" s="5" t="inlineStr">
        <is>
          <t>Productive-vs-receptive balance: total drill count is ≥30% production (output) drills, not just MCQ (recognition)</t>
        </is>
      </c>
      <c r="E10" s="5" t="inlineStr">
        <is>
          <t>1. Count drills by type in drills_auto.json + questions.json.
2. Compute production-drill share.
3. Pass: ≥30%.</t>
        </is>
      </c>
      <c r="F10" s="5" t="inlineStr">
        <is>
          <t>Production-drill share ≥30% of total drills.</t>
        </is>
      </c>
      <c r="G10" s="6" t="inlineStr">
        <is>
          <t>P4</t>
        </is>
      </c>
      <c r="H10" s="6" t="inlineStr">
        <is>
          <t>Minor</t>
        </is>
      </c>
      <c r="I10" s="6" t="inlineStr">
        <is>
          <t>Auto</t>
        </is>
      </c>
      <c r="J10" s="5"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O10" t="inlineStr">
        <is>
          <t>Not Yet Run</t>
        </is>
      </c>
      <c r="Q10" t="inlineStr">
        <is>
          <t>—</t>
        </is>
      </c>
      <c r="R10" t="inlineStr">
        <is>
          <t>0%</t>
        </is>
      </c>
    </row>
    <row r="11" ht="30" customHeight="1" s="40">
      <c r="A11" s="7" t="inlineStr">
        <is>
          <t>J-007</t>
        </is>
      </c>
      <c r="B11" s="5" t="inlineStr">
        <is>
          <t>Curriculum</t>
        </is>
      </c>
      <c r="C11" s="6" t="inlineStr">
        <is>
          <t>60</t>
        </is>
      </c>
      <c r="D11" s="5" t="inlineStr">
        <is>
          <t>Mnemonic coverage: ≥80% of kanji.json entries have a non-trivial mnemonic field</t>
        </is>
      </c>
      <c r="E11" s="5" t="inlineStr">
        <is>
          <t>1. For each kanji, check mnemonic.en or mnemonic.hi length ≥30 chars.
2. Compute coverage.
3. Pass: ≥80%.</t>
        </is>
      </c>
      <c r="F11" s="5" t="inlineStr">
        <is>
          <t>≥80% of 106 kanji have a non-trivial mnemonic.</t>
        </is>
      </c>
      <c r="G11" s="6" t="inlineStr">
        <is>
          <t>P3</t>
        </is>
      </c>
      <c r="H11" s="6" t="inlineStr">
        <is>
          <t>Major</t>
        </is>
      </c>
      <c r="I11" s="6" t="inlineStr">
        <is>
          <t>Auto</t>
        </is>
      </c>
      <c r="J11" s="5"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O11" t="inlineStr">
        <is>
          <t>Not Yet Run</t>
        </is>
      </c>
      <c r="Q11" t="inlineStr">
        <is>
          <t>—</t>
        </is>
      </c>
      <c r="R11" t="inlineStr">
        <is>
          <t>0%</t>
        </is>
      </c>
    </row>
    <row r="12" ht="31" customHeight="1" s="40">
      <c r="A12" s="7" t="inlineStr">
        <is>
          <t>J-008</t>
        </is>
      </c>
      <c r="B12" s="5" t="inlineStr">
        <is>
          <t>Curriculum</t>
        </is>
      </c>
      <c r="C12" s="6" t="inlineStr">
        <is>
          <t>60</t>
        </is>
      </c>
      <c r="D12" s="5" t="inlineStr">
        <is>
          <t>Hindi-L1 transfer-error coverage: common HI-L1 errors (postposition mapping, word order) have explicit common_mistakes entries</t>
        </is>
      </c>
      <c r="E12" s="5" t="inlineStr">
        <is>
          <t>1. Reference list of HI-L1 transfer errors (postposition mapping: का → が/に/で; से → から/で/に; को → を/に).
2. For each, verify ≥1 common_mistakes entry across grammar.json catches it.
3. Report uncovered transfer errors.</t>
        </is>
      </c>
      <c r="F12" s="5" t="inlineStr">
        <is>
          <t>All 10 documented HI-L1 transfer-error classes have ≥1 catching common_mistakes entry.</t>
        </is>
      </c>
      <c r="G12" s="6" t="inlineStr">
        <is>
          <t>P3</t>
        </is>
      </c>
      <c r="H12" s="6" t="inlineStr">
        <is>
          <t>Major</t>
        </is>
      </c>
      <c r="I12" s="6" t="inlineStr">
        <is>
          <t>Auto</t>
        </is>
      </c>
      <c r="J12" s="5" t="inlineStr">
        <is>
          <t>No automated check today — manual only. | [BUG-033 rewrite] Rewritten from research-question form to testable item with deterministic input + pass criterion.</t>
        </is>
      </c>
      <c r="K12" t="inlineStr">
        <is>
          <t>1d</t>
        </is>
      </c>
      <c r="L12" t="inlineStr">
        <is>
          <t>SLA pedagogy researcher</t>
        </is>
      </c>
      <c r="M12" t="inlineStr">
        <is>
          <t>Custom Python (grep grammar.json common_mistakes for transfer-error keywords)</t>
        </is>
      </c>
      <c r="O12" t="inlineStr">
        <is>
          <t>Not Yet Run</t>
        </is>
      </c>
      <c r="Q12" t="inlineStr">
        <is>
          <t>—</t>
        </is>
      </c>
      <c r="R12" t="inlineStr">
        <is>
          <t>0%</t>
        </is>
      </c>
    </row>
    <row r="13" ht="36" customHeight="1" s="40">
      <c r="A13" s="7" t="inlineStr">
        <is>
          <t>J-009</t>
        </is>
      </c>
      <c r="B13" s="5" t="inlineStr">
        <is>
          <t>Curriculum</t>
        </is>
      </c>
      <c r="C13" s="6" t="inlineStr">
        <is>
          <t>60</t>
        </is>
      </c>
      <c r="D13" s="5" t="inlineStr">
        <is>
          <t>Spiral-review density: every kanji introduced in lesson L appears in ≥3 examples in lessons L+1..L+10</t>
        </is>
      </c>
      <c r="E13" s="5" t="inlineStr">
        <is>
          <t>1. For each kanji, find introduction lesson L.
2. Count example appearances in lessons L+1..L+10.
3. Pass: ≥3.</t>
        </is>
      </c>
      <c r="F13" s="5" t="inlineStr">
        <is>
          <t>≥95% of kanji have ≥3 spiral-review appearances; report exceptions.</t>
        </is>
      </c>
      <c r="G13" s="6" t="inlineStr">
        <is>
          <t>P3</t>
        </is>
      </c>
      <c r="H13" s="6" t="inlineStr">
        <is>
          <t>Major</t>
        </is>
      </c>
      <c r="I13" s="6" t="inlineStr">
        <is>
          <t>Auto</t>
        </is>
      </c>
      <c r="J13" s="5"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O13" t="inlineStr">
        <is>
          <t>Not Yet Run</t>
        </is>
      </c>
      <c r="Q13" t="inlineStr">
        <is>
          <t>—</t>
        </is>
      </c>
      <c r="R13" t="inlineStr">
        <is>
          <t>0%</t>
        </is>
      </c>
    </row>
    <row r="14" ht="30" customHeight="1" s="40">
      <c r="A14" s="7" t="inlineStr">
        <is>
          <t>J-010</t>
        </is>
      </c>
      <c r="B14" s="5" t="inlineStr">
        <is>
          <t>Assessment</t>
        </is>
      </c>
      <c r="C14" s="6" t="inlineStr">
        <is>
          <t>61</t>
        </is>
      </c>
      <c r="D14" s="5" t="inlineStr">
        <is>
          <t>Lesson-completion time budget: each lesson takes 30–60 min for a HI-L1 learner; measured by content volume × reading speed</t>
        </is>
      </c>
      <c r="E14" s="5" t="inlineStr">
        <is>
          <t>1. Compute reading-time estimate per lesson: words / reading-speed-WPM × 60.
2. Add audio-listen time (audio duration) + drill time (15 min default).
3. Pass: 30 ≤ total ≤ 60 min per lesson.</t>
        </is>
      </c>
      <c r="F14" s="5" t="inlineStr">
        <is>
          <t>All lessons within [30, 60] min estimate; outliers flagged for content trim or split.</t>
        </is>
      </c>
      <c r="G14" s="6" t="inlineStr">
        <is>
          <t>P4</t>
        </is>
      </c>
      <c r="H14" s="6" t="inlineStr">
        <is>
          <t>Major</t>
        </is>
      </c>
      <c r="I14" s="6" t="inlineStr">
        <is>
          <t>Auto</t>
        </is>
      </c>
      <c r="J14" s="5"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O14" t="inlineStr">
        <is>
          <t>Not Yet Run</t>
        </is>
      </c>
      <c r="Q14" t="inlineStr">
        <is>
          <t>—</t>
        </is>
      </c>
      <c r="R14" t="inlineStr">
        <is>
          <t>0%</t>
        </is>
      </c>
    </row>
    <row r="15" ht="35" customHeight="1" s="40">
      <c r="A15" s="7" t="inlineStr">
        <is>
          <t>J-011</t>
        </is>
      </c>
      <c r="B15" s="5" t="inlineStr">
        <is>
          <t>Assessment</t>
        </is>
      </c>
      <c r="C15" s="6" t="inlineStr">
        <is>
          <t>61</t>
        </is>
      </c>
      <c r="D15" s="5" t="inlineStr">
        <is>
          <t>Difficulty progression monotonicity: lesson N is no easier than lesson N-1 by a measurable proxy (vocab frequency-rank floor, kanji-stroke-count avg)</t>
        </is>
      </c>
      <c r="E15" s="5" t="inlineStr">
        <is>
          <t>1. Compute per-lesson: median vocab freq-rank, mean kanji stroke count, mean grammar-pattern complexity.
2. Verify monotonic non-decreasing trend across lesson order.
3. Flag inversions for re-ordering.</t>
        </is>
      </c>
      <c r="F15" s="5" t="inlineStr">
        <is>
          <t>0 lesson inversions in any proxy.</t>
        </is>
      </c>
      <c r="G15" s="6" t="inlineStr">
        <is>
          <t>P4</t>
        </is>
      </c>
      <c r="H15" s="6" t="inlineStr">
        <is>
          <t>Major</t>
        </is>
      </c>
      <c r="I15" s="6" t="inlineStr">
        <is>
          <t>Auto</t>
        </is>
      </c>
      <c r="J15" s="5"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O15" t="inlineStr">
        <is>
          <t>Not Yet Run</t>
        </is>
      </c>
      <c r="Q15" t="inlineStr">
        <is>
          <t>—</t>
        </is>
      </c>
      <c r="R15" t="inlineStr">
        <is>
          <t>0%</t>
        </is>
      </c>
    </row>
    <row r="16" ht="30" customHeight="1" s="40">
      <c r="A16" s="7" t="inlineStr">
        <is>
          <t>J-012</t>
        </is>
      </c>
      <c r="B16" s="5" t="inlineStr">
        <is>
          <t>Comparative</t>
        </is>
      </c>
      <c r="C16" s="6" t="inlineStr">
        <is>
          <t>62</t>
        </is>
      </c>
      <c r="D16" s="5" t="inlineStr">
        <is>
          <t>Authentic-input ratio: ≥15% of reading + listening content is from authentic sources (signs, menus, announcements) vs constructed</t>
        </is>
      </c>
      <c r="E16" s="5" t="inlineStr">
        <is>
          <t>1. Count authentic.json entries by provenance.
2. Compute share of total reading + listening content.
3. Pass: ≥15%.</t>
        </is>
      </c>
      <c r="F16" s="5" t="inlineStr">
        <is>
          <t>≥15% authentic-input share.</t>
        </is>
      </c>
      <c r="G16" s="6" t="inlineStr">
        <is>
          <t>P4</t>
        </is>
      </c>
      <c r="H16" s="6" t="inlineStr">
        <is>
          <t>Minor</t>
        </is>
      </c>
      <c r="I16" s="6" t="inlineStr">
        <is>
          <t>Auto</t>
        </is>
      </c>
      <c r="J16" s="5"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O16" t="inlineStr">
        <is>
          <t>Not Yet Run</t>
        </is>
      </c>
      <c r="Q16" t="inlineStr">
        <is>
          <t>—</t>
        </is>
      </c>
      <c r="R16" t="inlineStr">
        <is>
          <t>0%</t>
        </is>
      </c>
    </row>
    <row r="17" ht="30" customHeight="1" s="40">
      <c r="A17" s="7" t="inlineStr">
        <is>
          <t>J-013</t>
        </is>
      </c>
      <c r="B17" s="5" t="inlineStr">
        <is>
          <t>Comparative</t>
        </is>
      </c>
      <c r="C17" s="6" t="inlineStr">
        <is>
          <t>62</t>
        </is>
      </c>
      <c r="D17" s="5" t="inlineStr">
        <is>
          <t>Cultural-context attachment: every grammar pattern has a cultural_callout field; locked by JA-53</t>
        </is>
      </c>
      <c r="E17" s="5" t="inlineStr">
        <is>
          <t>1. JA-53 already enforces non-trivial cultural_callout on every grammar pattern.
2. Run python tools/check_content_integrity.py JA-53.
3. Pass: 0 violations.</t>
        </is>
      </c>
      <c r="F17" s="5" t="inlineStr">
        <is>
          <t>JA-53 PASS for all 178 grammar patterns.</t>
        </is>
      </c>
      <c r="G17" s="6" t="inlineStr">
        <is>
          <t>P4</t>
        </is>
      </c>
      <c r="H17" s="6" t="inlineStr">
        <is>
          <t>Minor</t>
        </is>
      </c>
      <c r="I17" s="6" t="inlineStr">
        <is>
          <t>Auto</t>
        </is>
      </c>
      <c r="J17" s="5"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O17" t="inlineStr">
        <is>
          <t>Not Yet Run</t>
        </is>
      </c>
      <c r="Q17" t="inlineStr">
        <is>
          <t>—</t>
        </is>
      </c>
      <c r="R17" t="inlineStr">
        <is>
          <t>0%</t>
        </is>
      </c>
    </row>
    <row r="18" ht="36" customHeight="1" s="40">
      <c r="A18" s="7" t="inlineStr">
        <is>
          <t>J-014</t>
        </is>
      </c>
      <c r="B18" s="5" t="inlineStr">
        <is>
          <t>Hindi-L1 error anticipation</t>
        </is>
      </c>
      <c r="C18" s="6" t="inlineStr">
        <is>
          <t>63</t>
        </is>
      </c>
      <c r="D18" s="5" t="inlineStr">
        <is>
          <t>Postposition-mapping confusion coverage: 4 most-common HI-L1 → JA particle errors have explicit teaching entries</t>
        </is>
      </c>
      <c r="E18" s="5" t="inlineStr">
        <is>
          <t>1. Reference: HI का → JA が/の/に/で confusion; HI से → JA から/で/に; HI को → JA を/に; HI में → JA で/に.
2. For each, verify ≥1 grammar.json contrast entry covers it (cross-pattern explanation).
3. Report uncovered confusions.</t>
        </is>
      </c>
      <c r="F18" s="5" t="inlineStr">
        <is>
          <t>All 4 HI-L1 postposition-mapping confusions covered by ≥1 contrast entry.</t>
        </is>
      </c>
      <c r="G18" s="6" t="inlineStr">
        <is>
          <t>P5</t>
        </is>
      </c>
      <c r="H18" s="6" t="inlineStr">
        <is>
          <t>Minor</t>
        </is>
      </c>
      <c r="I18" s="6" t="inlineStr">
        <is>
          <t>Auto</t>
        </is>
      </c>
      <c r="J18" s="5"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O18" t="inlineStr">
        <is>
          <t>Not Yet Run</t>
        </is>
      </c>
      <c r="Q18" t="inlineStr">
        <is>
          <t>—</t>
        </is>
      </c>
      <c r="R18" t="inlineStr">
        <is>
          <t>0%</t>
        </is>
      </c>
    </row>
    <row r="19" ht="32" customHeight="1" s="40">
      <c r="A19" s="7" t="inlineStr">
        <is>
          <t>J-015</t>
        </is>
      </c>
      <c r="B19" s="5" t="inlineStr">
        <is>
          <t>Hindi-L1 error anticipation</t>
        </is>
      </c>
      <c r="C19" s="6" t="inlineStr">
        <is>
          <t>63</t>
        </is>
      </c>
      <c r="D19" s="5" t="inlineStr">
        <is>
          <t>Pedagogical progression vs Genki/Minna alignment: chapter order matches at least one canonical textbook within ±10% drift</t>
        </is>
      </c>
      <c r="E19" s="5" t="inlineStr">
        <is>
          <t>1. Reference: Genki I chapter order + Minna no Nihongo I chapter order for N5 content.
2. Compute Spearman correlation between our lesson_order and each reference.
3. Pass: correlation ≥0.9 with at least one reference.</t>
        </is>
      </c>
      <c r="F19" s="5" t="inlineStr">
        <is>
          <t>Spearman correlation ≥0.9 with Genki I OR Minna I chapter order.</t>
        </is>
      </c>
      <c r="G19" s="6" t="inlineStr">
        <is>
          <t>P5</t>
        </is>
      </c>
      <c r="H19" s="6" t="inlineStr">
        <is>
          <t>Minor</t>
        </is>
      </c>
      <c r="I19" s="6" t="inlineStr">
        <is>
          <t>Auto</t>
        </is>
      </c>
      <c r="J19" s="5" t="inlineStr">
        <is>
          <t>No automated check today — manual only. | [BUG-033 rewrite] Rewritten from research-question form to testable item with deterministic input + pass criterion.</t>
        </is>
      </c>
      <c r="K19" t="inlineStr">
        <is>
          <t>1d</t>
        </is>
      </c>
      <c r="L19" t="inlineStr">
        <is>
          <t>SLA pedagogy researcher</t>
        </is>
      </c>
      <c r="M19" t="inlineStr">
        <is>
          <t>Custom Python (rank-correlation)</t>
        </is>
      </c>
      <c r="O19" t="inlineStr">
        <is>
          <t>Not Yet Run</t>
        </is>
      </c>
      <c r="Q19" t="inlineStr">
        <is>
          <t>—</t>
        </is>
      </c>
      <c r="R19" t="inlineStr">
        <is>
          <t>0%</t>
        </is>
      </c>
    </row>
    <row r="20" ht="101.5" customHeight="1" s="40">
      <c r="A20" s="18" t="inlineStr">
        <is>
          <t>J-016</t>
        </is>
      </c>
      <c r="B20" s="18" t="inlineStr">
        <is>
          <t>Competitor benchmark</t>
        </is>
      </c>
      <c r="C20" s="18" t="inlineStr">
        <is>
          <t>3</t>
        </is>
      </c>
      <c r="D20" s="18" t="inlineStr">
        <is>
          <t>Pattern-level comparison against named competitors (Bunpro / Marumori / Renshuu) on the same grammar/vocab/kanji items</t>
        </is>
      </c>
      <c r="E20" s="18" t="inlineStr">
        <is>
          <t>1. Pick 20 representative grammar patterns + 20 vocab + 10 kanji.
2. For each, capture how 3 competitors teach it (screenshot or transcript).
3. Pedagogy reviewer scores ours vs theirs on clarity / accuracy / depth.
4. Report qualitative + diff.</t>
        </is>
      </c>
      <c r="F20" s="18" t="inlineStr">
        <is>
          <t>Median score across 50 items ≥ median of best-1 competitor on the same items.</t>
        </is>
      </c>
      <c r="G20" s="18" t="inlineStr">
        <is>
          <t>P3</t>
        </is>
      </c>
      <c r="H20" s="18" t="inlineStr">
        <is>
          <t>Major</t>
        </is>
      </c>
      <c r="I20" s="18" t="inlineStr">
        <is>
          <t>Manual</t>
        </is>
      </c>
      <c r="J20" s="18" t="inlineStr">
        <is>
          <t>[BUG-032 new] Coverage gap.</t>
        </is>
      </c>
      <c r="K20" s="18" t="inlineStr">
        <is>
          <t>1wk</t>
        </is>
      </c>
      <c r="L20" s="18" t="inlineStr">
        <is>
          <t>SLA pedagogy researcher</t>
        </is>
      </c>
      <c r="M20" s="18" t="inlineStr">
        <is>
          <t>Competitor app accounts + manual scoring sheet</t>
        </is>
      </c>
      <c r="N20" s="18" t="n"/>
      <c r="O20" s="18" t="inlineStr">
        <is>
          <t>Not Yet Run</t>
        </is>
      </c>
      <c r="P20" s="18" t="n"/>
      <c r="Q20" s="18" t="inlineStr">
        <is>
          <t>—</t>
        </is>
      </c>
      <c r="R20" s="18"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40" min="1" max="1"/>
    <col width="19.08984375" customWidth="1" style="40" min="2" max="2"/>
    <col width="9.08984375" customWidth="1" style="40" min="3" max="3"/>
    <col width="43.6328125" customWidth="1" style="40" min="4" max="4"/>
    <col width="50.90625" customWidth="1" style="40" min="5" max="5"/>
    <col width="40" customWidth="1" style="40" min="6" max="6"/>
    <col width="14.54296875" customWidth="1" style="40" min="7" max="7"/>
    <col width="16.36328125" customWidth="1" style="40" min="8" max="8"/>
    <col width="14.54296875" customWidth="1" style="40" min="9" max="9"/>
    <col width="32.7265625" customWidth="1" style="40" min="10" max="10"/>
    <col width="16" customWidth="1" style="40" min="11" max="11"/>
    <col width="24" customWidth="1" style="40" min="12" max="12"/>
    <col width="32" customWidth="1" style="40" min="13" max="13"/>
    <col width="14" customWidth="1" style="40" min="14" max="15"/>
    <col width="18" customWidth="1" style="40" min="16" max="16"/>
    <col width="16" customWidth="1" style="40" min="17" max="17"/>
    <col width="12" customWidth="1" style="40" min="18" max="18"/>
  </cols>
  <sheetData>
    <row r="1" ht="28" customHeight="1" s="40">
      <c r="A1" s="39" t="inlineStr">
        <is>
          <t>K. QA testing</t>
        </is>
      </c>
    </row>
    <row r="2" ht="36" customHeight="1" s="40">
      <c r="A2" s="42" t="inlineStr">
        <is>
          <t>Perspectives: Exploratory tester, automated testing, visual regression, localization testing, audio playback (perspectives 64-68)</t>
        </is>
      </c>
    </row>
    <row r="4" ht="24" customHeight="1" s="40">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0">
      <c r="A5" s="7" t="inlineStr">
        <is>
          <t>K-001</t>
        </is>
      </c>
      <c r="B5" s="5" t="inlineStr">
        <is>
          <t>Exploratory</t>
        </is>
      </c>
      <c r="C5" s="6" t="inlineStr">
        <is>
          <t>64</t>
        </is>
      </c>
      <c r="D5" s="5" t="inlineStr">
        <is>
          <t>30-min adversarial use session</t>
        </is>
      </c>
      <c r="E5" s="5" t="inlineStr">
        <is>
          <t>1. Tester uses app for 30 min trying to break it
2. Log all bugs / friction</t>
        </is>
      </c>
      <c r="F5" s="5" t="inlineStr">
        <is>
          <t>≤ 3 critical / major bugs per session</t>
        </is>
      </c>
      <c r="G5" s="6" t="inlineStr">
        <is>
          <t>P3</t>
        </is>
      </c>
      <c r="H5" s="6" t="inlineStr">
        <is>
          <t>Major</t>
        </is>
      </c>
      <c r="I5" s="6" t="inlineStr">
        <is>
          <t>Manual</t>
        </is>
      </c>
      <c r="J5" s="5"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t>
        </is>
      </c>
      <c r="K5" t="inlineStr">
        <is>
          <t>1d</t>
        </is>
      </c>
      <c r="L5" t="inlineStr">
        <is>
          <t>QA tester</t>
        </is>
      </c>
      <c r="M5" t="inlineStr">
        <is>
          <t>n/a — manual evaluation</t>
        </is>
      </c>
      <c r="O5" t="inlineStr">
        <is>
          <t>Not Yet Run</t>
        </is>
      </c>
      <c r="Q5" t="inlineStr">
        <is>
          <t>—</t>
        </is>
      </c>
      <c r="R5" t="inlineStr">
        <is>
          <t>0%</t>
        </is>
      </c>
    </row>
    <row r="6" ht="31" customHeight="1" s="40">
      <c r="A6" s="7" t="inlineStr">
        <is>
          <t>K-002</t>
        </is>
      </c>
      <c r="B6" s="5" t="inlineStr">
        <is>
          <t>Exploratory</t>
        </is>
      </c>
      <c r="C6" s="6" t="inlineStr">
        <is>
          <t>64</t>
        </is>
      </c>
      <c r="D6" s="5" t="inlineStr">
        <is>
          <t>Concurrent-tab behavior</t>
        </is>
      </c>
      <c r="E6" s="5" t="inlineStr">
        <is>
          <t>1. Open app in 3 tabs simultaneously
2. Use each
3. Verify state isolation OR consistent sync</t>
        </is>
      </c>
      <c r="F6" s="5" t="inlineStr">
        <is>
          <t>Multi-tab behavior documented</t>
        </is>
      </c>
      <c r="G6" s="6" t="inlineStr">
        <is>
          <t>P5</t>
        </is>
      </c>
      <c r="H6" s="6" t="inlineStr">
        <is>
          <t>Minor</t>
        </is>
      </c>
      <c r="I6" s="6" t="inlineStr">
        <is>
          <t>Manual</t>
        </is>
      </c>
      <c r="J6" s="5" t="inlineStr">
        <is>
          <t>No automated check today — manual only.</t>
        </is>
      </c>
      <c r="K6" t="inlineStr">
        <is>
          <t>1d</t>
        </is>
      </c>
      <c r="L6" t="inlineStr">
        <is>
          <t>QA tester</t>
        </is>
      </c>
      <c r="M6" t="inlineStr">
        <is>
          <t>n/a — manual evaluation</t>
        </is>
      </c>
      <c r="O6" t="inlineStr">
        <is>
          <t>Not Yet Run</t>
        </is>
      </c>
      <c r="Q6" t="inlineStr">
        <is>
          <t>—</t>
        </is>
      </c>
      <c r="R6" t="inlineStr">
        <is>
          <t>0%</t>
        </is>
      </c>
    </row>
    <row r="7" ht="30" customHeight="1" s="40">
      <c r="A7" s="7" t="inlineStr">
        <is>
          <t>K-003</t>
        </is>
      </c>
      <c r="B7" s="5" t="inlineStr">
        <is>
          <t>Exploratory</t>
        </is>
      </c>
      <c r="C7" s="6" t="inlineStr">
        <is>
          <t>64</t>
        </is>
      </c>
      <c r="D7" s="5" t="inlineStr">
        <is>
          <t>Slow-network behavior</t>
        </is>
      </c>
      <c r="E7" s="5" t="inlineStr">
        <is>
          <t>1. Throttle to slow 3G
2. Verify all flows still complete (with loading states)</t>
        </is>
      </c>
      <c r="F7" s="5" t="inlineStr">
        <is>
          <t>Slow-network usable</t>
        </is>
      </c>
      <c r="G7" s="6" t="inlineStr">
        <is>
          <t>P3</t>
        </is>
      </c>
      <c r="H7" s="6" t="inlineStr">
        <is>
          <t>Major</t>
        </is>
      </c>
      <c r="I7" s="6" t="inlineStr">
        <is>
          <t>Manual</t>
        </is>
      </c>
      <c r="J7" s="5" t="inlineStr">
        <is>
          <t>No automated check today — manual only.</t>
        </is>
      </c>
      <c r="K7" t="inlineStr">
        <is>
          <t>1d</t>
        </is>
      </c>
      <c r="L7" t="inlineStr">
        <is>
          <t>QA tester</t>
        </is>
      </c>
      <c r="M7" t="inlineStr">
        <is>
          <t>n/a — manual evaluation</t>
        </is>
      </c>
      <c r="O7" t="inlineStr">
        <is>
          <t>Not Yet Run</t>
        </is>
      </c>
      <c r="Q7" t="inlineStr">
        <is>
          <t>—</t>
        </is>
      </c>
      <c r="R7" t="inlineStr">
        <is>
          <t>0%</t>
        </is>
      </c>
    </row>
    <row r="8" ht="30" customHeight="1" s="40">
      <c r="A8" s="7" t="inlineStr">
        <is>
          <t>K-004</t>
        </is>
      </c>
      <c r="B8" s="5" t="inlineStr">
        <is>
          <t>Exploratory</t>
        </is>
      </c>
      <c r="C8" s="6" t="inlineStr">
        <is>
          <t>64</t>
        </is>
      </c>
      <c r="D8" s="5" t="inlineStr">
        <is>
          <t>Browser back/forward button behavior</t>
        </is>
      </c>
      <c r="E8" s="5" t="inlineStr">
        <is>
          <t>1. Use app, hit back/forward many times
2. Verify state preserved correctly</t>
        </is>
      </c>
      <c r="F8" s="5" t="inlineStr">
        <is>
          <t>History navigation correct</t>
        </is>
      </c>
      <c r="G8" s="6" t="inlineStr">
        <is>
          <t>P3</t>
        </is>
      </c>
      <c r="H8" s="6" t="inlineStr">
        <is>
          <t>Major</t>
        </is>
      </c>
      <c r="I8" s="6" t="inlineStr">
        <is>
          <t>Manual</t>
        </is>
      </c>
      <c r="J8" s="5" t="inlineStr">
        <is>
          <t>No automated check today — manual only.</t>
        </is>
      </c>
      <c r="K8" t="inlineStr">
        <is>
          <t>1d</t>
        </is>
      </c>
      <c r="L8" t="inlineStr">
        <is>
          <t>QA tester</t>
        </is>
      </c>
      <c r="M8" t="inlineStr">
        <is>
          <t>n/a — manual evaluation</t>
        </is>
      </c>
      <c r="O8" t="inlineStr">
        <is>
          <t>Not Yet Run</t>
        </is>
      </c>
      <c r="Q8" t="inlineStr">
        <is>
          <t>—</t>
        </is>
      </c>
      <c r="R8" t="inlineStr">
        <is>
          <t>0%</t>
        </is>
      </c>
    </row>
    <row r="9" ht="30" customHeight="1" s="40">
      <c r="A9" s="7" t="inlineStr">
        <is>
          <t>K-005</t>
        </is>
      </c>
      <c r="B9" s="5" t="inlineStr">
        <is>
          <t>Automation</t>
        </is>
      </c>
      <c r="C9" s="6" t="inlineStr">
        <is>
          <t>65</t>
        </is>
      </c>
      <c r="D9" s="5" t="inlineStr">
        <is>
          <t>Unit-test coverage for tools/*.py</t>
        </is>
      </c>
      <c r="E9" s="5" t="inlineStr">
        <is>
          <t>1. Run pytest with coverage
2. Verify ≥80% line coverage</t>
        </is>
      </c>
      <c r="F9" s="5" t="inlineStr">
        <is>
          <t>≥80% coverage</t>
        </is>
      </c>
      <c r="G9" s="6" t="inlineStr">
        <is>
          <t>P3</t>
        </is>
      </c>
      <c r="H9" s="6" t="inlineStr">
        <is>
          <t>Major</t>
        </is>
      </c>
      <c r="I9" s="6" t="inlineStr">
        <is>
          <t>Auto</t>
        </is>
      </c>
      <c r="J9" s="5" t="inlineStr">
        <is>
          <t>No automated check today — manual only.</t>
        </is>
      </c>
      <c r="K9" t="inlineStr">
        <is>
          <t>1d</t>
        </is>
      </c>
      <c r="L9" t="inlineStr">
        <is>
          <t>QA tester</t>
        </is>
      </c>
      <c r="M9" t="inlineStr">
        <is>
          <t>n/a — manual evaluation</t>
        </is>
      </c>
      <c r="O9" t="inlineStr">
        <is>
          <t>Not Yet Run</t>
        </is>
      </c>
      <c r="Q9" t="inlineStr">
        <is>
          <t>—</t>
        </is>
      </c>
      <c r="R9" t="inlineStr">
        <is>
          <t>0%</t>
        </is>
      </c>
    </row>
    <row r="10" ht="30" customHeight="1" s="40">
      <c r="A10" s="7" t="inlineStr">
        <is>
          <t>K-006</t>
        </is>
      </c>
      <c r="B10" s="5" t="inlineStr">
        <is>
          <t>Automation</t>
        </is>
      </c>
      <c r="C10" s="6" t="inlineStr">
        <is>
          <t>65</t>
        </is>
      </c>
      <c r="D10" s="5" t="inlineStr">
        <is>
          <t>Integration tests for data-loading + rendering</t>
        </is>
      </c>
      <c r="E10" s="5" t="inlineStr">
        <is>
          <t>1. Verify tests load data/*.json + assert render output</t>
        </is>
      </c>
      <c r="F10" s="5" t="inlineStr">
        <is>
          <t>Integration tests pass</t>
        </is>
      </c>
      <c r="G10" s="6" t="inlineStr">
        <is>
          <t>P3</t>
        </is>
      </c>
      <c r="H10" s="6" t="inlineStr">
        <is>
          <t>Major</t>
        </is>
      </c>
      <c r="I10" s="6" t="inlineStr">
        <is>
          <t>Auto</t>
        </is>
      </c>
      <c r="J10" s="5" t="inlineStr">
        <is>
          <t>No automated check today — manual only.</t>
        </is>
      </c>
      <c r="K10" t="inlineStr">
        <is>
          <t>1d</t>
        </is>
      </c>
      <c r="L10" t="inlineStr">
        <is>
          <t>QA tester</t>
        </is>
      </c>
      <c r="M10" t="inlineStr">
        <is>
          <t>n/a — manual evaluation</t>
        </is>
      </c>
      <c r="O10" t="inlineStr">
        <is>
          <t>Not Yet Run</t>
        </is>
      </c>
      <c r="Q10" t="inlineStr">
        <is>
          <t>—</t>
        </is>
      </c>
      <c r="R10" t="inlineStr">
        <is>
          <t>0%</t>
        </is>
      </c>
    </row>
    <row r="11" ht="30" customHeight="1" s="40">
      <c r="A11" s="7" t="inlineStr">
        <is>
          <t>K-007</t>
        </is>
      </c>
      <c r="B11" s="5" t="inlineStr">
        <is>
          <t>Automation</t>
        </is>
      </c>
      <c r="C11" s="6" t="inlineStr">
        <is>
          <t>65</t>
        </is>
      </c>
      <c r="D11" s="5" t="inlineStr">
        <is>
          <t>E2E test of complete user flow (vocab study → quiz → results)</t>
        </is>
      </c>
      <c r="E11" s="5" t="inlineStr">
        <is>
          <t>1. Playwright/Cypress script for full flow
2. Run in CI</t>
        </is>
      </c>
      <c r="F11" s="5" t="inlineStr">
        <is>
          <t>E2E suite green</t>
        </is>
      </c>
      <c r="G11" s="6" t="inlineStr">
        <is>
          <t>P3</t>
        </is>
      </c>
      <c r="H11" s="6" t="inlineStr">
        <is>
          <t>Major</t>
        </is>
      </c>
      <c r="I11" s="6" t="inlineStr">
        <is>
          <t>Auto</t>
        </is>
      </c>
      <c r="J11" s="5" t="inlineStr">
        <is>
          <t>No automated check today — manual only.</t>
        </is>
      </c>
      <c r="K11" t="inlineStr">
        <is>
          <t>1d</t>
        </is>
      </c>
      <c r="L11" t="inlineStr">
        <is>
          <t>QA tester</t>
        </is>
      </c>
      <c r="M11" t="inlineStr">
        <is>
          <t>n/a — manual evaluation</t>
        </is>
      </c>
      <c r="O11" t="inlineStr">
        <is>
          <t>Not Yet Run</t>
        </is>
      </c>
      <c r="Q11" t="inlineStr">
        <is>
          <t>—</t>
        </is>
      </c>
      <c r="R11" t="inlineStr">
        <is>
          <t>0%</t>
        </is>
      </c>
    </row>
    <row r="12" ht="30" customHeight="1" s="40">
      <c r="A12" s="7" t="inlineStr">
        <is>
          <t>K-008</t>
        </is>
      </c>
      <c r="B12" s="5" t="inlineStr">
        <is>
          <t>Automation</t>
        </is>
      </c>
      <c r="C12" s="6" t="inlineStr">
        <is>
          <t>65</t>
        </is>
      </c>
      <c r="D12" s="5" t="inlineStr">
        <is>
          <t>Smoke test on every deploy</t>
        </is>
      </c>
      <c r="E12" s="5" t="inlineStr">
        <is>
          <t>1. Post-deploy hook hits homepage + each module route
2. Verify HTTP 200 + key text</t>
        </is>
      </c>
      <c r="F12" s="5" t="inlineStr">
        <is>
          <t>Smoke green on every deploy</t>
        </is>
      </c>
      <c r="G12" s="6" t="inlineStr">
        <is>
          <t>P1</t>
        </is>
      </c>
      <c r="H12" s="6" t="inlineStr">
        <is>
          <t>Critical</t>
        </is>
      </c>
      <c r="I12" s="6" t="inlineStr">
        <is>
          <t>Auto</t>
        </is>
      </c>
      <c r="J12" s="5" t="inlineStr">
        <is>
          <t>[BUG-026] Critical severity (deploy-time smoke) → P1 priority post-remap.</t>
        </is>
      </c>
      <c r="K12" t="inlineStr">
        <is>
          <t>1d</t>
        </is>
      </c>
      <c r="L12" t="inlineStr">
        <is>
          <t>QA tester</t>
        </is>
      </c>
      <c r="M12" t="inlineStr">
        <is>
          <t>n/a — manual evaluation</t>
        </is>
      </c>
      <c r="O12" t="inlineStr">
        <is>
          <t>Not Yet Run</t>
        </is>
      </c>
      <c r="Q12" t="inlineStr">
        <is>
          <t>—</t>
        </is>
      </c>
      <c r="R12" t="inlineStr">
        <is>
          <t>0%</t>
        </is>
      </c>
    </row>
    <row r="13" ht="30" customHeight="1" s="40">
      <c r="A13" s="7" t="inlineStr">
        <is>
          <t>K-009</t>
        </is>
      </c>
      <c r="B13" s="5" t="inlineStr">
        <is>
          <t>Visual regression</t>
        </is>
      </c>
      <c r="C13" s="6" t="inlineStr">
        <is>
          <t>66</t>
        </is>
      </c>
      <c r="D13" s="5" t="inlineStr">
        <is>
          <t>Pixel-diff baseline for each route</t>
        </is>
      </c>
      <c r="E13" s="5" t="inlineStr">
        <is>
          <t>1. Capture golden screenshots
2. On each deploy, diff against baseline</t>
        </is>
      </c>
      <c r="F13" s="5" t="inlineStr">
        <is>
          <t>0 unexpected pixel diffs</t>
        </is>
      </c>
      <c r="G13" s="6" t="inlineStr">
        <is>
          <t>P5</t>
        </is>
      </c>
      <c r="H13" s="6" t="inlineStr">
        <is>
          <t>Minor</t>
        </is>
      </c>
      <c r="I13" s="6" t="inlineStr">
        <is>
          <t>Auto</t>
        </is>
      </c>
      <c r="J13" s="5" t="inlineStr">
        <is>
          <t>No automated check today — manual only.</t>
        </is>
      </c>
      <c r="K13" t="inlineStr">
        <is>
          <t>1d</t>
        </is>
      </c>
      <c r="L13" t="inlineStr">
        <is>
          <t>QA tester</t>
        </is>
      </c>
      <c r="M13" t="inlineStr">
        <is>
          <t>n/a — manual evaluation</t>
        </is>
      </c>
      <c r="O13" t="inlineStr">
        <is>
          <t>Not Yet Run</t>
        </is>
      </c>
      <c r="Q13" t="inlineStr">
        <is>
          <t>—</t>
        </is>
      </c>
      <c r="R13" t="inlineStr">
        <is>
          <t>0%</t>
        </is>
      </c>
    </row>
    <row r="14" ht="30" customHeight="1" s="40">
      <c r="A14" s="7" t="inlineStr">
        <is>
          <t>K-010</t>
        </is>
      </c>
      <c r="B14" s="5" t="inlineStr">
        <is>
          <t>Visual regression</t>
        </is>
      </c>
      <c r="C14" s="6" t="inlineStr">
        <is>
          <t>66</t>
        </is>
      </c>
      <c r="D14" s="5" t="inlineStr">
        <is>
          <t>Layout-shift detection</t>
        </is>
      </c>
      <c r="E14" s="5" t="inlineStr">
        <is>
          <t>1. Record CLS during load
2. Flag regressions vs baseline</t>
        </is>
      </c>
      <c r="F14" s="5" t="inlineStr">
        <is>
          <t>CLS doesn't regress</t>
        </is>
      </c>
      <c r="G14" s="6" t="inlineStr">
        <is>
          <t>P5</t>
        </is>
      </c>
      <c r="H14" s="6" t="inlineStr">
        <is>
          <t>Minor</t>
        </is>
      </c>
      <c r="I14" s="6" t="inlineStr">
        <is>
          <t>Auto</t>
        </is>
      </c>
      <c r="J14" s="5" t="inlineStr">
        <is>
          <t>No automated check today — manual only.</t>
        </is>
      </c>
      <c r="K14" t="inlineStr">
        <is>
          <t>1d</t>
        </is>
      </c>
      <c r="L14" t="inlineStr">
        <is>
          <t>QA tester</t>
        </is>
      </c>
      <c r="M14" t="inlineStr">
        <is>
          <t>n/a — manual evaluation</t>
        </is>
      </c>
      <c r="O14" t="inlineStr">
        <is>
          <t>Not Yet Run</t>
        </is>
      </c>
      <c r="Q14" t="inlineStr">
        <is>
          <t>—</t>
        </is>
      </c>
      <c r="R14" t="inlineStr">
        <is>
          <t>0%</t>
        </is>
      </c>
    </row>
    <row r="15" ht="30" customHeight="1" s="40">
      <c r="A15" s="7" t="inlineStr">
        <is>
          <t>K-011</t>
        </is>
      </c>
      <c r="B15" s="5" t="inlineStr">
        <is>
          <t>Localization</t>
        </is>
      </c>
      <c r="C15" s="6" t="inlineStr">
        <is>
          <t>67</t>
        </is>
      </c>
      <c r="D15" s="5" t="inlineStr">
        <is>
          <t>Locale-toggle test on every route</t>
        </is>
      </c>
      <c r="E15" s="5" t="inlineStr">
        <is>
          <t>1. For each route, toggle EN ↔ HI
2. Verify all visible text changes</t>
        </is>
      </c>
      <c r="F15" s="5" t="inlineStr">
        <is>
          <t>0 untranslated strings on HI</t>
        </is>
      </c>
      <c r="G15" s="6" t="inlineStr">
        <is>
          <t>P3</t>
        </is>
      </c>
      <c r="H15" s="6" t="inlineStr">
        <is>
          <t>Major</t>
        </is>
      </c>
      <c r="I15" s="6" t="inlineStr">
        <is>
          <t>Manual</t>
        </is>
      </c>
      <c r="J15" s="5" t="inlineStr">
        <is>
          <t>[BUG-030 cross-ref] DUPLICATE of H-020 (locale-switch state retention). Canonical home: H tab.</t>
        </is>
      </c>
      <c r="K15" t="inlineStr">
        <is>
          <t>1d</t>
        </is>
      </c>
      <c r="L15" t="inlineStr">
        <is>
          <t>QA tester</t>
        </is>
      </c>
      <c r="M15" t="inlineStr">
        <is>
          <t>n/a — manual evaluation</t>
        </is>
      </c>
      <c r="O15" t="inlineStr">
        <is>
          <t>Not Yet Run</t>
        </is>
      </c>
      <c r="Q15" t="inlineStr">
        <is>
          <t>—</t>
        </is>
      </c>
      <c r="R15" t="inlineStr">
        <is>
          <t>0%</t>
        </is>
      </c>
    </row>
    <row r="16" ht="30" customHeight="1" s="40">
      <c r="A16" s="7" t="inlineStr">
        <is>
          <t>K-012</t>
        </is>
      </c>
      <c r="B16" s="5" t="inlineStr">
        <is>
          <t>Localization</t>
        </is>
      </c>
      <c r="C16" s="6" t="inlineStr">
        <is>
          <t>67</t>
        </is>
      </c>
      <c r="D16" s="5" t="inlineStr">
        <is>
          <t>Text-expansion on Hindi (UI overflow)</t>
        </is>
      </c>
      <c r="E16" s="5" t="inlineStr">
        <is>
          <t>1. Render every page in HI
2. Verify no truncation</t>
        </is>
      </c>
      <c r="F16" s="5" t="inlineStr">
        <is>
          <t>0 truncated HI labels</t>
        </is>
      </c>
      <c r="G16" s="6" t="inlineStr">
        <is>
          <t>P3</t>
        </is>
      </c>
      <c r="H16" s="6" t="inlineStr">
        <is>
          <t>Major</t>
        </is>
      </c>
      <c r="I16" s="6" t="inlineStr">
        <is>
          <t>Manual</t>
        </is>
      </c>
      <c r="J16" s="5" t="inlineStr">
        <is>
          <t>No automated check today — manual only.</t>
        </is>
      </c>
      <c r="K16" t="inlineStr">
        <is>
          <t>1d</t>
        </is>
      </c>
      <c r="L16" t="inlineStr">
        <is>
          <t>QA tester</t>
        </is>
      </c>
      <c r="M16" t="inlineStr">
        <is>
          <t>n/a — manual evaluation</t>
        </is>
      </c>
      <c r="O16" t="inlineStr">
        <is>
          <t>Not Yet Run</t>
        </is>
      </c>
      <c r="Q16" t="inlineStr">
        <is>
          <t>—</t>
        </is>
      </c>
      <c r="R16" t="inlineStr">
        <is>
          <t>0%</t>
        </is>
      </c>
    </row>
    <row r="17" ht="34" customHeight="1" s="40">
      <c r="A17" s="7" t="inlineStr">
        <is>
          <t>K-013</t>
        </is>
      </c>
      <c r="B17" s="5" t="inlineStr">
        <is>
          <t>Audio playback</t>
        </is>
      </c>
      <c r="C17" s="6" t="inlineStr">
        <is>
          <t>68</t>
        </is>
      </c>
      <c r="D17" s="5" t="inlineStr">
        <is>
          <t>Per-browser autoplay policy compliance</t>
        </is>
      </c>
      <c r="E17" s="5" t="inlineStr">
        <is>
          <t>1. Test audio playback on Chrome / Safari / Firefox / Edge
2. Verify user-gesture requirement satisfied</t>
        </is>
      </c>
      <c r="F17" s="5" t="inlineStr">
        <is>
          <t>Audio plays after gesture, doesn't autoplay</t>
        </is>
      </c>
      <c r="G17" s="6" t="inlineStr">
        <is>
          <t>P3</t>
        </is>
      </c>
      <c r="H17" s="6" t="inlineStr">
        <is>
          <t>Major</t>
        </is>
      </c>
      <c r="I17" s="6" t="inlineStr">
        <is>
          <t>Manual</t>
        </is>
      </c>
      <c r="J17" s="5" t="inlineStr">
        <is>
          <t>No automated check today — manual only.</t>
        </is>
      </c>
      <c r="K17" t="inlineStr">
        <is>
          <t>1d</t>
        </is>
      </c>
      <c r="L17" t="inlineStr">
        <is>
          <t>QA tester</t>
        </is>
      </c>
      <c r="M17" t="inlineStr">
        <is>
          <t>n/a — manual evaluation</t>
        </is>
      </c>
      <c r="O17" t="inlineStr">
        <is>
          <t>Not Yet Run</t>
        </is>
      </c>
      <c r="Q17" t="inlineStr">
        <is>
          <t>—</t>
        </is>
      </c>
      <c r="R17" t="inlineStr">
        <is>
          <t>0%</t>
        </is>
      </c>
    </row>
    <row r="18" ht="30" customHeight="1" s="40">
      <c r="A18" s="7" t="inlineStr">
        <is>
          <t>K-014</t>
        </is>
      </c>
      <c r="B18" s="5" t="inlineStr">
        <is>
          <t>Audio playback</t>
        </is>
      </c>
      <c r="C18" s="6" t="inlineStr">
        <is>
          <t>68</t>
        </is>
      </c>
      <c r="D18" s="5" t="inlineStr">
        <is>
          <t>MP3 vs WebM codec fallback</t>
        </is>
      </c>
      <c r="E18" s="5" t="inlineStr">
        <is>
          <t>1. Verify MP3 plays everywhere
2. If WebM is fallback, verify on supporting browsers</t>
        </is>
      </c>
      <c r="F18" s="5" t="inlineStr">
        <is>
          <t>Codec works cross-browser</t>
        </is>
      </c>
      <c r="G18" s="6" t="inlineStr">
        <is>
          <t>P5</t>
        </is>
      </c>
      <c r="H18" s="6" t="inlineStr">
        <is>
          <t>Minor</t>
        </is>
      </c>
      <c r="I18" s="6" t="inlineStr">
        <is>
          <t>Manual</t>
        </is>
      </c>
      <c r="J18" s="5" t="inlineStr">
        <is>
          <t>No automated check today — manual only.</t>
        </is>
      </c>
      <c r="K18" t="inlineStr">
        <is>
          <t>1d</t>
        </is>
      </c>
      <c r="L18" t="inlineStr">
        <is>
          <t>QA tester</t>
        </is>
      </c>
      <c r="M18" t="inlineStr">
        <is>
          <t>n/a — manual evaluation</t>
        </is>
      </c>
      <c r="O18" t="inlineStr">
        <is>
          <t>Not Yet Run</t>
        </is>
      </c>
      <c r="Q18" t="inlineStr">
        <is>
          <t>—</t>
        </is>
      </c>
      <c r="R18" t="inlineStr">
        <is>
          <t>0%</t>
        </is>
      </c>
    </row>
    <row r="19" ht="30" customHeight="1" s="40">
      <c r="A19" s="7" t="inlineStr">
        <is>
          <t>K-015</t>
        </is>
      </c>
      <c r="B19" s="5" t="inlineStr">
        <is>
          <t>Audio playback</t>
        </is>
      </c>
      <c r="C19" s="6" t="inlineStr">
        <is>
          <t>68</t>
        </is>
      </c>
      <c r="D19" s="5" t="inlineStr">
        <is>
          <t>Preload strategy: do audio files preload on hover / proximity?</t>
        </is>
      </c>
      <c r="E19" s="5" t="inlineStr">
        <is>
          <t>1. Inspect &lt;audio preload=...&gt; attrs
2. Verify reasonable preload behavior</t>
        </is>
      </c>
      <c r="F19" s="5" t="inlineStr">
        <is>
          <t>Preload tuned for UX</t>
        </is>
      </c>
      <c r="G19" s="6" t="inlineStr">
        <is>
          <t>P5</t>
        </is>
      </c>
      <c r="H19" s="6" t="inlineStr">
        <is>
          <t>Minor</t>
        </is>
      </c>
      <c r="I19" s="6" t="inlineStr">
        <is>
          <t>Manual</t>
        </is>
      </c>
      <c r="J19" s="5" t="inlineStr">
        <is>
          <t>No automated check today — manual only.</t>
        </is>
      </c>
      <c r="K19" t="inlineStr">
        <is>
          <t>1d</t>
        </is>
      </c>
      <c r="L19" t="inlineStr">
        <is>
          <t>QA tester</t>
        </is>
      </c>
      <c r="M19" t="inlineStr">
        <is>
          <t>n/a — manual evaluation</t>
        </is>
      </c>
      <c r="O19" t="inlineStr">
        <is>
          <t>Not Yet Run</t>
        </is>
      </c>
      <c r="Q19" t="inlineStr">
        <is>
          <t>—</t>
        </is>
      </c>
      <c r="R19" t="inlineStr">
        <is>
          <t>0%</t>
        </is>
      </c>
    </row>
    <row r="20" ht="116" customHeight="1" s="40">
      <c r="A20" s="38" t="inlineStr">
        <is>
          <t>K-016</t>
        </is>
      </c>
      <c r="B20" s="38" t="inlineStr">
        <is>
          <t>Cross-artifact sync</t>
        </is>
      </c>
      <c r="C20" s="38" t="inlineStr">
        <is>
          <t>65</t>
        </is>
      </c>
      <c r="D20" s="38" t="inlineStr">
        <is>
          <t>Version.json count drift detection (INV-4 / JA-107)</t>
        </is>
      </c>
      <c r="E20" s="38" t="inlineStr">
        <is>
          <t>1. Run `python tools/check_content_integrity.py`
2. Inspect JA-107 status line
3. To regress-test: temporarily edit data/version.json.counts.vocab to a wrong number; re-run
4. Expect FAIL with explicit drift message; revert</t>
        </is>
      </c>
      <c r="F20" s="38"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38" t="inlineStr">
        <is>
          <t>P2</t>
        </is>
      </c>
      <c r="H20" s="38" t="inlineStr">
        <is>
          <t>Major</t>
        </is>
      </c>
      <c r="I20" s="38" t="inlineStr">
        <is>
          <t>Auto</t>
        </is>
      </c>
      <c r="J20" s="38" t="inlineStr">
        <is>
          <t>Cross-Artifact Sync Protocol INV-4 hard CI gate. JA-107 added 2026-05-17 alongside Rule 5 install. Companion to JA-47 (CONTENT-LICENSE.md side). Together they enforce the version-stamp ↔ live-data symmetry from both public surfaces.</t>
        </is>
      </c>
      <c r="K20" s="38" t="inlineStr">
        <is>
          <t>1h</t>
        </is>
      </c>
      <c r="L20" s="38" t="inlineStr">
        <is>
          <t>QA / build engineer</t>
        </is>
      </c>
      <c r="M20" s="38" t="inlineStr">
        <is>
          <t>tools/check_content_integrity.py, tools/cross_artifact_sync_report.py</t>
        </is>
      </c>
      <c r="N20" s="38" t="inlineStr">
        <is>
          <t>2026-05-17</t>
        </is>
      </c>
      <c r="O20" s="38" t="inlineStr">
        <is>
          <t>PASS</t>
        </is>
      </c>
      <c r="P20" s="38" t="n"/>
      <c r="Q20" s="38" t="inlineStr">
        <is>
          <t>JA-47, JA-107</t>
        </is>
      </c>
      <c r="R20" s="38" t="inlineStr">
        <is>
          <t>100%</t>
        </is>
      </c>
    </row>
    <row r="21" ht="130.5" customHeight="1" s="40">
      <c r="A21" s="38" t="inlineStr">
        <is>
          <t>K-017</t>
        </is>
      </c>
      <c r="B21" s="38" t="inlineStr">
        <is>
          <t>Cross-artifact sync</t>
        </is>
      </c>
      <c r="C21" s="38" t="inlineStr">
        <is>
          <t>65</t>
        </is>
      </c>
      <c r="D21" s="38" t="inlineStr">
        <is>
          <t>Locale-parity drift detection (INV-5 / JA-108)</t>
        </is>
      </c>
      <c r="E21" s="38" t="inlineStr">
        <is>
          <t>1. Run `python tools/check_content_integrity.py`
2. Inspect JA-108 status line
3. To regress-test: temporarily add a key to locales/en.json that's absent from hi.json; re-run
4. Expect FAIL listing the asymmetric key; revert</t>
        </is>
      </c>
      <c r="F21" s="38"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38" t="inlineStr">
        <is>
          <t>P2</t>
        </is>
      </c>
      <c r="H21" s="38" t="inlineStr">
        <is>
          <t>Major</t>
        </is>
      </c>
      <c r="I21" s="38" t="inlineStr">
        <is>
          <t>Auto</t>
        </is>
      </c>
      <c r="J21" s="38"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t>
        </is>
      </c>
      <c r="K21" s="38" t="inlineStr">
        <is>
          <t>1h</t>
        </is>
      </c>
      <c r="L21" s="38" t="inlineStr">
        <is>
          <t>QA / locale maintainer</t>
        </is>
      </c>
      <c r="M21" s="38" t="inlineStr">
        <is>
          <t>tools/check_content_integrity.py, tools/cross_artifact_sync_report.py</t>
        </is>
      </c>
      <c r="N21" s="38" t="inlineStr">
        <is>
          <t>2026-05-17</t>
        </is>
      </c>
      <c r="O21" s="38" t="inlineStr">
        <is>
          <t>PASS</t>
        </is>
      </c>
      <c r="P21" s="38" t="n"/>
      <c r="Q21" s="38" t="inlineStr">
        <is>
          <t>JA-108</t>
        </is>
      </c>
      <c r="R21" s="38" t="inlineStr">
        <is>
          <t>100%</t>
        </is>
      </c>
    </row>
    <row r="22" ht="145" customHeight="1" s="40">
      <c r="A22" s="38" t="inlineStr">
        <is>
          <t>K-018</t>
        </is>
      </c>
      <c r="B22" s="38" t="inlineStr">
        <is>
          <t>Cross-artifact sync</t>
        </is>
      </c>
      <c r="C22" s="38" t="inlineStr">
        <is>
          <t>65</t>
        </is>
      </c>
      <c r="D22" s="38" t="inlineStr">
        <is>
          <t>Script-reference drift detection (INV-10 / JA-109)</t>
        </is>
      </c>
      <c r="E22" s="38" t="inlineStr">
        <is>
          <t>1. Run `python tools/check_content_integrity.py`
2. Inspect JA-109 status line
3. To regress-test: rename a script that's referenced in prompts/N5Improvement.txt without updating the reference; re-run
4. Expect FAIL with the doc + path pair; revert</t>
        </is>
      </c>
      <c r="F22" s="38"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38" t="inlineStr">
        <is>
          <t>P3</t>
        </is>
      </c>
      <c r="H22" s="38" t="inlineStr">
        <is>
          <t>Minor</t>
        </is>
      </c>
      <c r="I22" s="38" t="inlineStr">
        <is>
          <t>Auto</t>
        </is>
      </c>
      <c r="J22" s="38"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t>
        </is>
      </c>
      <c r="K22" s="38" t="inlineStr">
        <is>
          <t>30m</t>
        </is>
      </c>
      <c r="L22" s="38" t="inlineStr">
        <is>
          <t>QA / docs maintainer</t>
        </is>
      </c>
      <c r="M22" s="38" t="inlineStr">
        <is>
          <t>tools/check_content_integrity.py, tools/cross_artifact_sync_report.py</t>
        </is>
      </c>
      <c r="N22" s="38" t="inlineStr">
        <is>
          <t>2026-05-17</t>
        </is>
      </c>
      <c r="O22" s="38" t="inlineStr">
        <is>
          <t>PASS</t>
        </is>
      </c>
      <c r="P22" s="38" t="n"/>
      <c r="Q22" s="38" t="inlineStr">
        <is>
          <t>JA-109</t>
        </is>
      </c>
      <c r="R22" s="38"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40" min="1" max="1"/>
    <col width="19.08984375" customWidth="1" style="40" min="2" max="2"/>
    <col width="9.08984375" customWidth="1" style="40" min="3" max="3"/>
    <col width="43.6328125" customWidth="1" style="40" min="4" max="4"/>
    <col width="50.90625" customWidth="1" style="40" min="5" max="5"/>
    <col width="40" customWidth="1" style="40" min="6" max="6"/>
    <col width="14.54296875" customWidth="1" style="40" min="7" max="7"/>
    <col width="16.36328125" customWidth="1" style="40" min="8" max="8"/>
    <col width="14.54296875" customWidth="1" style="40" min="9" max="9"/>
    <col width="32.7265625" customWidth="1" style="40" min="10" max="10"/>
    <col width="16" customWidth="1" style="40" min="11" max="11"/>
    <col width="24" customWidth="1" style="40" min="12" max="12"/>
    <col width="32" customWidth="1" style="40" min="13" max="13"/>
    <col width="14" customWidth="1" style="40" min="14" max="15"/>
    <col width="18" customWidth="1" style="40" min="16" max="16"/>
    <col width="16" customWidth="1" style="40" min="17" max="17"/>
    <col width="12" customWidth="1" style="40" min="18" max="18"/>
  </cols>
  <sheetData>
    <row r="1" ht="28" customHeight="1" s="40">
      <c r="A1" s="39" t="inlineStr">
        <is>
          <t>L. Cultural ethical</t>
        </is>
      </c>
    </row>
    <row r="2" ht="36" customHeight="1" s="40">
      <c r="A2" s="42" t="inlineStr">
        <is>
          <t>Perspectives: Cultural-sensitivity (JA + HI), AI-ethics/disclosure, trust-and-safety (perspectives 69-72)</t>
        </is>
      </c>
    </row>
    <row r="4" ht="24" customHeight="1" s="40">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3" customHeight="1" s="40">
      <c r="A5" s="7" t="inlineStr">
        <is>
          <t>L-001</t>
        </is>
      </c>
      <c r="B5" s="5" t="inlineStr">
        <is>
          <t>Cultural sensitivity (JA)</t>
        </is>
      </c>
      <c r="C5" s="6" t="inlineStr">
        <is>
          <t>69</t>
        </is>
      </c>
      <c r="D5" s="5" t="inlineStr">
        <is>
          <t>Stereotype-avoidance in dialogue / authentic items</t>
        </is>
      </c>
      <c r="E5" s="5" t="inlineStr">
        <is>
          <t>1. Native Japanese reviewer reads all listening.json + authentic.json
2. Flag stereotyped characters</t>
        </is>
      </c>
      <c r="F5" s="5" t="inlineStr">
        <is>
          <t>0 stereotyped depictions</t>
        </is>
      </c>
      <c r="G5" s="6" t="inlineStr">
        <is>
          <t>P3</t>
        </is>
      </c>
      <c r="H5" s="6" t="inlineStr">
        <is>
          <t>Major</t>
        </is>
      </c>
      <c r="I5" s="6" t="inlineStr">
        <is>
          <t>Manual</t>
        </is>
      </c>
      <c r="J5" s="5" t="inlineStr">
        <is>
          <t>No automated check today — manual only.</t>
        </is>
      </c>
      <c r="K5" t="inlineStr">
        <is>
          <t>4h</t>
        </is>
      </c>
      <c r="L5" t="inlineStr">
        <is>
          <t>Cultural-sensitivity reviewer</t>
        </is>
      </c>
      <c r="M5" t="inlineStr">
        <is>
          <t>n/a — manual evaluation</t>
        </is>
      </c>
      <c r="O5" t="inlineStr">
        <is>
          <t>Not Yet Run</t>
        </is>
      </c>
      <c r="Q5" t="inlineStr">
        <is>
          <t>—</t>
        </is>
      </c>
      <c r="R5" t="inlineStr">
        <is>
          <t>0%</t>
        </is>
      </c>
    </row>
    <row r="6" ht="35" customHeight="1" s="40">
      <c r="A6" s="7" t="inlineStr">
        <is>
          <t>L-002</t>
        </is>
      </c>
      <c r="B6" s="5" t="inlineStr">
        <is>
          <t>Cultural sensitivity (JA)</t>
        </is>
      </c>
      <c r="C6" s="6" t="inlineStr">
        <is>
          <t>69</t>
        </is>
      </c>
      <c r="D6" s="5" t="inlineStr">
        <is>
          <t>Appropriate cultural-context items (festivals, social norms)</t>
        </is>
      </c>
      <c r="E6" s="5" t="inlineStr">
        <is>
          <t>1. Verify cultural items represent contemporary Japan accurately
2. Flag outdated or stereotyped portrayals</t>
        </is>
      </c>
      <c r="F6" s="5" t="inlineStr">
        <is>
          <t>Cultural content accurate + respectful</t>
        </is>
      </c>
      <c r="G6" s="6" t="inlineStr">
        <is>
          <t>P3</t>
        </is>
      </c>
      <c r="H6" s="6" t="inlineStr">
        <is>
          <t>Major</t>
        </is>
      </c>
      <c r="I6" s="6" t="inlineStr">
        <is>
          <t>Manual</t>
        </is>
      </c>
      <c r="J6" s="5" t="inlineStr">
        <is>
          <t>No automated check today — manual only.</t>
        </is>
      </c>
      <c r="K6" t="inlineStr">
        <is>
          <t>4h</t>
        </is>
      </c>
      <c r="L6" t="inlineStr">
        <is>
          <t>Cultural-sensitivity reviewer</t>
        </is>
      </c>
      <c r="M6" t="inlineStr">
        <is>
          <t>n/a — manual evaluation</t>
        </is>
      </c>
      <c r="O6" t="inlineStr">
        <is>
          <t>Not Yet Run</t>
        </is>
      </c>
      <c r="Q6" t="inlineStr">
        <is>
          <t>—</t>
        </is>
      </c>
      <c r="R6" t="inlineStr">
        <is>
          <t>0%</t>
        </is>
      </c>
    </row>
    <row r="7" ht="32" customHeight="1" s="40">
      <c r="A7" s="7" t="inlineStr">
        <is>
          <t>L-003</t>
        </is>
      </c>
      <c r="B7" s="5" t="inlineStr">
        <is>
          <t>Cultural sensitivity (JA)</t>
        </is>
      </c>
      <c r="C7" s="6" t="inlineStr">
        <is>
          <t>69</t>
        </is>
      </c>
      <c r="D7" s="5" t="inlineStr">
        <is>
          <t>Gender-balance in dialogue speaker roles</t>
        </is>
      </c>
      <c r="E7" s="5" t="inlineStr">
        <is>
          <t>1. Count male vs female speakers across listening.json
2. Verify roles aren't gender-stereotyped</t>
        </is>
      </c>
      <c r="F7" s="5" t="inlineStr">
        <is>
          <t>Balanced gender representation</t>
        </is>
      </c>
      <c r="G7" s="6" t="inlineStr">
        <is>
          <t>P4</t>
        </is>
      </c>
      <c r="H7" s="6" t="inlineStr">
        <is>
          <t>Minor</t>
        </is>
      </c>
      <c r="I7" s="6" t="inlineStr">
        <is>
          <t>Manual</t>
        </is>
      </c>
      <c r="J7" s="5" t="inlineStr">
        <is>
          <t>No automated check today — manual only.</t>
        </is>
      </c>
      <c r="K7" t="inlineStr">
        <is>
          <t>4h</t>
        </is>
      </c>
      <c r="L7" t="inlineStr">
        <is>
          <t>Cultural-sensitivity reviewer</t>
        </is>
      </c>
      <c r="M7" t="inlineStr">
        <is>
          <t>n/a — manual evaluation</t>
        </is>
      </c>
      <c r="O7" t="inlineStr">
        <is>
          <t>Not Yet Run</t>
        </is>
      </c>
      <c r="Q7" t="inlineStr">
        <is>
          <t>—</t>
        </is>
      </c>
      <c r="R7" t="inlineStr">
        <is>
          <t>0%</t>
        </is>
      </c>
    </row>
    <row r="8" ht="33" customHeight="1" s="40">
      <c r="A8" s="7" t="inlineStr">
        <is>
          <t>L-004</t>
        </is>
      </c>
      <c r="B8" s="5" t="inlineStr">
        <is>
          <t>Cultural sensitivity (HI)</t>
        </is>
      </c>
      <c r="C8" s="6" t="inlineStr">
        <is>
          <t>70</t>
        </is>
      </c>
      <c r="D8" s="5" t="inlineStr">
        <is>
          <t>Indian-cultural-context items (if any) accuracy</t>
        </is>
      </c>
      <c r="E8" s="5" t="inlineStr">
        <is>
          <t>1. Verify any Hindi-locale cultural references are accurate
2. Verify Indian names used appropriately</t>
        </is>
      </c>
      <c r="F8" s="5" t="inlineStr">
        <is>
          <t>Indian-context accurate</t>
        </is>
      </c>
      <c r="G8" s="6" t="inlineStr">
        <is>
          <t>P3</t>
        </is>
      </c>
      <c r="H8" s="6" t="inlineStr">
        <is>
          <t>Major</t>
        </is>
      </c>
      <c r="I8" s="6" t="inlineStr">
        <is>
          <t>Manual</t>
        </is>
      </c>
      <c r="J8" s="5" t="inlineStr">
        <is>
          <t>No automated check today — manual only.</t>
        </is>
      </c>
      <c r="K8" t="inlineStr">
        <is>
          <t>4h</t>
        </is>
      </c>
      <c r="L8" t="inlineStr">
        <is>
          <t>Cultural-sensitivity reviewer</t>
        </is>
      </c>
      <c r="M8" t="inlineStr">
        <is>
          <t>n/a — manual evaluation</t>
        </is>
      </c>
      <c r="O8" t="inlineStr">
        <is>
          <t>Not Yet Run</t>
        </is>
      </c>
      <c r="Q8" t="inlineStr">
        <is>
          <t>—</t>
        </is>
      </c>
      <c r="R8" t="inlineStr">
        <is>
          <t>0%</t>
        </is>
      </c>
    </row>
    <row r="9" ht="30" customHeight="1" s="40">
      <c r="A9" s="7" t="inlineStr">
        <is>
          <t>L-005</t>
        </is>
      </c>
      <c r="B9" s="5" t="inlineStr">
        <is>
          <t>Cultural sensitivity (HI)</t>
        </is>
      </c>
      <c r="C9" s="6" t="inlineStr">
        <is>
          <t>70</t>
        </is>
      </c>
      <c r="D9" s="5" t="inlineStr">
        <is>
          <t>Pan-Indian neutrality (avoid Bombay/Delhi-specific)</t>
        </is>
      </c>
      <c r="E9" s="5" t="inlineStr">
        <is>
          <t>1. Native Hindi reviewer flags regionally-marked content
2. Replace with neutral equivalents</t>
        </is>
      </c>
      <c r="F9" s="5" t="inlineStr">
        <is>
          <t>0 regionally-marked items</t>
        </is>
      </c>
      <c r="G9" s="6" t="inlineStr">
        <is>
          <t>P5</t>
        </is>
      </c>
      <c r="H9" s="6" t="inlineStr">
        <is>
          <t>Minor</t>
        </is>
      </c>
      <c r="I9" s="6" t="inlineStr">
        <is>
          <t>Manual</t>
        </is>
      </c>
      <c r="J9" s="5" t="inlineStr">
        <is>
          <t>No automated check today — manual only.</t>
        </is>
      </c>
      <c r="K9" t="inlineStr">
        <is>
          <t>4h</t>
        </is>
      </c>
      <c r="L9" t="inlineStr">
        <is>
          <t>Cultural-sensitivity reviewer</t>
        </is>
      </c>
      <c r="M9" t="inlineStr">
        <is>
          <t>n/a — manual evaluation</t>
        </is>
      </c>
      <c r="O9" t="inlineStr">
        <is>
          <t>Not Yet Run</t>
        </is>
      </c>
      <c r="Q9" t="inlineStr">
        <is>
          <t>—</t>
        </is>
      </c>
      <c r="R9" t="inlineStr">
        <is>
          <t>0%</t>
        </is>
      </c>
    </row>
    <row r="10" ht="30" customHeight="1" s="40">
      <c r="A10" s="7" t="inlineStr">
        <is>
          <t>L-006</t>
        </is>
      </c>
      <c r="B10" s="5" t="inlineStr">
        <is>
          <t>Cultural sensitivity (HI)</t>
        </is>
      </c>
      <c r="C10" s="6" t="inlineStr">
        <is>
          <t>70</t>
        </is>
      </c>
      <c r="D10" s="5" t="inlineStr">
        <is>
          <t>Religious-festival neutrality</t>
        </is>
      </c>
      <c r="E10" s="5" t="inlineStr">
        <is>
          <t>1. Verify any festival references are presented neutrally (or rotate across festivals)</t>
        </is>
      </c>
      <c r="F10" s="5" t="inlineStr">
        <is>
          <t>Festival representation neutral</t>
        </is>
      </c>
      <c r="G10" s="6" t="inlineStr">
        <is>
          <t>P5</t>
        </is>
      </c>
      <c r="H10" s="6" t="inlineStr">
        <is>
          <t>Minor</t>
        </is>
      </c>
      <c r="I10" s="6" t="inlineStr">
        <is>
          <t>Manual</t>
        </is>
      </c>
      <c r="J10" s="5" t="inlineStr">
        <is>
          <t>No automated check today — manual only.</t>
        </is>
      </c>
      <c r="K10" t="inlineStr">
        <is>
          <t>4h</t>
        </is>
      </c>
      <c r="L10" t="inlineStr">
        <is>
          <t>Cultural-sensitivity reviewer</t>
        </is>
      </c>
      <c r="M10" t="inlineStr">
        <is>
          <t>n/a — manual evaluation</t>
        </is>
      </c>
      <c r="O10" t="inlineStr">
        <is>
          <t>Not Yet Run</t>
        </is>
      </c>
      <c r="Q10" t="inlineStr">
        <is>
          <t>—</t>
        </is>
      </c>
      <c r="R10" t="inlineStr">
        <is>
          <t>0%</t>
        </is>
      </c>
    </row>
    <row r="11" ht="36" customHeight="1" s="40">
      <c r="A11" s="7" t="inlineStr">
        <is>
          <t>L-007</t>
        </is>
      </c>
      <c r="B11" s="5" t="inlineStr">
        <is>
          <t>AI ethics / disclosure</t>
        </is>
      </c>
      <c r="C11" s="6" t="inlineStr">
        <is>
          <t>71</t>
        </is>
      </c>
      <c r="D11" s="5" t="inlineStr">
        <is>
          <t>UI-level LLM-curation disclosure</t>
        </is>
      </c>
      <c r="E11" s="5" t="inlineStr">
        <is>
          <t>1. Verify app has visible 'Content authored by AI, not native-reviewed' disclosure
2. Verify it's not buried</t>
        </is>
      </c>
      <c r="F11" s="5" t="inlineStr">
        <is>
          <t>Disclosure visible to learners</t>
        </is>
      </c>
      <c r="G11" s="6" t="inlineStr">
        <is>
          <t>P3</t>
        </is>
      </c>
      <c r="H11" s="6" t="inlineStr">
        <is>
          <t>Major</t>
        </is>
      </c>
      <c r="I11" s="6" t="inlineStr">
        <is>
          <t>Manual</t>
        </is>
      </c>
      <c r="J11" s="5" t="inlineStr">
        <is>
          <t>Currently only in CONTENT-LICENSE.md + AUDIT-COVERAGE</t>
        </is>
      </c>
      <c r="K11" t="inlineStr">
        <is>
          <t>4h</t>
        </is>
      </c>
      <c r="L11" t="inlineStr">
        <is>
          <t>Cultural-sensitivity reviewer</t>
        </is>
      </c>
      <c r="M11" t="inlineStr">
        <is>
          <t>n/a — manual evaluation</t>
        </is>
      </c>
      <c r="O11" t="inlineStr">
        <is>
          <t>Not Yet Run</t>
        </is>
      </c>
      <c r="Q11" t="inlineStr">
        <is>
          <t>—</t>
        </is>
      </c>
      <c r="R11" t="inlineStr">
        <is>
          <t>0%</t>
        </is>
      </c>
    </row>
    <row r="12" ht="30" customHeight="1" s="40">
      <c r="A12" s="7" t="inlineStr">
        <is>
          <t>L-008</t>
        </is>
      </c>
      <c r="B12" s="5" t="inlineStr">
        <is>
          <t>AI ethics / disclosure</t>
        </is>
      </c>
      <c r="C12" s="6" t="inlineStr">
        <is>
          <t>71</t>
        </is>
      </c>
      <c r="D12" s="5" t="inlineStr">
        <is>
          <t>Provenance per-entry transparency</t>
        </is>
      </c>
      <c r="E12" s="5" t="inlineStr">
        <is>
          <t>1. Per N5Improvement IMP-184 Avoid: provenance is NOT shown as UI trust signal
2. Verify</t>
        </is>
      </c>
      <c r="F12" s="5" t="inlineStr">
        <is>
          <t>Provenance not shown as trust signal</t>
        </is>
      </c>
      <c r="G12" s="6" t="inlineStr">
        <is>
          <t>P3</t>
        </is>
      </c>
      <c r="H12" s="6" t="inlineStr">
        <is>
          <t>Major</t>
        </is>
      </c>
      <c r="I12" s="6" t="inlineStr">
        <is>
          <t>Manual</t>
        </is>
      </c>
      <c r="J12" s="5" t="inlineStr">
        <is>
          <t>Already decided Avoid</t>
        </is>
      </c>
      <c r="K12" t="inlineStr">
        <is>
          <t>4h</t>
        </is>
      </c>
      <c r="L12" t="inlineStr">
        <is>
          <t>Cultural-sensitivity reviewer</t>
        </is>
      </c>
      <c r="M12" t="inlineStr">
        <is>
          <t>n/a — manual evaluation</t>
        </is>
      </c>
      <c r="O12" t="inlineStr">
        <is>
          <t>Not Yet Run</t>
        </is>
      </c>
      <c r="Q12" t="inlineStr">
        <is>
          <t>—</t>
        </is>
      </c>
      <c r="R12" t="inlineStr">
        <is>
          <t>0%</t>
        </is>
      </c>
    </row>
    <row r="13" ht="31" customHeight="1" s="40">
      <c r="A13" s="7" t="inlineStr">
        <is>
          <t>L-009</t>
        </is>
      </c>
      <c r="B13" s="5" t="inlineStr">
        <is>
          <t>AI ethics / disclosure</t>
        </is>
      </c>
      <c r="C13" s="6" t="inlineStr">
        <is>
          <t>71</t>
        </is>
      </c>
      <c r="D13" s="5" t="inlineStr">
        <is>
          <t>Confidence levels exposed appropriately (pitch-accent unverified)</t>
        </is>
      </c>
      <c r="E13" s="5" t="inlineStr">
        <is>
          <t>1. For `confidence: unverified` entries, verify learner-facing indication of lower confidence</t>
        </is>
      </c>
      <c r="F13" s="5" t="inlineStr">
        <is>
          <t>Unverified items flagged in UI OR documented choice not to</t>
        </is>
      </c>
      <c r="G13" s="6" t="inlineStr">
        <is>
          <t>P4</t>
        </is>
      </c>
      <c r="H13" s="6" t="inlineStr">
        <is>
          <t>Minor</t>
        </is>
      </c>
      <c r="I13" s="6" t="inlineStr">
        <is>
          <t>Manual</t>
        </is>
      </c>
      <c r="J13" s="5" t="inlineStr">
        <is>
          <t>No automated check today — manual only.</t>
        </is>
      </c>
      <c r="K13" t="inlineStr">
        <is>
          <t>4h</t>
        </is>
      </c>
      <c r="L13" t="inlineStr">
        <is>
          <t>Cultural-sensitivity reviewer</t>
        </is>
      </c>
      <c r="M13" t="inlineStr">
        <is>
          <t>n/a — manual evaluation</t>
        </is>
      </c>
      <c r="O13" t="inlineStr">
        <is>
          <t>Not Yet Run</t>
        </is>
      </c>
      <c r="Q13" t="inlineStr">
        <is>
          <t>—</t>
        </is>
      </c>
      <c r="R13" t="inlineStr">
        <is>
          <t>0%</t>
        </is>
      </c>
    </row>
    <row r="14" ht="30" customHeight="1" s="40">
      <c r="A14" s="7" t="inlineStr">
        <is>
          <t>L-010</t>
        </is>
      </c>
      <c r="B14" s="5" t="inlineStr">
        <is>
          <t>Trust &amp; safety</t>
        </is>
      </c>
      <c r="C14" s="6" t="inlineStr">
        <is>
          <t>72</t>
        </is>
      </c>
      <c r="D14" s="5" t="inlineStr">
        <is>
          <t>Feedback module content moderation (if UGC)</t>
        </is>
      </c>
      <c r="E14" s="5" t="inlineStr">
        <is>
          <t>1. If app accepts user feedback text, verify moderation flow
2. If no UGC, document</t>
        </is>
      </c>
      <c r="F14" s="5" t="inlineStr">
        <is>
          <t>UGC moderated OR not present</t>
        </is>
      </c>
      <c r="G14" s="6" t="inlineStr">
        <is>
          <t>P5</t>
        </is>
      </c>
      <c r="H14" s="6" t="inlineStr">
        <is>
          <t>Minor</t>
        </is>
      </c>
      <c r="I14" s="6" t="inlineStr">
        <is>
          <t>Manual</t>
        </is>
      </c>
      <c r="J14" s="5" t="inlineStr">
        <is>
          <t>No automated check today — manual only.</t>
        </is>
      </c>
      <c r="K14" t="inlineStr">
        <is>
          <t>4h</t>
        </is>
      </c>
      <c r="L14" t="inlineStr">
        <is>
          <t>Cultural-sensitivity reviewer</t>
        </is>
      </c>
      <c r="M14" t="inlineStr">
        <is>
          <t>n/a — manual evaluation</t>
        </is>
      </c>
      <c r="O14" t="inlineStr">
        <is>
          <t>Not Yet Run</t>
        </is>
      </c>
      <c r="Q14" t="inlineStr">
        <is>
          <t>—</t>
        </is>
      </c>
      <c r="R14" t="inlineStr">
        <is>
          <t>0%</t>
        </is>
      </c>
    </row>
    <row r="15" ht="72.5" customHeight="1" s="40">
      <c r="A15" s="18" t="inlineStr">
        <is>
          <t>L-011</t>
        </is>
      </c>
      <c r="B15" s="18" t="inlineStr">
        <is>
          <t>LLM disclosure timing</t>
        </is>
      </c>
      <c r="C15" s="18" t="inlineStr">
        <is>
          <t>2</t>
        </is>
      </c>
      <c r="D15" s="18" t="inlineStr">
        <is>
          <t>LLM-curation disclosure is shown BEFORE the user makes a trustworthiness judgment (not buried in About / Settings)</t>
        </is>
      </c>
      <c r="E15" s="18" t="inlineStr">
        <is>
          <t>1. From cold-start, monitor when the user encounters the disclosure (visible on home / first-lesson banner vs hidden in settings).
2. Pass: disclosure visible on first 2 screens; not behind ≥2 clicks.</t>
        </is>
      </c>
      <c r="F15" s="18" t="inlineStr">
        <is>
          <t>Disclosure visible within the first 2 screens; ≤1 click away from any content surface.</t>
        </is>
      </c>
      <c r="G15" s="18" t="inlineStr">
        <is>
          <t>P3</t>
        </is>
      </c>
      <c r="H15" s="18" t="inlineStr">
        <is>
          <t>Major</t>
        </is>
      </c>
      <c r="I15" s="18" t="inlineStr">
        <is>
          <t>Manual</t>
        </is>
      </c>
      <c r="J15" s="18" t="inlineStr">
        <is>
          <t>[BUG-032 new] Replaces vague L-007 'disclosure visible' angle.</t>
        </is>
      </c>
      <c r="K15" s="18" t="inlineStr">
        <is>
          <t>4h</t>
        </is>
      </c>
      <c r="L15" s="18" t="inlineStr">
        <is>
          <t>Cultural-sensitivity reviewer + UX designer</t>
        </is>
      </c>
      <c r="M15" s="18" t="inlineStr">
        <is>
          <t>Manual review + heuristic eval</t>
        </is>
      </c>
      <c r="N15" s="18" t="n"/>
      <c r="O15" s="18" t="inlineStr">
        <is>
          <t>Not Yet Run</t>
        </is>
      </c>
      <c r="P15" s="18" t="n"/>
      <c r="Q15" s="18" t="inlineStr">
        <is>
          <t>—</t>
        </is>
      </c>
      <c r="R15" s="18"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4"/>
  <sheetViews>
    <sheetView workbookViewId="0">
      <pane ySplit="4" topLeftCell="A5" activePane="bottomLeft" state="frozen"/>
      <selection pane="bottomLeft" activeCell="H24" sqref="H24"/>
    </sheetView>
  </sheetViews>
  <sheetFormatPr baseColWidth="8" defaultRowHeight="14.5"/>
  <cols>
    <col width="10" customWidth="1" style="40" min="1" max="1"/>
    <col width="19.08984375" customWidth="1" style="40" min="2" max="2"/>
    <col width="9.08984375" customWidth="1" style="40" min="3" max="3"/>
    <col width="43.6328125" customWidth="1" style="40" min="4" max="4"/>
    <col width="50.90625" customWidth="1" style="40" min="5" max="5"/>
    <col width="40" customWidth="1" style="40" min="6" max="6"/>
    <col width="14.54296875" customWidth="1" style="40" min="7" max="7"/>
    <col width="16.36328125" customWidth="1" style="40" min="8" max="8"/>
    <col width="14.54296875" customWidth="1" style="40" min="9" max="9"/>
    <col width="32.7265625" customWidth="1" style="40" min="10" max="10"/>
    <col width="16" customWidth="1" style="40" min="11" max="11"/>
    <col width="24" customWidth="1" style="40" min="12" max="12"/>
    <col width="32" customWidth="1" style="40" min="13" max="13"/>
    <col width="14" customWidth="1" style="40" min="14" max="15"/>
    <col width="18" customWidth="1" style="40" min="16" max="16"/>
    <col width="16" customWidth="1" style="40" min="17" max="17"/>
    <col width="12" customWidth="1" style="40" min="18" max="18"/>
  </cols>
  <sheetData>
    <row r="1" ht="28" customHeight="1" s="40">
      <c r="A1" s="39" t="inlineStr">
        <is>
          <t>M. Operations</t>
        </is>
      </c>
    </row>
    <row r="2" ht="36" customHeight="1" s="40">
      <c r="A2" s="42" t="inlineStr">
        <is>
          <t>Perspectives: DevOps/SRE, analytics, customer-support, documentation (perspectives 73-76)</t>
        </is>
      </c>
    </row>
    <row r="4" ht="24" customHeight="1" s="40">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0">
      <c r="A5" s="7" t="inlineStr">
        <is>
          <t>M-001</t>
        </is>
      </c>
      <c r="B5" s="5" t="inlineStr">
        <is>
          <t>DevOps</t>
        </is>
      </c>
      <c r="C5" s="6" t="inlineStr">
        <is>
          <t>73</t>
        </is>
      </c>
      <c r="D5" s="5" t="inlineStr">
        <is>
          <t>Deploy rollback procedure</t>
        </is>
      </c>
      <c r="E5" s="5" t="inlineStr">
        <is>
          <t>1. Push a bad deploy intentionally
2. Verify rollback &lt; 5 min</t>
        </is>
      </c>
      <c r="F5" s="5" t="inlineStr">
        <is>
          <t>Rollback works</t>
        </is>
      </c>
      <c r="G5" s="6" t="inlineStr">
        <is>
          <t>P3</t>
        </is>
      </c>
      <c r="H5" s="6" t="inlineStr">
        <is>
          <t>Major</t>
        </is>
      </c>
      <c r="I5" s="6" t="inlineStr">
        <is>
          <t>Manual</t>
        </is>
      </c>
      <c r="J5" s="5" t="inlineStr">
        <is>
          <t>[BUG-026] ELEVATED: Major severity (deploy rollback procedure) — downtime risk if no rollback. Elevated from P4 to P3 per BUG-026.</t>
        </is>
      </c>
      <c r="K5" t="inlineStr">
        <is>
          <t>1d</t>
        </is>
      </c>
      <c r="L5" t="inlineStr">
        <is>
          <t>DevOps / SRE</t>
        </is>
      </c>
      <c r="M5" t="inlineStr">
        <is>
          <t>n/a — manual evaluation</t>
        </is>
      </c>
      <c r="O5" t="inlineStr">
        <is>
          <t>Not Yet Run</t>
        </is>
      </c>
      <c r="Q5" t="inlineStr">
        <is>
          <t>—</t>
        </is>
      </c>
      <c r="R5" t="inlineStr">
        <is>
          <t>0%</t>
        </is>
      </c>
    </row>
    <row r="6" ht="30" customHeight="1" s="40">
      <c r="A6" s="7" t="inlineStr">
        <is>
          <t>M-002</t>
        </is>
      </c>
      <c r="B6" s="5" t="inlineStr">
        <is>
          <t>DevOps</t>
        </is>
      </c>
      <c r="C6" s="6" t="inlineStr">
        <is>
          <t>73</t>
        </is>
      </c>
      <c r="D6" s="5" t="inlineStr">
        <is>
          <t>Uptime monitoring (e.g., UptimeRobot)</t>
        </is>
      </c>
      <c r="E6" s="5" t="inlineStr">
        <is>
          <t>1. Verify external monitor pings homepage
2. Verify alert on downtime</t>
        </is>
      </c>
      <c r="F6" s="5" t="inlineStr">
        <is>
          <t>Monitoring + alerting active</t>
        </is>
      </c>
      <c r="G6" s="6" t="inlineStr">
        <is>
          <t>P5</t>
        </is>
      </c>
      <c r="H6" s="6" t="inlineStr">
        <is>
          <t>Minor</t>
        </is>
      </c>
      <c r="I6" s="6" t="inlineStr">
        <is>
          <t>Manual</t>
        </is>
      </c>
      <c r="J6" s="5" t="inlineStr">
        <is>
          <t>No automated check today — manual only.</t>
        </is>
      </c>
      <c r="K6" t="inlineStr">
        <is>
          <t>4h</t>
        </is>
      </c>
      <c r="L6" t="inlineStr">
        <is>
          <t>DevOps / SRE</t>
        </is>
      </c>
      <c r="M6" t="inlineStr">
        <is>
          <t>n/a — manual evaluation</t>
        </is>
      </c>
      <c r="O6" t="inlineStr">
        <is>
          <t>Not Yet Run</t>
        </is>
      </c>
      <c r="Q6" t="inlineStr">
        <is>
          <t>—</t>
        </is>
      </c>
      <c r="R6" t="inlineStr">
        <is>
          <t>0%</t>
        </is>
      </c>
    </row>
    <row r="7" ht="30" customHeight="1" s="40">
      <c r="A7" s="7" t="inlineStr">
        <is>
          <t>M-003</t>
        </is>
      </c>
      <c r="B7" s="5" t="inlineStr">
        <is>
          <t>DevOps</t>
        </is>
      </c>
      <c r="C7" s="6" t="inlineStr">
        <is>
          <t>73</t>
        </is>
      </c>
      <c r="D7" s="5" t="inlineStr">
        <is>
          <t>CI-failure alerting</t>
        </is>
      </c>
      <c r="E7" s="5" t="inlineStr">
        <is>
          <t>1. Cause CI failure
2. Verify maintainer notified</t>
        </is>
      </c>
      <c r="F7" s="5" t="inlineStr">
        <is>
          <t>CI alerts work</t>
        </is>
      </c>
      <c r="G7" s="6" t="inlineStr">
        <is>
          <t>P5</t>
        </is>
      </c>
      <c r="H7" s="6" t="inlineStr">
        <is>
          <t>Minor</t>
        </is>
      </c>
      <c r="I7" s="6" t="inlineStr">
        <is>
          <t>Manual</t>
        </is>
      </c>
      <c r="J7" s="5" t="inlineStr">
        <is>
          <t>No automated check today — manual only.</t>
        </is>
      </c>
      <c r="K7" t="inlineStr">
        <is>
          <t>4h</t>
        </is>
      </c>
      <c r="L7" t="inlineStr">
        <is>
          <t>DevOps / SRE</t>
        </is>
      </c>
      <c r="M7" t="inlineStr">
        <is>
          <t>n/a — manual evaluation</t>
        </is>
      </c>
      <c r="O7" t="inlineStr">
        <is>
          <t>Not Yet Run</t>
        </is>
      </c>
      <c r="Q7" t="inlineStr">
        <is>
          <t>—</t>
        </is>
      </c>
      <c r="R7" t="inlineStr">
        <is>
          <t>0%</t>
        </is>
      </c>
    </row>
    <row r="8" ht="38" customHeight="1" s="40">
      <c r="A8" s="7" t="inlineStr">
        <is>
          <t>M-004</t>
        </is>
      </c>
      <c r="B8" s="5" t="inlineStr">
        <is>
          <t>Analytics</t>
        </is>
      </c>
      <c r="C8" s="6" t="inlineStr">
        <is>
          <t>74</t>
        </is>
      </c>
      <c r="D8" s="5" t="inlineStr">
        <is>
          <t>Privacy-respecting analytics verification (or zero-analytics)</t>
        </is>
      </c>
      <c r="E8" s="5" t="inlineStr">
        <is>
          <t>1. Inspect production network for analytics calls
2. Verify either zero OR privacy-respecting (Plausible / Fathom)</t>
        </is>
      </c>
      <c r="F8" s="5" t="inlineStr">
        <is>
          <t>Privacy-respecting OR zero</t>
        </is>
      </c>
      <c r="G8" s="6" t="inlineStr">
        <is>
          <t>P5</t>
        </is>
      </c>
      <c r="H8" s="6" t="inlineStr">
        <is>
          <t>Minor</t>
        </is>
      </c>
      <c r="I8" s="6" t="inlineStr">
        <is>
          <t>Manual</t>
        </is>
      </c>
      <c r="J8" s="5" t="inlineStr">
        <is>
          <t>Currently claims zero tracking</t>
        </is>
      </c>
      <c r="K8" t="inlineStr">
        <is>
          <t>4h</t>
        </is>
      </c>
      <c r="L8" t="inlineStr">
        <is>
          <t>DevOps / SRE</t>
        </is>
      </c>
      <c r="M8" t="inlineStr">
        <is>
          <t>n/a — manual evaluation</t>
        </is>
      </c>
      <c r="O8" t="inlineStr">
        <is>
          <t>Not Yet Run</t>
        </is>
      </c>
      <c r="Q8" t="inlineStr">
        <is>
          <t>—</t>
        </is>
      </c>
      <c r="R8" t="inlineStr">
        <is>
          <t>0%</t>
        </is>
      </c>
    </row>
    <row r="9" ht="30" customHeight="1" s="40">
      <c r="A9" s="7" t="inlineStr">
        <is>
          <t>M-005</t>
        </is>
      </c>
      <c r="B9" s="5" t="inlineStr">
        <is>
          <t>Customer support</t>
        </is>
      </c>
      <c r="C9" s="6" t="inlineStr">
        <is>
          <t>75</t>
        </is>
      </c>
      <c r="D9" s="5" t="inlineStr">
        <is>
          <t>Feedback-triage SLA</t>
        </is>
      </c>
      <c r="E9" s="5" t="inlineStr">
        <is>
          <t>1. Submit a test feedback item
2. Measure time to acknowledgment</t>
        </is>
      </c>
      <c r="F9" s="5" t="inlineStr">
        <is>
          <t>SLA met (e.g., 48h)</t>
        </is>
      </c>
      <c r="G9" s="6" t="inlineStr">
        <is>
          <t>P5</t>
        </is>
      </c>
      <c r="H9" s="6" t="inlineStr">
        <is>
          <t>Minor</t>
        </is>
      </c>
      <c r="I9" s="6" t="inlineStr">
        <is>
          <t>Manual</t>
        </is>
      </c>
      <c r="J9" s="5" t="inlineStr">
        <is>
          <t>N5/feedback/ files exist</t>
        </is>
      </c>
      <c r="K9" t="inlineStr">
        <is>
          <t>4h</t>
        </is>
      </c>
      <c r="L9" t="inlineStr">
        <is>
          <t>DevOps / SRE</t>
        </is>
      </c>
      <c r="M9" t="inlineStr">
        <is>
          <t>n/a — manual evaluation</t>
        </is>
      </c>
      <c r="O9" t="inlineStr">
        <is>
          <t>Not Yet Run</t>
        </is>
      </c>
      <c r="Q9" t="inlineStr">
        <is>
          <t>—</t>
        </is>
      </c>
      <c r="R9" t="inlineStr">
        <is>
          <t>0%</t>
        </is>
      </c>
    </row>
    <row r="10" ht="31" customHeight="1" s="40">
      <c r="A10" s="7" t="inlineStr">
        <is>
          <t>M-006</t>
        </is>
      </c>
      <c r="B10" s="5" t="inlineStr">
        <is>
          <t>Customer support</t>
        </is>
      </c>
      <c r="C10" s="6" t="inlineStr">
        <is>
          <t>75</t>
        </is>
      </c>
      <c r="D10" s="5" t="inlineStr">
        <is>
          <t>Feedback-to-fix conversion rate</t>
        </is>
      </c>
      <c r="E10" s="5" t="inlineStr">
        <is>
          <t>1. Audit last 10 feedback items
2. Verify each has a disposition (fixed / deferred / wontfix)</t>
        </is>
      </c>
      <c r="F10" s="5" t="inlineStr">
        <is>
          <t>All feedback items dispositioned</t>
        </is>
      </c>
      <c r="G10" s="6" t="inlineStr">
        <is>
          <t>P5</t>
        </is>
      </c>
      <c r="H10" s="6" t="inlineStr">
        <is>
          <t>Minor</t>
        </is>
      </c>
      <c r="I10" s="6" t="inlineStr">
        <is>
          <t>Manual</t>
        </is>
      </c>
      <c r="J10" s="5" t="inlineStr">
        <is>
          <t>No automated check today — manual only.</t>
        </is>
      </c>
      <c r="K10" t="inlineStr">
        <is>
          <t>4h</t>
        </is>
      </c>
      <c r="L10" t="inlineStr">
        <is>
          <t>DevOps / SRE</t>
        </is>
      </c>
      <c r="M10" t="inlineStr">
        <is>
          <t>n/a — manual evaluation</t>
        </is>
      </c>
      <c r="O10" t="inlineStr">
        <is>
          <t>Not Yet Run</t>
        </is>
      </c>
      <c r="Q10" t="inlineStr">
        <is>
          <t>—</t>
        </is>
      </c>
      <c r="R10" t="inlineStr">
        <is>
          <t>0%</t>
        </is>
      </c>
    </row>
    <row r="11" ht="30" customHeight="1" s="40">
      <c r="A11" s="7" t="inlineStr">
        <is>
          <t>M-007</t>
        </is>
      </c>
      <c r="B11" s="5" t="inlineStr">
        <is>
          <t>Documentation</t>
        </is>
      </c>
      <c r="C11" s="6" t="inlineStr">
        <is>
          <t>76</t>
        </is>
      </c>
      <c r="D11" s="5" t="inlineStr">
        <is>
          <t>README accuracy (matches actual state)</t>
        </is>
      </c>
      <c r="E11" s="5" t="inlineStr">
        <is>
          <t>1. Read README
2. Verify every claim matches repo</t>
        </is>
      </c>
      <c r="F11" s="5" t="inlineStr">
        <is>
          <t>README accurate</t>
        </is>
      </c>
      <c r="G11" s="6" t="inlineStr">
        <is>
          <t>P5</t>
        </is>
      </c>
      <c r="H11" s="6" t="inlineStr">
        <is>
          <t>Minor</t>
        </is>
      </c>
      <c r="I11" s="6" t="inlineStr">
        <is>
          <t>Manual</t>
        </is>
      </c>
      <c r="J11" s="5" t="inlineStr">
        <is>
          <t>No automated check today — manual only.</t>
        </is>
      </c>
      <c r="K11" t="inlineStr">
        <is>
          <t>4h</t>
        </is>
      </c>
      <c r="L11" t="inlineStr">
        <is>
          <t>DevOps / SRE</t>
        </is>
      </c>
      <c r="M11" t="inlineStr">
        <is>
          <t>n/a — manual evaluation</t>
        </is>
      </c>
      <c r="O11" t="inlineStr">
        <is>
          <t>Not Yet Run</t>
        </is>
      </c>
      <c r="Q11" t="inlineStr">
        <is>
          <t>—</t>
        </is>
      </c>
      <c r="R11" t="inlineStr">
        <is>
          <t>0%</t>
        </is>
      </c>
    </row>
    <row r="12" ht="30" customHeight="1" s="40">
      <c r="A12" s="7" t="inlineStr">
        <is>
          <t>M-008</t>
        </is>
      </c>
      <c r="B12" s="5" t="inlineStr">
        <is>
          <t>Documentation</t>
        </is>
      </c>
      <c r="C12" s="6" t="inlineStr">
        <is>
          <t>76</t>
        </is>
      </c>
      <c r="D12" s="5" t="inlineStr">
        <is>
          <t>Contribution guide accuracy</t>
        </is>
      </c>
      <c r="E12" s="5" t="inlineStr">
        <is>
          <t>1. New contributor follows CONTRIBUTING.md
2. Verify steps work</t>
        </is>
      </c>
      <c r="F12" s="5" t="inlineStr">
        <is>
          <t>Onboarding-by-doc works</t>
        </is>
      </c>
      <c r="G12" s="6" t="inlineStr">
        <is>
          <t>P5</t>
        </is>
      </c>
      <c r="H12" s="6" t="inlineStr">
        <is>
          <t>Minor</t>
        </is>
      </c>
      <c r="I12" s="6" t="inlineStr">
        <is>
          <t>Manual</t>
        </is>
      </c>
      <c r="J12" s="5" t="inlineStr">
        <is>
          <t>No automated check today — manual only.</t>
        </is>
      </c>
      <c r="K12" t="inlineStr">
        <is>
          <t>4h</t>
        </is>
      </c>
      <c r="L12" t="inlineStr">
        <is>
          <t>DevOps / SRE</t>
        </is>
      </c>
      <c r="M12" t="inlineStr">
        <is>
          <t>n/a — manual evaluation</t>
        </is>
      </c>
      <c r="O12" t="inlineStr">
        <is>
          <t>Not Yet Run</t>
        </is>
      </c>
      <c r="Q12" t="inlineStr">
        <is>
          <t>—</t>
        </is>
      </c>
      <c r="R12" t="inlineStr">
        <is>
          <t>0%</t>
        </is>
      </c>
    </row>
    <row r="13" ht="30" customHeight="1" s="40">
      <c r="A13" s="7" t="inlineStr">
        <is>
          <t>M-009</t>
        </is>
      </c>
      <c r="B13" s="5" t="inlineStr">
        <is>
          <t>Documentation</t>
        </is>
      </c>
      <c r="C13" s="6" t="inlineStr">
        <is>
          <t>76</t>
        </is>
      </c>
      <c r="D13" s="5" t="inlineStr">
        <is>
          <t>Cross-link integrity within /docs</t>
        </is>
      </c>
      <c r="E13" s="5" t="inlineStr">
        <is>
          <t>1. Render all docs/*.md
2. Verify all internal links resolve</t>
        </is>
      </c>
      <c r="F13" s="5" t="inlineStr">
        <is>
          <t>0 broken doc links</t>
        </is>
      </c>
      <c r="G13" s="6" t="inlineStr">
        <is>
          <t>P5</t>
        </is>
      </c>
      <c r="H13" s="6" t="inlineStr">
        <is>
          <t>Minor</t>
        </is>
      </c>
      <c r="I13" s="6" t="inlineStr">
        <is>
          <t>Auto</t>
        </is>
      </c>
      <c r="J13" s="5" t="inlineStr">
        <is>
          <t>No automated check today — manual only.</t>
        </is>
      </c>
      <c r="K13" t="inlineStr">
        <is>
          <t>4h</t>
        </is>
      </c>
      <c r="L13" t="inlineStr">
        <is>
          <t>DevOps / SRE</t>
        </is>
      </c>
      <c r="M13" t="inlineStr">
        <is>
          <t>n/a — manual evaluation</t>
        </is>
      </c>
      <c r="O13" t="inlineStr">
        <is>
          <t>Not Yet Run</t>
        </is>
      </c>
      <c r="Q13" t="inlineStr">
        <is>
          <t>—</t>
        </is>
      </c>
      <c r="R13" t="inlineStr">
        <is>
          <t>0%</t>
        </is>
      </c>
    </row>
    <row r="14" ht="30" customHeight="1" s="40">
      <c r="A14" s="7" t="inlineStr">
        <is>
          <t>M-010</t>
        </is>
      </c>
      <c r="B14" s="5" t="inlineStr">
        <is>
          <t>Documentation</t>
        </is>
      </c>
      <c r="C14" s="6" t="inlineStr">
        <is>
          <t>76</t>
        </is>
      </c>
      <c r="D14" s="5" t="inlineStr">
        <is>
          <t>Audit-coverage doc dated correctly + reflecting current commit</t>
        </is>
      </c>
      <c r="E14" s="5" t="inlineStr">
        <is>
          <t>1. Open AUDIT-COVERAGE-YYYY-MM-DD.md
2. Verify date matches last data-change commit</t>
        </is>
      </c>
      <c r="F14" s="5" t="inlineStr">
        <is>
          <t>Coverage doc current</t>
        </is>
      </c>
      <c r="G14" s="6" t="inlineStr">
        <is>
          <t>P5</t>
        </is>
      </c>
      <c r="H14" s="6" t="inlineStr">
        <is>
          <t>Minor</t>
        </is>
      </c>
      <c r="I14" s="6" t="inlineStr">
        <is>
          <t>Manual</t>
        </is>
      </c>
      <c r="J14" s="5" t="inlineStr">
        <is>
          <t>Operational scenario; no automated check today — manual only. Run quarterly during ops review.</t>
        </is>
      </c>
      <c r="K14" t="inlineStr">
        <is>
          <t>&gt;1wk</t>
        </is>
      </c>
      <c r="L14" t="inlineStr">
        <is>
          <t>DevOps / SRE</t>
        </is>
      </c>
      <c r="M14" t="inlineStr">
        <is>
          <t>n/a — manual evaluation</t>
        </is>
      </c>
      <c r="O14" t="inlineStr">
        <is>
          <t>Not Yet Run</t>
        </is>
      </c>
      <c r="Q14" t="inlineStr">
        <is>
          <t>—</t>
        </is>
      </c>
      <c r="R14"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tabSelected="1" workbookViewId="0">
      <pane ySplit="4" topLeftCell="A5" activePane="bottomLeft" state="frozen"/>
      <selection activeCell="H40" sqref="H40"/>
      <selection pane="bottomLeft" activeCell="H40" sqref="H40"/>
    </sheetView>
  </sheetViews>
  <sheetFormatPr baseColWidth="8" defaultRowHeight="14.5"/>
  <cols>
    <col width="10" customWidth="1" style="40" min="1" max="1"/>
    <col width="19.08984375" customWidth="1" style="40" min="2" max="2"/>
    <col width="9.08984375" customWidth="1" style="40" min="3" max="3"/>
    <col width="43.6328125" customWidth="1" style="40" min="4" max="4"/>
    <col width="50.90625" customWidth="1" style="40" min="5" max="5"/>
    <col width="40" customWidth="1" style="40" min="6" max="6"/>
    <col width="14.54296875" customWidth="1" style="40" min="7" max="7"/>
    <col width="16.36328125" customWidth="1" style="40" min="8" max="8"/>
    <col width="14.54296875" customWidth="1" style="40" min="9" max="9"/>
    <col width="32.7265625" customWidth="1" style="40" min="10" max="10"/>
    <col width="16" customWidth="1" style="40" min="11" max="11"/>
    <col width="24" customWidth="1" style="40" min="12" max="12"/>
    <col width="32" customWidth="1" style="40" min="13" max="13"/>
    <col width="14" customWidth="1" style="40" min="14" max="15"/>
    <col width="18" customWidth="1" style="40" min="16" max="16"/>
    <col width="16" customWidth="1" style="40" min="17" max="17"/>
    <col width="12" customWidth="1" style="40" min="18" max="18"/>
  </cols>
  <sheetData>
    <row r="1" ht="28" customHeight="1" s="40">
      <c r="A1" s="39" t="inlineStr">
        <is>
          <t>N. End-user POV</t>
        </is>
      </c>
    </row>
    <row r="2" ht="36" customHeight="1" s="40">
      <c r="A2" s="42" t="inlineStr">
        <is>
          <t>Perspectives: Primary-persona learner, self-study, classroom-instructor, returning-learner, bilingual-toggle, mobile/emerging-market, visually-impaired, cognitively-diverse (perspectives 77-84)</t>
        </is>
      </c>
    </row>
    <row r="4" ht="24" customHeight="1" s="40">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0">
      <c r="A5" s="7" t="inlineStr">
        <is>
          <t>N-001</t>
        </is>
      </c>
      <c r="B5" s="5" t="inlineStr">
        <is>
          <t>Primary persona</t>
        </is>
      </c>
      <c r="C5" s="6" t="inlineStr">
        <is>
          <t>77</t>
        </is>
      </c>
      <c r="D5" s="5" t="inlineStr">
        <is>
          <t>Hindi-L1 + EN-L2 + JA-L3 learner first session</t>
        </is>
      </c>
      <c r="E5" s="5" t="inlineStr">
        <is>
          <t>1. Recruit such learner
2. Observe 30-min session
3. Note language-switching cognitive load</t>
        </is>
      </c>
      <c r="F5" s="5" t="inlineStr">
        <is>
          <t>Learner completes ≥1 module without aborting</t>
        </is>
      </c>
      <c r="G5" s="6" t="inlineStr">
        <is>
          <t>P3</t>
        </is>
      </c>
      <c r="H5" s="6" t="inlineStr">
        <is>
          <t>Major</t>
        </is>
      </c>
      <c r="I5" s="6" t="inlineStr">
        <is>
          <t>Manual</t>
        </is>
      </c>
      <c r="J5" s="5" t="inlineStr">
        <is>
          <t>No automated check today — manual only. | [BUG-034] Onboarding scenario; overlaps with D-013/D-014 but retained for end-to-end-journey angle (cold-start + first-lesson completion across UX + content + i18n).</t>
        </is>
      </c>
      <c r="K5" t="inlineStr">
        <is>
          <t>1wk</t>
        </is>
      </c>
      <c r="L5" t="inlineStr">
        <is>
          <t>Primary-persona learner (HI-L1, EN-L2)</t>
        </is>
      </c>
      <c r="M5" t="inlineStr">
        <is>
          <t>n/a — manual evaluation</t>
        </is>
      </c>
      <c r="O5" t="inlineStr">
        <is>
          <t>Not Yet Run</t>
        </is>
      </c>
      <c r="Q5" t="inlineStr">
        <is>
          <t>—</t>
        </is>
      </c>
      <c r="R5" t="inlineStr">
        <is>
          <t>0%</t>
        </is>
      </c>
    </row>
    <row r="6" ht="30" customHeight="1" s="40">
      <c r="A6" s="7" t="inlineStr">
        <is>
          <t>N-002</t>
        </is>
      </c>
      <c r="B6" s="5" t="inlineStr">
        <is>
          <t>Primary persona</t>
        </is>
      </c>
      <c r="C6" s="6" t="inlineStr">
        <is>
          <t>77</t>
        </is>
      </c>
      <c r="D6" s="5" t="inlineStr">
        <is>
          <t>Mid-session locale toggle behavior</t>
        </is>
      </c>
      <c r="E6" s="5" t="inlineStr">
        <is>
          <t>1. Learner toggles EN ↔ HI mid-lesson
2. Verify state preserved + content adapts</t>
        </is>
      </c>
      <c r="F6" s="5" t="inlineStr">
        <is>
          <t>Toggle is non-destructive</t>
        </is>
      </c>
      <c r="G6" s="6" t="inlineStr">
        <is>
          <t>P3</t>
        </is>
      </c>
      <c r="H6" s="6" t="inlineStr">
        <is>
          <t>Major</t>
        </is>
      </c>
      <c r="I6" s="6" t="inlineStr">
        <is>
          <t>Manual</t>
        </is>
      </c>
      <c r="J6" s="5" t="inlineStr">
        <is>
          <t>No automated check today — manual only. | [BUG-034] Onboarding scenario; overlaps with D-014 but retained for end-to-end-journey angle.</t>
        </is>
      </c>
      <c r="K6" t="inlineStr">
        <is>
          <t>1wk</t>
        </is>
      </c>
      <c r="L6" t="inlineStr">
        <is>
          <t>Primary-persona learner (HI-L1, EN-L2)</t>
        </is>
      </c>
      <c r="M6" t="inlineStr">
        <is>
          <t>n/a — manual evaluation</t>
        </is>
      </c>
      <c r="O6" t="inlineStr">
        <is>
          <t>Not Yet Run</t>
        </is>
      </c>
      <c r="Q6" t="inlineStr">
        <is>
          <t>—</t>
        </is>
      </c>
      <c r="R6" t="inlineStr">
        <is>
          <t>0%</t>
        </is>
      </c>
    </row>
    <row r="7" ht="30" customHeight="1" s="40">
      <c r="A7" s="7" t="inlineStr">
        <is>
          <t>N-003</t>
        </is>
      </c>
      <c r="B7" s="5" t="inlineStr">
        <is>
          <t>Self-study</t>
        </is>
      </c>
      <c r="C7" s="6" t="inlineStr">
        <is>
          <t>78</t>
        </is>
      </c>
      <c r="D7" s="5" t="inlineStr">
        <is>
          <t>Day-1 learner can complete a full vocab session unaided</t>
        </is>
      </c>
      <c r="E7" s="5" t="inlineStr">
        <is>
          <t>Method: unmoderated remote first-task completion (Maze / Loop11 / similar).
Sample: 10 participants matching the primary persona (HI-L1 self-study learner).
Pass criterion: ≥8 of 10 complete the onboarding-to-first-lesson flow without contacting support.</t>
        </is>
      </c>
      <c r="F7" s="5" t="inlineStr">
        <is>
          <t>≥80% completion without help</t>
        </is>
      </c>
      <c r="G7" s="6" t="inlineStr">
        <is>
          <t>P3</t>
        </is>
      </c>
      <c r="H7" s="6" t="inlineStr">
        <is>
          <t>Major</t>
        </is>
      </c>
      <c r="I7" s="6" t="inlineStr">
        <is>
          <t>Manual</t>
        </is>
      </c>
      <c r="J7" s="5" t="inlineStr">
        <is>
          <t>UX evaluation method and sample size now specified in Test-steps cell per BUG-031. | [BUG-034] Day-1 completion; overlaps with D-013 — see UX-augmented Test-steps per BUG-031. End-to-end-journey lens retained.</t>
        </is>
      </c>
      <c r="K7" t="inlineStr">
        <is>
          <t>1wk</t>
        </is>
      </c>
      <c r="L7" t="inlineStr">
        <is>
          <t>Primary-persona learner (HI-L1, EN-L2)</t>
        </is>
      </c>
      <c r="M7" t="inlineStr">
        <is>
          <t>n/a — manual evaluation</t>
        </is>
      </c>
      <c r="O7" t="inlineStr">
        <is>
          <t>Not Yet Run</t>
        </is>
      </c>
      <c r="Q7" t="inlineStr">
        <is>
          <t>—</t>
        </is>
      </c>
      <c r="R7" t="inlineStr">
        <is>
          <t>0%</t>
        </is>
      </c>
    </row>
    <row r="8" ht="30" customHeight="1" s="40">
      <c r="A8" s="7" t="inlineStr">
        <is>
          <t>N-004</t>
        </is>
      </c>
      <c r="B8" s="5" t="inlineStr">
        <is>
          <t>Self-study</t>
        </is>
      </c>
      <c r="C8" s="6" t="inlineStr">
        <is>
          <t>79</t>
        </is>
      </c>
      <c r="D8" s="5" t="inlineStr">
        <is>
          <t>Pacing expectations set clearly (e.g., 30 min/day for 6 months)</t>
        </is>
      </c>
      <c r="E8" s="5" t="inlineStr">
        <is>
          <t>1. Verify app communicates expected pace
2. Verify learner can adjust</t>
        </is>
      </c>
      <c r="F8" s="5" t="inlineStr">
        <is>
          <t>Pace communicated</t>
        </is>
      </c>
      <c r="G8" s="6" t="inlineStr">
        <is>
          <t>P5</t>
        </is>
      </c>
      <c r="H8" s="6" t="inlineStr">
        <is>
          <t>Minor</t>
        </is>
      </c>
      <c r="I8" s="6" t="inlineStr">
        <is>
          <t>Manual</t>
        </is>
      </c>
      <c r="J8" s="5" t="inlineStr">
        <is>
          <t>No automated check today — manual only.</t>
        </is>
      </c>
      <c r="K8" t="inlineStr">
        <is>
          <t>1wk</t>
        </is>
      </c>
      <c r="L8" t="inlineStr">
        <is>
          <t>Primary-persona learner (HI-L1, EN-L2)</t>
        </is>
      </c>
      <c r="M8" t="inlineStr">
        <is>
          <t>n/a — manual evaluation</t>
        </is>
      </c>
      <c r="O8" t="inlineStr">
        <is>
          <t>Not Yet Run</t>
        </is>
      </c>
      <c r="Q8" t="inlineStr">
        <is>
          <t>—</t>
        </is>
      </c>
      <c r="R8" t="inlineStr">
        <is>
          <t>0%</t>
        </is>
      </c>
    </row>
    <row r="9" ht="30" customHeight="1" s="40">
      <c r="A9" s="7" t="inlineStr">
        <is>
          <t>N-005</t>
        </is>
      </c>
      <c r="B9" s="5" t="inlineStr">
        <is>
          <t>Classroom instructor</t>
        </is>
      </c>
      <c r="C9" s="6" t="inlineStr">
        <is>
          <t>79</t>
        </is>
      </c>
      <c r="D9" s="5" t="inlineStr">
        <is>
          <t>Instructor uses app as Genki-adjunct</t>
        </is>
      </c>
      <c r="E9" s="5" t="inlineStr">
        <is>
          <t>1. Instructor maps Genki chapter to N5 patterns
2. Assigns app modules as homework</t>
        </is>
      </c>
      <c r="F9" s="5" t="inlineStr">
        <is>
          <t>Mapping is easy + works</t>
        </is>
      </c>
      <c r="G9" s="6" t="inlineStr">
        <is>
          <t>P5</t>
        </is>
      </c>
      <c r="H9" s="6" t="inlineStr">
        <is>
          <t>Minor</t>
        </is>
      </c>
      <c r="I9" s="6" t="inlineStr">
        <is>
          <t>Manual</t>
        </is>
      </c>
      <c r="J9" s="5" t="inlineStr">
        <is>
          <t>No automated check today — manual only.</t>
        </is>
      </c>
      <c r="K9" t="inlineStr">
        <is>
          <t>1wk</t>
        </is>
      </c>
      <c r="L9" t="inlineStr">
        <is>
          <t>Primary-persona learner (HI-L1, EN-L2)</t>
        </is>
      </c>
      <c r="M9" t="inlineStr">
        <is>
          <t>n/a — manual evaluation</t>
        </is>
      </c>
      <c r="O9" t="inlineStr">
        <is>
          <t>Not Yet Run</t>
        </is>
      </c>
      <c r="Q9" t="inlineStr">
        <is>
          <t>—</t>
        </is>
      </c>
      <c r="R9" t="inlineStr">
        <is>
          <t>0%</t>
        </is>
      </c>
    </row>
    <row r="10" ht="30" customHeight="1" s="40">
      <c r="A10" s="7" t="inlineStr">
        <is>
          <t>N-006</t>
        </is>
      </c>
      <c r="B10" s="5" t="inlineStr">
        <is>
          <t>Classroom instructor</t>
        </is>
      </c>
      <c r="C10" s="6" t="inlineStr">
        <is>
          <t>79</t>
        </is>
      </c>
      <c r="D10" s="5" t="inlineStr">
        <is>
          <t>Offline-classroom use (no wifi)</t>
        </is>
      </c>
      <c r="E10" s="5" t="inlineStr">
        <is>
          <t>1. Pre-cache app on lab machines
2. Verify offline functionality complete</t>
        </is>
      </c>
      <c r="F10" s="5" t="inlineStr">
        <is>
          <t>Offline use viable</t>
        </is>
      </c>
      <c r="G10" s="6" t="inlineStr">
        <is>
          <t>P5</t>
        </is>
      </c>
      <c r="H10" s="6" t="inlineStr">
        <is>
          <t>Minor</t>
        </is>
      </c>
      <c r="I10" s="6" t="inlineStr">
        <is>
          <t>Manual</t>
        </is>
      </c>
      <c r="J10" s="5" t="inlineStr">
        <is>
          <t>No automated check today — manual only.</t>
        </is>
      </c>
      <c r="K10" t="inlineStr">
        <is>
          <t>1wk</t>
        </is>
      </c>
      <c r="L10" t="inlineStr">
        <is>
          <t>Primary-persona learner (HI-L1, EN-L2)</t>
        </is>
      </c>
      <c r="M10" t="inlineStr">
        <is>
          <t>n/a — manual evaluation</t>
        </is>
      </c>
      <c r="O10" t="inlineStr">
        <is>
          <t>Not Yet Run</t>
        </is>
      </c>
      <c r="Q10" t="inlineStr">
        <is>
          <t>—</t>
        </is>
      </c>
      <c r="R10" t="inlineStr">
        <is>
          <t>0%</t>
        </is>
      </c>
    </row>
    <row r="11" ht="40" customHeight="1" s="40">
      <c r="A11" s="7" t="inlineStr">
        <is>
          <t>N-007</t>
        </is>
      </c>
      <c r="B11" s="5" t="inlineStr">
        <is>
          <t>Returning learner</t>
        </is>
      </c>
      <c r="C11" s="6" t="inlineStr">
        <is>
          <t>80</t>
        </is>
      </c>
      <c r="D11" s="5" t="inlineStr">
        <is>
          <t>Cold-start recovery after 6-month break</t>
        </is>
      </c>
      <c r="E11" s="5" t="inlineStr">
        <is>
          <t>1. Simulate long absence (manipulate localStorage timestamps)
2. Open app
3. Verify 'welcome back' + suggested resumption</t>
        </is>
      </c>
      <c r="F11" s="5" t="inlineStr">
        <is>
          <t>Smooth resumption</t>
        </is>
      </c>
      <c r="G11" s="6" t="inlineStr">
        <is>
          <t>P5</t>
        </is>
      </c>
      <c r="H11" s="6" t="inlineStr">
        <is>
          <t>Minor</t>
        </is>
      </c>
      <c r="I11" s="6" t="inlineStr">
        <is>
          <t>Manual</t>
        </is>
      </c>
      <c r="J11" s="5" t="inlineStr">
        <is>
          <t>No automated check today — manual only.</t>
        </is>
      </c>
      <c r="K11" t="inlineStr">
        <is>
          <t>1wk</t>
        </is>
      </c>
      <c r="L11" t="inlineStr">
        <is>
          <t>Primary-persona learner (HI-L1, EN-L2)</t>
        </is>
      </c>
      <c r="M11" t="inlineStr">
        <is>
          <t>n/a — manual evaluation</t>
        </is>
      </c>
      <c r="O11" t="inlineStr">
        <is>
          <t>Not Yet Run</t>
        </is>
      </c>
      <c r="Q11" t="inlineStr">
        <is>
          <t>—</t>
        </is>
      </c>
      <c r="R11" t="inlineStr">
        <is>
          <t>0%</t>
        </is>
      </c>
    </row>
    <row r="12" ht="30" customHeight="1" s="40">
      <c r="A12" s="7" t="inlineStr">
        <is>
          <t>N-008</t>
        </is>
      </c>
      <c r="B12" s="5" t="inlineStr">
        <is>
          <t>Returning learner</t>
        </is>
      </c>
      <c r="C12" s="6" t="inlineStr">
        <is>
          <t>80</t>
        </is>
      </c>
      <c r="D12" s="5" t="inlineStr">
        <is>
          <t>SRS scheduling resilience to long gaps</t>
        </is>
      </c>
      <c r="E12" s="5" t="inlineStr">
        <is>
          <t>1. Simulate 30-day absence
2. Verify SRS doesn't dump all-cards-due simultaneously</t>
        </is>
      </c>
      <c r="F12" s="5" t="inlineStr">
        <is>
          <t>Graceful catch-up mode</t>
        </is>
      </c>
      <c r="G12" s="6" t="inlineStr">
        <is>
          <t>P5</t>
        </is>
      </c>
      <c r="H12" s="6" t="inlineStr">
        <is>
          <t>Minor</t>
        </is>
      </c>
      <c r="I12" s="6" t="inlineStr">
        <is>
          <t>Manual</t>
        </is>
      </c>
      <c r="J12" s="5" t="inlineStr">
        <is>
          <t>No automated check today — manual only.</t>
        </is>
      </c>
      <c r="K12" t="inlineStr">
        <is>
          <t>1wk</t>
        </is>
      </c>
      <c r="L12" t="inlineStr">
        <is>
          <t>Primary-persona learner (HI-L1, EN-L2)</t>
        </is>
      </c>
      <c r="M12" t="inlineStr">
        <is>
          <t>n/a — manual evaluation</t>
        </is>
      </c>
      <c r="O12" t="inlineStr">
        <is>
          <t>Not Yet Run</t>
        </is>
      </c>
      <c r="Q12" t="inlineStr">
        <is>
          <t>—</t>
        </is>
      </c>
      <c r="R12" t="inlineStr">
        <is>
          <t>0%</t>
        </is>
      </c>
    </row>
    <row r="13" ht="30" customHeight="1" s="40">
      <c r="A13" s="7" t="inlineStr">
        <is>
          <t>N-009</t>
        </is>
      </c>
      <c r="B13" s="5" t="inlineStr">
        <is>
          <t>Bilingual toggle user</t>
        </is>
      </c>
      <c r="C13" s="6" t="inlineStr">
        <is>
          <t>81</t>
        </is>
      </c>
      <c r="D13" s="5" t="inlineStr">
        <is>
          <t>Toggle persistence across sessions</t>
        </is>
      </c>
      <c r="E13" s="5" t="inlineStr">
        <is>
          <t>1. Set HI on session 1
2. Open session 2 same browser
3. Verify still HI</t>
        </is>
      </c>
      <c r="F13" s="5" t="inlineStr">
        <is>
          <t>Preference persists</t>
        </is>
      </c>
      <c r="G13" s="6" t="inlineStr">
        <is>
          <t>P5</t>
        </is>
      </c>
      <c r="H13" s="6" t="inlineStr">
        <is>
          <t>Minor</t>
        </is>
      </c>
      <c r="I13" s="6" t="inlineStr">
        <is>
          <t>Manual</t>
        </is>
      </c>
      <c r="J13" s="5" t="inlineStr">
        <is>
          <t>[BUG-030 cross-ref] DUPLICATE of H-020 (locale-toggle persistence). Canonical home: H tab.</t>
        </is>
      </c>
      <c r="K13" t="inlineStr">
        <is>
          <t>1wk</t>
        </is>
      </c>
      <c r="L13" t="inlineStr">
        <is>
          <t>Primary-persona learner (HI-L1, EN-L2)</t>
        </is>
      </c>
      <c r="M13" t="inlineStr">
        <is>
          <t>n/a — manual evaluation</t>
        </is>
      </c>
      <c r="O13" t="inlineStr">
        <is>
          <t>Not Yet Run</t>
        </is>
      </c>
      <c r="Q13" t="inlineStr">
        <is>
          <t>—</t>
        </is>
      </c>
      <c r="R13" t="inlineStr">
        <is>
          <t>0%</t>
        </is>
      </c>
    </row>
    <row r="14" ht="30" customHeight="1" s="40">
      <c r="A14" s="7" t="inlineStr">
        <is>
          <t>N-010</t>
        </is>
      </c>
      <c r="B14" s="5" t="inlineStr">
        <is>
          <t>Mobile / emerging-market</t>
        </is>
      </c>
      <c r="C14" s="6" t="inlineStr">
        <is>
          <t>82</t>
        </is>
      </c>
      <c r="D14" s="5" t="inlineStr">
        <is>
          <t>Sub-2GB-RAM Android device performance</t>
        </is>
      </c>
      <c r="E14" s="5" t="inlineStr">
        <is>
          <t>1. Test on Android Go device
2. Verify usable performance</t>
        </is>
      </c>
      <c r="F14" s="5" t="inlineStr">
        <is>
          <t>Usable on low-end Android</t>
        </is>
      </c>
      <c r="G14" s="6" t="inlineStr">
        <is>
          <t>P3</t>
        </is>
      </c>
      <c r="H14" s="6" t="inlineStr">
        <is>
          <t>Major</t>
        </is>
      </c>
      <c r="I14" s="6" t="inlineStr">
        <is>
          <t>Manual</t>
        </is>
      </c>
      <c r="J14" s="5" t="inlineStr">
        <is>
          <t>No automated check today — manual only.</t>
        </is>
      </c>
      <c r="K14" t="inlineStr">
        <is>
          <t>1wk</t>
        </is>
      </c>
      <c r="L14" t="inlineStr">
        <is>
          <t>Primary-persona learner (HI-L1, EN-L2)</t>
        </is>
      </c>
      <c r="M14" t="inlineStr">
        <is>
          <t>n/a — manual evaluation</t>
        </is>
      </c>
      <c r="O14" t="inlineStr">
        <is>
          <t>Not Yet Run</t>
        </is>
      </c>
      <c r="Q14" t="inlineStr">
        <is>
          <t>—</t>
        </is>
      </c>
      <c r="R14" t="inlineStr">
        <is>
          <t>0%</t>
        </is>
      </c>
    </row>
    <row r="15" ht="30" customHeight="1" s="40">
      <c r="A15" s="7" t="inlineStr">
        <is>
          <t>N-011</t>
        </is>
      </c>
      <c r="B15" s="5" t="inlineStr">
        <is>
          <t>Mobile / emerging-market</t>
        </is>
      </c>
      <c r="C15" s="6" t="inlineStr">
        <is>
          <t>82</t>
        </is>
      </c>
      <c r="D15" s="5" t="inlineStr">
        <is>
          <t>Intermittent-connectivity resilience</t>
        </is>
      </c>
      <c r="E15" s="5" t="inlineStr">
        <is>
          <t>1. Toggle network on/off during use
2. Verify graceful sync + offline-fallback</t>
        </is>
      </c>
      <c r="F15" s="5" t="inlineStr">
        <is>
          <t>Intermittent-net usable</t>
        </is>
      </c>
      <c r="G15" s="6" t="inlineStr">
        <is>
          <t>P3</t>
        </is>
      </c>
      <c r="H15" s="6" t="inlineStr">
        <is>
          <t>Major</t>
        </is>
      </c>
      <c r="I15" s="6" t="inlineStr">
        <is>
          <t>Manual</t>
        </is>
      </c>
      <c r="J15" s="5" t="inlineStr">
        <is>
          <t>No automated check today — manual only.</t>
        </is>
      </c>
      <c r="K15" t="inlineStr">
        <is>
          <t>1wk</t>
        </is>
      </c>
      <c r="L15" t="inlineStr">
        <is>
          <t>Primary-persona learner (HI-L1, EN-L2)</t>
        </is>
      </c>
      <c r="M15" t="inlineStr">
        <is>
          <t>n/a — manual evaluation</t>
        </is>
      </c>
      <c r="O15" t="inlineStr">
        <is>
          <t>Not Yet Run</t>
        </is>
      </c>
      <c r="Q15" t="inlineStr">
        <is>
          <t>—</t>
        </is>
      </c>
      <c r="R15" t="inlineStr">
        <is>
          <t>0%</t>
        </is>
      </c>
    </row>
    <row r="16" ht="35" customHeight="1" s="40">
      <c r="A16" s="7" t="inlineStr">
        <is>
          <t>N-012</t>
        </is>
      </c>
      <c r="B16" s="5" t="inlineStr">
        <is>
          <t>Mobile / emerging-market</t>
        </is>
      </c>
      <c r="C16" s="6" t="inlineStr">
        <is>
          <t>82</t>
        </is>
      </c>
      <c r="D16" s="5" t="inlineStr">
        <is>
          <t>Data-quota efficiency (per-session MB transferred)</t>
        </is>
      </c>
      <c r="E16" s="5" t="inlineStr">
        <is>
          <t>1. Measure first-load + per-session network bytes
2. Verify &lt;10MB first-load, &lt;1MB per subsequent session</t>
        </is>
      </c>
      <c r="F16" s="5" t="inlineStr">
        <is>
          <t>Data-light</t>
        </is>
      </c>
      <c r="G16" s="6" t="inlineStr">
        <is>
          <t>P4</t>
        </is>
      </c>
      <c r="H16" s="6" t="inlineStr">
        <is>
          <t>Minor</t>
        </is>
      </c>
      <c r="I16" s="6" t="inlineStr">
        <is>
          <t>Auto</t>
        </is>
      </c>
      <c r="J16" s="5" t="inlineStr">
        <is>
          <t>No automated check today — manual only.</t>
        </is>
      </c>
      <c r="K16" t="inlineStr">
        <is>
          <t>1wk</t>
        </is>
      </c>
      <c r="L16" t="inlineStr">
        <is>
          <t>Primary-persona learner (HI-L1, EN-L2)</t>
        </is>
      </c>
      <c r="M16" t="inlineStr">
        <is>
          <t>n/a — manual evaluation</t>
        </is>
      </c>
      <c r="O16" t="inlineStr">
        <is>
          <t>Not Yet Run</t>
        </is>
      </c>
      <c r="Q16" t="inlineStr">
        <is>
          <t>—</t>
        </is>
      </c>
      <c r="R16" t="inlineStr">
        <is>
          <t>0%</t>
        </is>
      </c>
    </row>
    <row r="17" ht="30" customHeight="1" s="40">
      <c r="A17" s="7" t="inlineStr">
        <is>
          <t>N-013</t>
        </is>
      </c>
      <c r="B17" s="5" t="inlineStr">
        <is>
          <t>Visually-impaired</t>
        </is>
      </c>
      <c r="C17" s="6" t="inlineStr">
        <is>
          <t>83</t>
        </is>
      </c>
      <c r="D17" s="5" t="inlineStr">
        <is>
          <t>Full app navigation via VoiceOver / NVDA</t>
        </is>
      </c>
      <c r="E17" s="5" t="inlineStr">
        <is>
          <t>1. Blind tester completes 1 vocab module via screen reader</t>
        </is>
      </c>
      <c r="F17" s="5" t="inlineStr">
        <is>
          <t>Completable via SR</t>
        </is>
      </c>
      <c r="G17" s="6" t="inlineStr">
        <is>
          <t>P3</t>
        </is>
      </c>
      <c r="H17" s="6" t="inlineStr">
        <is>
          <t>Major</t>
        </is>
      </c>
      <c r="I17" s="6" t="inlineStr">
        <is>
          <t>Manual</t>
        </is>
      </c>
      <c r="J17" s="5" t="inlineStr">
        <is>
          <t>[BUG-030 cross-ref] DUPLICATE of E-007 (screen-reader coverage). Canonical home: E tab.</t>
        </is>
      </c>
      <c r="K17" t="inlineStr">
        <is>
          <t>1wk</t>
        </is>
      </c>
      <c r="L17" t="inlineStr">
        <is>
          <t>Primary-persona learner (HI-L1, EN-L2)</t>
        </is>
      </c>
      <c r="M17" t="inlineStr">
        <is>
          <t>n/a — manual evaluation</t>
        </is>
      </c>
      <c r="O17" t="inlineStr">
        <is>
          <t>Not Yet Run</t>
        </is>
      </c>
      <c r="Q17" t="inlineStr">
        <is>
          <t>—</t>
        </is>
      </c>
      <c r="R17" t="inlineStr">
        <is>
          <t>0%</t>
        </is>
      </c>
    </row>
    <row r="18" ht="30" customHeight="1" s="40">
      <c r="A18" s="7" t="inlineStr">
        <is>
          <t>N-014</t>
        </is>
      </c>
      <c r="B18" s="5" t="inlineStr">
        <is>
          <t>Visually-impaired</t>
        </is>
      </c>
      <c r="C18" s="6" t="inlineStr">
        <is>
          <t>83</t>
        </is>
      </c>
      <c r="D18" s="5" t="inlineStr">
        <is>
          <t>Furigana exposure to screen reader</t>
        </is>
      </c>
      <c r="E18" s="5" t="inlineStr">
        <is>
          <t>1. Verify ruby tags expose readings appropriately</t>
        </is>
      </c>
      <c r="F18" s="5" t="inlineStr">
        <is>
          <t>Furigana accessible</t>
        </is>
      </c>
      <c r="G18" s="6" t="inlineStr">
        <is>
          <t>P3</t>
        </is>
      </c>
      <c r="H18" s="6" t="inlineStr">
        <is>
          <t>Major</t>
        </is>
      </c>
      <c r="I18" s="6" t="inlineStr">
        <is>
          <t>Manual</t>
        </is>
      </c>
      <c r="J18" s="5" t="inlineStr">
        <is>
          <t>[BUG-030 cross-ref] DUPLICATE of E-010 (furigana exposure to screen reader). Canonical home: E tab.</t>
        </is>
      </c>
      <c r="K18" t="inlineStr">
        <is>
          <t>1wk</t>
        </is>
      </c>
      <c r="L18" t="inlineStr">
        <is>
          <t>Primary-persona learner (HI-L1, EN-L2)</t>
        </is>
      </c>
      <c r="M18" t="inlineStr">
        <is>
          <t>n/a — manual evaluation</t>
        </is>
      </c>
      <c r="O18" t="inlineStr">
        <is>
          <t>Not Yet Run</t>
        </is>
      </c>
      <c r="Q18" t="inlineStr">
        <is>
          <t>—</t>
        </is>
      </c>
      <c r="R18" t="inlineStr">
        <is>
          <t>0%</t>
        </is>
      </c>
    </row>
    <row r="19" ht="30" customHeight="1" s="40">
      <c r="A19" s="7" t="inlineStr">
        <is>
          <t>N-015</t>
        </is>
      </c>
      <c r="B19" s="5" t="inlineStr">
        <is>
          <t>Cognitively-diverse</t>
        </is>
      </c>
      <c r="C19" s="6" t="inlineStr">
        <is>
          <t>84</t>
        </is>
      </c>
      <c r="D19" s="5" t="inlineStr">
        <is>
          <t>ADHD-friendly pacing-control</t>
        </is>
      </c>
      <c r="E19" s="5" t="inlineStr">
        <is>
          <t>1. Verify learner can pause / skip / reduce stimulation</t>
        </is>
      </c>
      <c r="F19" s="5" t="inlineStr">
        <is>
          <t>Pacing control exists</t>
        </is>
      </c>
      <c r="G19" s="6" t="inlineStr">
        <is>
          <t>P5</t>
        </is>
      </c>
      <c r="H19" s="6" t="inlineStr">
        <is>
          <t>Minor</t>
        </is>
      </c>
      <c r="I19" s="6" t="inlineStr">
        <is>
          <t>Manual</t>
        </is>
      </c>
      <c r="J19" s="5" t="inlineStr">
        <is>
          <t>No automated check today — manual only.</t>
        </is>
      </c>
      <c r="K19" t="inlineStr">
        <is>
          <t>1wk</t>
        </is>
      </c>
      <c r="L19" t="inlineStr">
        <is>
          <t>Primary-persona learner (HI-L1, EN-L2)</t>
        </is>
      </c>
      <c r="M19" t="inlineStr">
        <is>
          <t>n/a — manual evaluation</t>
        </is>
      </c>
      <c r="O19" t="inlineStr">
        <is>
          <t>Not Yet Run</t>
        </is>
      </c>
      <c r="Q19" t="inlineStr">
        <is>
          <t>—</t>
        </is>
      </c>
      <c r="R19" t="inlineStr">
        <is>
          <t>0%</t>
        </is>
      </c>
    </row>
    <row r="20" ht="30" customHeight="1" s="40">
      <c r="A20" s="7" t="inlineStr">
        <is>
          <t>N-016</t>
        </is>
      </c>
      <c r="B20" s="5" t="inlineStr">
        <is>
          <t>Cognitively-diverse</t>
        </is>
      </c>
      <c r="C20" s="6" t="inlineStr">
        <is>
          <t>84</t>
        </is>
      </c>
      <c r="D20" s="5" t="inlineStr">
        <is>
          <t>Dyslexia-friendly reading-flow</t>
        </is>
      </c>
      <c r="E20" s="5" t="inlineStr">
        <is>
          <t>1. Verify font / spacing / line-height are dyslexia-friendly defaults</t>
        </is>
      </c>
      <c r="F20" s="5" t="inlineStr">
        <is>
          <t>Dyslexia-friendly OR option exists</t>
        </is>
      </c>
      <c r="G20" s="6" t="inlineStr">
        <is>
          <t>P5</t>
        </is>
      </c>
      <c r="H20" s="6" t="inlineStr">
        <is>
          <t>Minor</t>
        </is>
      </c>
      <c r="I20" s="6" t="inlineStr">
        <is>
          <t>Manual</t>
        </is>
      </c>
      <c r="J20" s="5" t="inlineStr">
        <is>
          <t>No automated check today — manual only.</t>
        </is>
      </c>
      <c r="K20" t="inlineStr">
        <is>
          <t>1wk</t>
        </is>
      </c>
      <c r="L20" t="inlineStr">
        <is>
          <t>Primary-persona learner (HI-L1, EN-L2)</t>
        </is>
      </c>
      <c r="M20" t="inlineStr">
        <is>
          <t>n/a — manual evaluation</t>
        </is>
      </c>
      <c r="O20" t="inlineStr">
        <is>
          <t>Not Yet Run</t>
        </is>
      </c>
      <c r="Q20" t="inlineStr">
        <is>
          <t>—</t>
        </is>
      </c>
      <c r="R20" t="inlineStr">
        <is>
          <t>0%</t>
        </is>
      </c>
    </row>
    <row r="21" ht="72.5" customHeight="1" s="40">
      <c r="A21" s="18" t="inlineStr">
        <is>
          <t>N-017</t>
        </is>
      </c>
      <c r="B21" s="18" t="inlineStr">
        <is>
          <t>True-beginner path</t>
        </is>
      </c>
      <c r="C21" s="18" t="inlineStr">
        <is>
          <t>1</t>
        </is>
      </c>
      <c r="D21" s="18" t="inlineStr">
        <is>
          <t>Zero-Japanese learner (not HI-L1+EN-L2+JA-L3 — true L1=anything, L2=none-Japanese) — can the app be used?</t>
        </is>
      </c>
      <c r="E21" s="18" t="inlineStr">
        <is>
          <t>1. Recruit 3 learners with no prior Japanese and any L1.
2. Onboard with default English UI.
3. Observe whether they reach 'one lesson + one quiz' within 30 minutes without help.
4. Report friction points.</t>
        </is>
      </c>
      <c r="F21" s="18" t="inlineStr">
        <is>
          <t>≥2 of 3 reach the milestone; friction points logged and prioritized.</t>
        </is>
      </c>
      <c r="G21" s="18" t="inlineStr">
        <is>
          <t>P4</t>
        </is>
      </c>
      <c r="H21" s="18" t="inlineStr">
        <is>
          <t>Major</t>
        </is>
      </c>
      <c r="I21" s="18" t="inlineStr">
        <is>
          <t>Manual</t>
        </is>
      </c>
      <c r="J21" s="18" t="inlineStr">
        <is>
          <t>[BUG-032 new] Coverage gap.</t>
        </is>
      </c>
      <c r="K21" s="18" t="inlineStr">
        <is>
          <t>1wk</t>
        </is>
      </c>
      <c r="L21" s="18" t="inlineStr">
        <is>
          <t>Primary-persona learner (HI-L1, EN-L2) — extend recruit to non-HI-L1</t>
        </is>
      </c>
      <c r="M21" s="18" t="inlineStr">
        <is>
          <t>Moderated remote user test (Zoom + screen-share)</t>
        </is>
      </c>
      <c r="N21" s="18" t="n"/>
      <c r="O21" s="18" t="inlineStr">
        <is>
          <t>Not Yet Run</t>
        </is>
      </c>
      <c r="P21" s="18" t="n"/>
      <c r="Q21" s="18" t="inlineStr">
        <is>
          <t>—</t>
        </is>
      </c>
      <c r="R21" s="18" t="inlineStr">
        <is>
          <t>0%</t>
        </is>
      </c>
    </row>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100"/>
  <sheetViews>
    <sheetView tabSelected="1" topLeftCell="D1" zoomScale="70" zoomScaleNormal="70" workbookViewId="0">
      <pane ySplit="3" topLeftCell="A48" activePane="bottomLeft" state="frozen"/>
      <selection activeCell="H24" sqref="H24"/>
      <selection pane="bottomLeft" activeCell="H40" sqref="H40"/>
    </sheetView>
  </sheetViews>
  <sheetFormatPr baseColWidth="8" defaultRowHeight="14.5"/>
  <cols>
    <col width="11.81640625" customWidth="1" style="46" min="1" max="1"/>
    <col width="14.54296875" customWidth="1" style="46" min="2" max="2"/>
    <col width="21.81640625" customWidth="1" style="46" min="3" max="3"/>
    <col width="40" customWidth="1" style="46" min="4" max="4"/>
    <col width="69.08984375" customWidth="1" style="46" min="5" max="5"/>
    <col width="13.6328125" customWidth="1" style="46" min="6" max="6"/>
    <col width="11.81640625" customWidth="1" style="46" min="7" max="7"/>
    <col width="15.453125" customWidth="1" style="46" min="8" max="8"/>
    <col width="8.7265625" customWidth="1" style="46" min="9" max="19"/>
    <col width="8.7265625" customWidth="1" style="46" min="20" max="16384"/>
  </cols>
  <sheetData>
    <row r="1" ht="28" customHeight="1" s="40">
      <c r="A1" s="45" t="inlineStr">
        <is>
          <t>User Reported Bugs</t>
        </is>
      </c>
    </row>
    <row r="3" ht="24" customHeight="1" s="40">
      <c r="A3" s="3" t="inlineStr">
        <is>
          <t>Bug ID</t>
        </is>
      </c>
      <c r="B3" s="3" t="inlineStr">
        <is>
          <t>Date Reported</t>
        </is>
      </c>
      <c r="C3" s="3" t="inlineStr">
        <is>
          <t>Reported By</t>
        </is>
      </c>
      <c r="D3" s="3" t="inlineStr">
        <is>
          <t>Title</t>
        </is>
      </c>
      <c r="E3" s="3" t="inlineStr">
        <is>
          <t>Description</t>
        </is>
      </c>
      <c r="F3" s="3" t="inlineStr">
        <is>
          <t>Severity</t>
        </is>
      </c>
      <c r="G3" s="3" t="inlineStr">
        <is>
          <t>Priority</t>
        </is>
      </c>
      <c r="H3" s="3" t="inlineStr">
        <is>
          <t>Status</t>
        </is>
      </c>
    </row>
    <row r="4" ht="203" customHeight="1" s="40">
      <c r="A4" s="7">
        <f>"BUG-"&amp;TEXT(ROW()-3,"000")</f>
        <v/>
      </c>
      <c r="B4" s="8" t="n">
        <v>46158</v>
      </c>
      <c r="C4" s="4" t="n"/>
      <c r="D4" s="4" t="inlineStr">
        <is>
          <t>Unable to access URL through claude chat</t>
        </is>
      </c>
      <c r="E4" s="4"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6" t="inlineStr">
        <is>
          <t>High</t>
        </is>
      </c>
      <c r="G4" s="6" t="inlineStr">
        <is>
          <t>P2</t>
        </is>
      </c>
      <c r="H4" s="6" t="inlineStr">
        <is>
          <t>Fixed</t>
        </is>
      </c>
      <c r="L4" t="n">
        <v>46</v>
      </c>
    </row>
    <row r="5" ht="319" customHeight="1" s="40">
      <c r="A5" s="7">
        <f>"BUG-"&amp;TEXT(ROW()-3,"000")</f>
        <v/>
      </c>
      <c r="B5" s="8" t="n"/>
      <c r="C5" s="4" t="n"/>
      <c r="D5" s="4" t="inlineStr">
        <is>
          <t>incorrect grammar statement. correct : ✗ Incorrect: ともだちに あいました。 (X "I met with my friend" intent)
✓ Correct: ともだちと あいました</t>
        </is>
      </c>
      <c r="E5" s="4"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6" t="inlineStr">
        <is>
          <t>High</t>
        </is>
      </c>
      <c r="G5" s="6" t="inlineStr">
        <is>
          <t>P1</t>
        </is>
      </c>
      <c r="H5" s="6" t="inlineStr">
        <is>
          <t>Fixed</t>
        </is>
      </c>
      <c r="L5" t="n">
        <v>0</v>
      </c>
    </row>
    <row r="6" ht="377" customHeight="1" s="40">
      <c r="A6" s="7">
        <f>"BUG-"&amp;TEXT(ROW()-3,"000")</f>
        <v/>
      </c>
      <c r="B6" s="8" t="n">
        <v>46158</v>
      </c>
      <c r="C6" s="4" t="inlineStr">
        <is>
          <t>grammar.json audit (native-teacher review)</t>
        </is>
      </c>
      <c r="D6" s="4" t="inlineStr">
        <is>
          <t>n5-098 (superlative pattern) has corrupted explanation and 10/10 wrong translations</t>
        </is>
      </c>
      <c r="E6" s="4"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6" t="inlineStr">
        <is>
          <t>Critical</t>
        </is>
      </c>
      <c r="G6" s="6" t="inlineStr">
        <is>
          <t>P1</t>
        </is>
      </c>
      <c r="H6" s="6" t="inlineStr">
        <is>
          <t>Fixed</t>
        </is>
      </c>
    </row>
    <row r="7" ht="409.5" customHeight="1" s="40">
      <c r="A7" s="7">
        <f>"BUG-"&amp;TEXT(ROW()-3,"000")</f>
        <v/>
      </c>
      <c r="B7" s="8" t="n">
        <v>46158</v>
      </c>
      <c r="C7" s="4" t="inlineStr">
        <is>
          <t>grammar.json audit (native-teacher review)</t>
        </is>
      </c>
      <c r="D7" s="4" t="inlineStr">
        <is>
          <t>Pitch-mark mora data systematically broken (787 wrong instances, 115 unique kana forms)</t>
        </is>
      </c>
      <c r="E7" s="4"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6" t="inlineStr">
        <is>
          <t>Critical</t>
        </is>
      </c>
      <c r="G7" s="6" t="inlineStr">
        <is>
          <t>P1</t>
        </is>
      </c>
      <c r="H7" s="6" t="inlineStr">
        <is>
          <t>Fixed</t>
        </is>
      </c>
      <c r="L7" t="n">
        <v>46</v>
      </c>
    </row>
    <row r="8" ht="232" customHeight="1" s="40">
      <c r="A8" s="7">
        <f>"BUG-"&amp;TEXT(ROW()-3,"000")</f>
        <v/>
      </c>
      <c r="B8" s="8" t="n">
        <v>46158</v>
      </c>
      <c r="C8" s="4" t="inlineStr">
        <is>
          <t>grammar.json audit (native-teacher review)</t>
        </is>
      </c>
      <c r="D8" s="4" t="inlineStr">
        <is>
          <t>n5-166 ex[5] has mismatched JA/EN (copy-paste error)</t>
        </is>
      </c>
      <c r="E8" s="4"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6" t="inlineStr">
        <is>
          <t>High</t>
        </is>
      </c>
      <c r="G8" s="6" t="inlineStr">
        <is>
          <t>P1</t>
        </is>
      </c>
      <c r="H8" s="6" t="inlineStr">
        <is>
          <t>Fixed</t>
        </is>
      </c>
    </row>
    <row r="9" ht="409.5" customHeight="1" s="40">
      <c r="A9" s="7">
        <f>"BUG-"&amp;TEXT(ROW()-3,"000")</f>
        <v/>
      </c>
      <c r="B9" s="8" t="n">
        <v>46158</v>
      </c>
      <c r="C9" s="4" t="inlineStr">
        <is>
          <t>grammar.json audit (native-teacher review)</t>
        </is>
      </c>
      <c r="D9" s="4" t="inlineStr">
        <is>
          <t>Pattern-instance contamination: 8+ examples filed under wrong pattern</t>
        </is>
      </c>
      <c r="E9" s="4"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6" t="inlineStr">
        <is>
          <t>High</t>
        </is>
      </c>
      <c r="G9" s="6" t="inlineStr">
        <is>
          <t>P1</t>
        </is>
      </c>
      <c r="H9" s="6" t="inlineStr">
        <is>
          <t>Fixed</t>
        </is>
      </c>
    </row>
    <row r="10" ht="409.5" customHeight="1" s="40">
      <c r="A10" s="7">
        <f>"BUG-"&amp;TEXT(ROW()-3,"000")</f>
        <v/>
      </c>
      <c r="B10" s="8" t="n">
        <v>46158</v>
      </c>
      <c r="C10" s="4" t="inlineStr">
        <is>
          <t>grammar.json audit (native-teacher review)</t>
        </is>
      </c>
      <c r="D10" s="4" t="inlineStr">
        <is>
          <t>Pedagogically misleading common_mistakes: 12+ N5-canonical sentences marked WRONG</t>
        </is>
      </c>
      <c r="E10" s="4"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6" t="inlineStr">
        <is>
          <t>High</t>
        </is>
      </c>
      <c r="G10" s="6" t="inlineStr">
        <is>
          <t>P1</t>
        </is>
      </c>
      <c r="H10" s="6" t="inlineStr">
        <is>
          <t>Fixed</t>
        </is>
      </c>
    </row>
    <row r="11" ht="304.5" customHeight="1" s="40">
      <c r="A11" s="7">
        <f>"BUG-"&amp;TEXT(ROW()-3,"000")</f>
        <v/>
      </c>
      <c r="B11" s="8" t="n">
        <v>46158</v>
      </c>
      <c r="C11" s="4" t="inlineStr">
        <is>
          <t>grammar.json audit (native-teacher review)</t>
        </is>
      </c>
      <c r="D11" s="4" t="inlineStr">
        <is>
          <t>n5-004 incorrectly calls 会う "intransitive" (folk-linguistics terminology error)</t>
        </is>
      </c>
      <c r="E11" s="4"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6" t="inlineStr">
        <is>
          <t>Medium</t>
        </is>
      </c>
      <c r="G11" s="6" t="inlineStr">
        <is>
          <t>P2</t>
        </is>
      </c>
      <c r="H11" s="6" t="inlineStr">
        <is>
          <t>Fixed</t>
        </is>
      </c>
    </row>
    <row r="12" ht="188.5" customHeight="1" s="40">
      <c r="A12" s="7">
        <f>"BUG-"&amp;TEXT(ROW()-3,"000")</f>
        <v/>
      </c>
      <c r="B12" s="8" t="n">
        <v>46158</v>
      </c>
      <c r="C12" s="4" t="inlineStr">
        <is>
          <t>grammar.json audit (native-teacher review)</t>
        </is>
      </c>
      <c r="D12" s="4" t="inlineStr">
        <is>
          <t>n5-003 (が particle) example uses は, not が</t>
        </is>
      </c>
      <c r="E12" s="4"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6" t="inlineStr">
        <is>
          <t>Medium</t>
        </is>
      </c>
      <c r="G12" s="6" t="inlineStr">
        <is>
          <t>P2</t>
        </is>
      </c>
      <c r="H12" s="6" t="inlineStr">
        <is>
          <t>Fixed</t>
        </is>
      </c>
    </row>
    <row r="13" ht="409.5" customHeight="1" s="40">
      <c r="A13" s="7">
        <f>"BUG-"&amp;TEXT(ROW()-3,"000")</f>
        <v/>
      </c>
      <c r="B13" s="8" t="n">
        <v>46158</v>
      </c>
      <c r="C13" s="4" t="inlineStr">
        <is>
          <t>User (SPA crawlability report)</t>
        </is>
      </c>
      <c r="D13" s="4" t="inlineStr">
        <is>
          <t>SPA hash routes are invisible to non-JS clients (Claude chat, crawlers, archive.org, social previews)</t>
        </is>
      </c>
      <c r="E13" s="4"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6" t="inlineStr">
        <is>
          <t>High</t>
        </is>
      </c>
      <c r="G13" s="6" t="inlineStr">
        <is>
          <t>P1</t>
        </is>
      </c>
      <c r="H13" s="6" t="inlineStr">
        <is>
          <t>Fixed</t>
        </is>
      </c>
    </row>
    <row r="14" ht="409.5" customHeight="1" s="40">
      <c r="A14" s="7">
        <f>"BUG-"&amp;TEXT(ROW()-3,"000")</f>
        <v/>
      </c>
      <c r="B14" s="8" t="n">
        <v>46158</v>
      </c>
      <c r="C14" s="4" t="inlineStr">
        <is>
          <t>grammar.json audit (native-teacher review)</t>
        </is>
      </c>
      <c r="D14" s="4" t="inlineStr">
        <is>
          <t>Self-contradicting WRONG/RIGHT labels across 7 common_mistakes entries (plus 7 ね-vs-か question patterns)</t>
        </is>
      </c>
      <c r="E14" s="4"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6" t="inlineStr">
        <is>
          <t>High</t>
        </is>
      </c>
      <c r="G14" s="6" t="inlineStr">
        <is>
          <t>P1</t>
        </is>
      </c>
      <c r="H14" s="6" t="inlineStr">
        <is>
          <t>Fixed</t>
        </is>
      </c>
    </row>
    <row r="15" ht="409.5" customHeight="1" s="40">
      <c r="A15" s="7">
        <f>"BUG-"&amp;TEXT(ROW()-3,"000")</f>
        <v/>
      </c>
      <c r="B15" s="8" t="n">
        <v>46158</v>
      </c>
      <c r="C15" s="4" t="inlineStr">
        <is>
          <t>grammar.json audit (native-teacher review)</t>
        </is>
      </c>
      <c r="D15" s="4" t="inlineStr">
        <is>
          <t>review_status "native_reviewed" misleads when read per-pattern in isolation (label assigned by Claude persona, not human)</t>
        </is>
      </c>
      <c r="E15" s="4"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6" t="inlineStr">
        <is>
          <t>Medium</t>
        </is>
      </c>
      <c r="G15" s="6" t="inlineStr">
        <is>
          <t>P2</t>
        </is>
      </c>
      <c r="H15" s="6" t="inlineStr">
        <is>
          <t>Fixed</t>
        </is>
      </c>
    </row>
    <row r="16" ht="409.5" customHeight="1" s="40">
      <c r="A16" s="7">
        <f>"BUG-"&amp;TEXT(ROW()-3,"000")</f>
        <v/>
      </c>
      <c r="B16" s="8" t="n">
        <v>46158</v>
      </c>
      <c r="C16" s="4" t="inlineStr">
        <is>
          <t>grammar.json audit re-inspection (native-teacher review)</t>
        </is>
      </c>
      <c r="D16" s="4" t="inlineStr">
        <is>
          <t>Self-contradicting WRONG/RIGHT labels still present across 14 common_mistakes entries (BUG-011 re-audit shows fix did not land at display surface)</t>
        </is>
      </c>
      <c r="E16" s="4"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6" t="inlineStr">
        <is>
          <t>High</t>
        </is>
      </c>
      <c r="G16" s="6" t="inlineStr">
        <is>
          <t>P1</t>
        </is>
      </c>
      <c r="H16" s="6" t="inlineStr">
        <is>
          <t>Fixed</t>
        </is>
      </c>
    </row>
    <row r="17" ht="409.5" customHeight="1" s="40">
      <c r="A17" s="7">
        <f>"BUG-"&amp;TEXT(ROW()-3,"000")</f>
        <v/>
      </c>
      <c r="B17" s="8" t="n">
        <v>46158</v>
      </c>
      <c r="C17" s="4" t="inlineStr">
        <is>
          <t>vocab.json audit (native-teacher review)</t>
        </is>
      </c>
      <c r="D17" s="4" t="inlineStr">
        <is>
          <t>19 vocab example sentences are template-generated semantic nonsense ("X が あります" applied to time words and abstract nouns)</t>
        </is>
      </c>
      <c r="E17" s="4"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6" t="inlineStr">
        <is>
          <t>High</t>
        </is>
      </c>
      <c r="G17" s="6" t="inlineStr">
        <is>
          <t>P1</t>
        </is>
      </c>
      <c r="H17" s="6" t="inlineStr">
        <is>
          <t>Fixed</t>
        </is>
      </c>
    </row>
    <row r="18" ht="409.5" customHeight="1" s="40">
      <c r="A18" s="7">
        <f>"BUG-"&amp;TEXT(ROW()-3,"000")</f>
        <v/>
      </c>
      <c r="B18" s="8" t="n">
        <v>46158</v>
      </c>
      <c r="C18" s="4" t="inlineStr">
        <is>
          <t>vocab.json audit (native-teacher review)</t>
        </is>
      </c>
      <c r="D18" s="4" t="inlineStr">
        <is>
          <t>vocab.json counter field has three inconsistent schema types across 1009 entries (string / dict / null) — same applies to counter_register</t>
        </is>
      </c>
      <c r="E18" s="4"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6" t="inlineStr">
        <is>
          <t>Medium</t>
        </is>
      </c>
      <c r="G18" s="6" t="inlineStr">
        <is>
          <t>P2</t>
        </is>
      </c>
      <c r="H18" s="6" t="inlineStr">
        <is>
          <t>Fixed</t>
        </is>
      </c>
    </row>
    <row r="19" ht="409.5" customHeight="1" s="40">
      <c r="A19" s="7">
        <f>"BUG-"&amp;TEXT(ROW()-3,"000")</f>
        <v/>
      </c>
      <c r="B19" s="8" t="n">
        <v>46158</v>
      </c>
      <c r="C19" s="4" t="inlineStr">
        <is>
          <t>vocab.json audit (native-teacher review)</t>
        </is>
      </c>
      <c r="D19" s="4" t="inlineStr">
        <is>
          <t>Transitivity field is set on only 22 of 132 verbs (17% coverage) — most transitive verbs lack the classification</t>
        </is>
      </c>
      <c r="E19" s="4"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6" t="inlineStr">
        <is>
          <t>Medium</t>
        </is>
      </c>
      <c r="G19" s="6" t="inlineStr">
        <is>
          <t>P2</t>
        </is>
      </c>
      <c r="H19" s="6" t="inlineStr">
        <is>
          <t>Fixed</t>
        </is>
      </c>
    </row>
    <row r="20" ht="409.5" customHeight="1" s="40">
      <c r="A20" s="7">
        <f>"BUG-"&amp;TEXT(ROW()-3,"000")</f>
        <v/>
      </c>
      <c r="B20" s="8" t="n">
        <v>46158</v>
      </c>
      <c r="C20" s="4" t="inlineStr">
        <is>
          <t>vocab.json audit (native-teacher review)</t>
        </is>
      </c>
      <c r="D20" s="4" t="inlineStr">
        <is>
          <t>3 kanji used in vocab forms are not in the N5 kanji whitelist (倍, 籍, 末)</t>
        </is>
      </c>
      <c r="E20" s="4"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6" t="inlineStr">
        <is>
          <t>Medium</t>
        </is>
      </c>
      <c r="G20" s="6" t="inlineStr">
        <is>
          <t>P2</t>
        </is>
      </c>
      <c r="H20" s="6" t="inlineStr">
        <is>
          <t>Fixed</t>
        </is>
      </c>
    </row>
    <row r="21" ht="409.5" customHeight="1" s="40">
      <c r="A21" s="7">
        <f>"BUG-"&amp;TEXT(ROW()-3,"000")</f>
        <v/>
      </c>
      <c r="B21" s="8" t="n">
        <v>46158</v>
      </c>
      <c r="C21" s="4" t="inlineStr">
        <is>
          <t>vocab.json audit (native-teacher review)</t>
        </is>
      </c>
      <c r="D21" s="4" t="inlineStr">
        <is>
          <t>~10 vocab entries are over-duplicated across sections with overlapping glosses (count inflation)</t>
        </is>
      </c>
      <c r="E21" s="4"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6" t="inlineStr">
        <is>
          <t>Low</t>
        </is>
      </c>
      <c r="G21" s="6" t="inlineStr">
        <is>
          <t>P3</t>
        </is>
      </c>
      <c r="H21" s="6" t="inlineStr">
        <is>
          <t>Fixed</t>
        </is>
      </c>
    </row>
    <row r="22" ht="409.5" customHeight="1" s="40">
      <c r="A22" s="7">
        <f>"BUG-"&amp;TEXT(ROW()-3,"000")</f>
        <v/>
      </c>
      <c r="B22" s="8" t="inlineStr">
        <is>
          <t>2026-05-16</t>
        </is>
      </c>
      <c r="C22" s="5" t="inlineStr">
        <is>
          <t>vocab.json audit re-inspection (native-teacher follow-up)</t>
        </is>
      </c>
      <c r="D22" s="5" t="inlineStr">
        <is>
          <t>3 over-duplicated (form, reading) pairs missed by BUG-018 dedup pass (月, あつい, きって)</t>
        </is>
      </c>
      <c r="E22" s="5"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6" t="inlineStr">
        <is>
          <t>Low</t>
        </is>
      </c>
      <c r="G22" s="6" t="inlineStr">
        <is>
          <t>P3</t>
        </is>
      </c>
      <c r="H22" s="6" t="inlineStr">
        <is>
          <t>Fixed</t>
        </is>
      </c>
    </row>
    <row r="23" ht="409.5" customHeight="1" s="40">
      <c r="A23" s="7">
        <f>"BUG-"&amp;TEXT(ROW()-3,"000")</f>
        <v/>
      </c>
      <c r="B23" s="8" t="n">
        <v>46158</v>
      </c>
      <c r="C23" s="4" t="inlineStr">
        <is>
          <t>kanji.json audit (native-teacher review)</t>
        </is>
      </c>
      <c r="D23" s="4" t="inlineStr">
        <is>
          <t>BUG-017 fix did not propagate to kanji.json — n5_compounds and auto-derived examples still display 週末 and 国籍 (non-whitelist kanji 末, 籍)</t>
        </is>
      </c>
      <c r="E23" s="4"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6" t="inlineStr">
        <is>
          <t>Medium</t>
        </is>
      </c>
      <c r="G23" s="6" t="inlineStr">
        <is>
          <t>P2</t>
        </is>
      </c>
      <c r="H23" s="6" t="inlineStr">
        <is>
          <t>Fixed</t>
        </is>
      </c>
    </row>
    <row r="24" ht="409.5" customHeight="1" s="40">
      <c r="A24" s="7">
        <f>"BUG-"&amp;TEXT(ROW()-3,"000")</f>
        <v/>
      </c>
      <c r="B24" s="8" t="n">
        <v>46158</v>
      </c>
      <c r="C24" s="4" t="inlineStr">
        <is>
          <t>kanji.json audit (native-teacher review)</t>
        </is>
      </c>
      <c r="D24" s="4" t="inlineStr">
        <is>
          <t>primary_reading set to on-yomi for 6 kanji whose actual N5 standalone reading is the kun-yomi (人, 中, 外, 東, 車, 国)</t>
        </is>
      </c>
      <c r="E24" s="4"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6" t="inlineStr">
        <is>
          <t>Medium</t>
        </is>
      </c>
      <c r="G24" s="6" t="inlineStr">
        <is>
          <t>P2</t>
        </is>
      </c>
      <c r="H24" s="6" t="inlineStr">
        <is>
          <t>Fixed</t>
        </is>
      </c>
    </row>
    <row r="25" ht="409.5" customHeight="1" s="40">
      <c r="A25" s="7">
        <f>"BUG-"&amp;TEXT(ROW()-3,"000")</f>
        <v/>
      </c>
      <c r="B25" s="8" t="n">
        <v>46158</v>
      </c>
      <c r="C25" s="4" t="inlineStr">
        <is>
          <t>kanji.json audit (native-teacher review)</t>
        </is>
      </c>
      <c r="D25" s="4" t="inlineStr">
        <is>
          <t>Examples field uses inconsistent field names — `form` (374 entries), `lemma` (20 entries), or both (14 entries)</t>
        </is>
      </c>
      <c r="E25" s="4"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6" t="inlineStr">
        <is>
          <t>Low</t>
        </is>
      </c>
      <c r="G25" s="6" t="inlineStr">
        <is>
          <t>P3</t>
        </is>
      </c>
      <c r="H25" s="6" t="inlineStr">
        <is>
          <t>Fixed</t>
        </is>
      </c>
    </row>
    <row r="26" ht="409.5" customHeight="1" s="40">
      <c r="A26" s="7">
        <f>"BUG-"&amp;TEXT(ROW()-3,"000")</f>
        <v/>
      </c>
      <c r="B26" s="8" t="n">
        <v>46159</v>
      </c>
      <c r="C26" s="4" t="inlineStr">
        <is>
          <t>kanji.json ↔ vocab.json cross-file audit (native-teacher review)</t>
        </is>
      </c>
      <c r="D26" s="4" t="inlineStr">
        <is>
          <t>KANJI-004 (NOT FIXED — vocab.json was not updated) — 6 cross-file form mismatches between kanji.json (uses kanji forms) and vocab.json (uses kana-only forms)</t>
        </is>
      </c>
      <c r="E26" s="4"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6" t="inlineStr">
        <is>
          <t>Medium</t>
        </is>
      </c>
      <c r="G26" s="6" t="inlineStr">
        <is>
          <t>P2</t>
        </is>
      </c>
      <c r="H26" s="6" t="inlineStr">
        <is>
          <t>Fixed</t>
        </is>
      </c>
    </row>
    <row r="27" ht="273" customHeight="1" s="40">
      <c r="A27" s="7">
        <f>"BUG-"&amp;TEXT(ROW()-3,"000")</f>
        <v/>
      </c>
      <c r="B27" s="8" t="n">
        <v>46159</v>
      </c>
      <c r="C27" s="4" t="inlineStr">
        <is>
          <t>Editor review (test-scenarios spreadsheet)</t>
        </is>
      </c>
      <c r="D27" s="4" t="inlineStr">
        <is>
          <t>Priority distribution is unusable as a triage signal (re-rank all 240 rows on fixed 5-level P1–P5 scale with caps)</t>
        </is>
      </c>
      <c r="E27" s="4"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6" t="inlineStr">
        <is>
          <t>High</t>
        </is>
      </c>
      <c r="G27" s="6" t="inlineStr">
        <is>
          <t>P1</t>
        </is>
      </c>
      <c r="H27" s="6" t="inlineStr">
        <is>
          <t>Fixed</t>
        </is>
      </c>
    </row>
    <row r="28" ht="364" customHeight="1" s="40">
      <c r="A28" s="7">
        <f>"BUG-"&amp;TEXT(ROW()-3,"000")</f>
        <v/>
      </c>
      <c r="B28" s="8" t="n">
        <v>46159</v>
      </c>
      <c r="C28" s="4" t="inlineStr">
        <is>
          <t>Editor review (test-scenarios spreadsheet)</t>
        </is>
      </c>
      <c r="D28" s="4" t="inlineStr">
        <is>
          <t>75% of scenarios labelled Manual when ~30 are mechanically checkable — re-label to Auto and add Automation-tool column</t>
        </is>
      </c>
      <c r="E28" s="4"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6" t="inlineStr">
        <is>
          <t>High</t>
        </is>
      </c>
      <c r="G28" s="6" t="inlineStr">
        <is>
          <t>P2</t>
        </is>
      </c>
      <c r="H28" s="6" t="inlineStr">
        <is>
          <t>Fixed</t>
        </is>
      </c>
    </row>
    <row r="29" ht="364" customHeight="1" s="40">
      <c r="A29" s="7">
        <f>"BUG-"&amp;TEXT(ROW()-3,"000")</f>
        <v/>
      </c>
      <c r="B29" s="8" t="n">
        <v>46159</v>
      </c>
      <c r="C29" s="4" t="inlineStr">
        <is>
          <t>Editor review (test-scenarios spreadsheet)</t>
        </is>
      </c>
      <c r="D29" s="4" t="inlineStr">
        <is>
          <t>Severity and Priority don't reconcile — Critical-severity rows priced as Medium, Major-severity rows priced as Low</t>
        </is>
      </c>
      <c r="E29" s="4"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6" t="inlineStr">
        <is>
          <t>High</t>
        </is>
      </c>
      <c r="G29" s="6" t="inlineStr">
        <is>
          <t>P1</t>
        </is>
      </c>
      <c r="H29" s="6" t="inlineStr">
        <is>
          <t>Fixed</t>
        </is>
      </c>
    </row>
    <row r="30" ht="299" customHeight="1" s="40">
      <c r="A30" s="7">
        <f>"BUG-"&amp;TEXT(ROW()-3,"000")</f>
        <v/>
      </c>
      <c r="B30" s="8" t="n">
        <v>46159</v>
      </c>
      <c r="C30" s="4" t="inlineStr">
        <is>
          <t>Editor review (test-scenarios spreadsheet)</t>
        </is>
      </c>
      <c r="D30" s="4" t="inlineStr">
        <is>
          <t>Several Expected-result thresholds (≥98%, ≥95%, ≥80%) have no statistical-power or source justification</t>
        </is>
      </c>
      <c r="E30" s="4"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6" t="inlineStr">
        <is>
          <t>Medium</t>
        </is>
      </c>
      <c r="G30" s="6" t="inlineStr">
        <is>
          <t>P3</t>
        </is>
      </c>
      <c r="H30" s="6" t="inlineStr">
        <is>
          <t>Fixed</t>
        </is>
      </c>
    </row>
    <row r="31" ht="208" customHeight="1" s="40">
      <c r="A31" s="7">
        <f>"BUG-"&amp;TEXT(ROW()-3,"000")</f>
        <v/>
      </c>
      <c r="B31" s="8" t="n">
        <v>46159</v>
      </c>
      <c r="C31" s="4" t="inlineStr">
        <is>
          <t>Editor review (test-scenarios spreadsheet)</t>
        </is>
      </c>
      <c r="D31" s="4" t="inlineStr">
        <is>
          <t>Test steps are truncated or under-specified — A-001 cell ends with "Mark UN"; many cells don't name tool / dataset / sub-corpus</t>
        </is>
      </c>
      <c r="E31" s="4"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6" t="inlineStr">
        <is>
          <t>Medium</t>
        </is>
      </c>
      <c r="G31" s="6" t="inlineStr">
        <is>
          <t>P2</t>
        </is>
      </c>
      <c r="H31" s="6" t="inlineStr">
        <is>
          <t>Fixed</t>
        </is>
      </c>
    </row>
    <row r="32" ht="260" customHeight="1" s="40">
      <c r="A32" s="7">
        <f>"BUG-"&amp;TEXT(ROW()-3,"000")</f>
        <v/>
      </c>
      <c r="B32" s="8" t="n">
        <v>46159</v>
      </c>
      <c r="C32" s="4" t="inlineStr">
        <is>
          <t>Editor review (test-scenarios spreadsheet)</t>
        </is>
      </c>
      <c r="D32" s="4" t="inlineStr">
        <is>
          <t>Schema missing 7 operational columns: Estimated effort, Owner, Tools, Last-run date, Last-run result, Tracker link, Depends-on</t>
        </is>
      </c>
      <c r="E32" s="4"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6" t="inlineStr">
        <is>
          <t>Medium</t>
        </is>
      </c>
      <c r="G32" s="6" t="inlineStr">
        <is>
          <t>P2</t>
        </is>
      </c>
      <c r="H32" s="6" t="inlineStr">
        <is>
          <t>Fixed</t>
        </is>
      </c>
    </row>
    <row r="33" ht="351" customHeight="1" s="40">
      <c r="A33" s="7">
        <f>"BUG-"&amp;TEXT(ROW()-3,"000")</f>
        <v/>
      </c>
      <c r="B33" s="8" t="n">
        <v>46159</v>
      </c>
      <c r="C33" s="4" t="inlineStr">
        <is>
          <t>Editor review (test-scenarios spreadsheet)</t>
        </is>
      </c>
      <c r="D33" s="4" t="inlineStr">
        <is>
          <t>6+ duplicate scenarios across tabs (E-010=N-014; D-007=C-010; H-020=K-011=N-009; G-011=F-011) — merge to single canonical home with cross-refs</t>
        </is>
      </c>
      <c r="E33" s="4"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6" t="inlineStr">
        <is>
          <t>Medium</t>
        </is>
      </c>
      <c r="G33" s="6" t="inlineStr">
        <is>
          <t>P3</t>
        </is>
      </c>
      <c r="H33" s="6" t="inlineStr">
        <is>
          <t>Fixed</t>
        </is>
      </c>
    </row>
    <row r="34" ht="247" customHeight="1" s="40">
      <c r="A34" s="7">
        <f>"BUG-"&amp;TEXT(ROW()-3,"000")</f>
        <v/>
      </c>
      <c r="B34" s="8" t="n">
        <v>46159</v>
      </c>
      <c r="C34" s="4" t="inlineStr">
        <is>
          <t>Editor review (test-scenarios spreadsheet)</t>
        </is>
      </c>
      <c r="D34" s="4" t="inlineStr">
        <is>
          <t>UX scenarios (D-001 / D-010 / D-013 / N-003) have vague pass criteria — name evaluation method and sample size</t>
        </is>
      </c>
      <c r="E34" s="4"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6" t="inlineStr">
        <is>
          <t>Medium</t>
        </is>
      </c>
      <c r="G34" s="6" t="inlineStr">
        <is>
          <t>P3</t>
        </is>
      </c>
      <c r="H34" s="6" t="inlineStr">
        <is>
          <t>Fixed</t>
        </is>
      </c>
    </row>
    <row r="35" ht="312" customHeight="1" s="40">
      <c r="A35" s="7">
        <f>"BUG-"&amp;TEXT(ROW()-3,"000")</f>
        <v/>
      </c>
      <c r="B35" s="8" t="n">
        <v>46159</v>
      </c>
      <c r="C35" s="4" t="inlineStr">
        <is>
          <t>Editor review (test-scenarios spreadsheet)</t>
        </is>
      </c>
      <c r="D35" s="4" t="inlineStr">
        <is>
          <t>Coverage gaps — add ~8 new scenarios (JEES side-by-side, competitor benchmark, true-beginner path, restore drill, Hindi audio, LLM-disclosure-before, stem punctuation)</t>
        </is>
      </c>
      <c r="E35" s="4"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6" t="inlineStr">
        <is>
          <t>Medium</t>
        </is>
      </c>
      <c r="G35" s="6" t="inlineStr">
        <is>
          <t>P3</t>
        </is>
      </c>
      <c r="H35" s="6" t="inlineStr">
        <is>
          <t>Fixed</t>
        </is>
      </c>
    </row>
    <row r="36" ht="260" customHeight="1" s="40">
      <c r="A36" s="7">
        <f>"BUG-"&amp;TEXT(ROW()-3,"000")</f>
        <v/>
      </c>
      <c r="B36" s="8" t="n">
        <v>46159</v>
      </c>
      <c r="C36" s="4" t="inlineStr">
        <is>
          <t>Editor review (test-scenarios spreadsheet)</t>
        </is>
      </c>
      <c r="D36" s="4" t="inlineStr">
        <is>
          <t>Pedagogy tab (J) reads as research, not testable items — rewrite J-001 through J-015 with concrete inputs and pass criteria</t>
        </is>
      </c>
      <c r="E36" s="4"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6" t="inlineStr">
        <is>
          <t>Medium</t>
        </is>
      </c>
      <c r="G36" s="6" t="inlineStr">
        <is>
          <t>P3</t>
        </is>
      </c>
      <c r="H36" s="6" t="inlineStr">
        <is>
          <t>Fixed</t>
        </is>
      </c>
    </row>
    <row r="37" ht="273" customHeight="1" s="40">
      <c r="A37" s="7">
        <f>"BUG-"&amp;TEXT(ROW()-3,"000")</f>
        <v/>
      </c>
      <c r="B37" s="8" t="n">
        <v>46159</v>
      </c>
      <c r="C37" s="4" t="inlineStr">
        <is>
          <t>Editor review (test-scenarios spreadsheet)</t>
        </is>
      </c>
      <c r="D37" s="4" t="inlineStr">
        <is>
          <t>End-user tab (N) duplicates other tabs without adding value — N-013/N-014 duplicate E-010/E-007; N-009 duplicates H-020; N-001-003 overlap D-013/D-014</t>
        </is>
      </c>
      <c r="E37" s="4"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6" t="inlineStr">
        <is>
          <t>Low</t>
        </is>
      </c>
      <c r="G37" s="6" t="inlineStr">
        <is>
          <t>P3</t>
        </is>
      </c>
      <c r="H37" s="6" t="inlineStr">
        <is>
          <t>Fixed</t>
        </is>
      </c>
    </row>
    <row r="38" ht="182" customHeight="1" s="40">
      <c r="A38" s="7">
        <f>"BUG-"&amp;TEXT(ROW()-3,"000")</f>
        <v/>
      </c>
      <c r="B38" s="8" t="n">
        <v>46159</v>
      </c>
      <c r="C38" s="4" t="inlineStr">
        <is>
          <t>Editor review (test-scenarios spreadsheet)</t>
        </is>
      </c>
      <c r="D38" s="4" t="inlineStr">
        <is>
          <t>Notes column inconsistent — some rich (reference invariants), many empty, a few placeholder-only (M-010 / I-012)</t>
        </is>
      </c>
      <c r="E38" s="4"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6" t="inlineStr">
        <is>
          <t>Low</t>
        </is>
      </c>
      <c r="G38" s="6" t="inlineStr">
        <is>
          <t>P4</t>
        </is>
      </c>
      <c r="H38" s="6" t="inlineStr">
        <is>
          <t>Fixed</t>
        </is>
      </c>
    </row>
    <row r="39" ht="234" customHeight="1" s="40">
      <c r="A39" s="7">
        <f>"BUG-"&amp;TEXT(ROW()-3,"000")</f>
        <v/>
      </c>
      <c r="B39" s="8" t="n">
        <v>46159</v>
      </c>
      <c r="C39" s="4" t="inlineStr">
        <is>
          <t>Editor review (test-scenarios spreadsheet)</t>
        </is>
      </c>
      <c r="D39" s="4" t="inlineStr">
        <is>
          <t>Overview hardcodes per-tab Scenario count and Priority HIGH count — replace with COUNTA / COUNTIF formulas so counts auto-update</t>
        </is>
      </c>
      <c r="E39" s="4"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6" t="inlineStr">
        <is>
          <t>Medium</t>
        </is>
      </c>
      <c r="G39" s="6" t="inlineStr">
        <is>
          <t>P2</t>
        </is>
      </c>
      <c r="H39" s="6" t="inlineStr">
        <is>
          <t>Fixed</t>
        </is>
      </c>
    </row>
    <row r="40" ht="156" customHeight="1" s="40">
      <c r="A40" s="14">
        <f>"BUG-"&amp;TEXT(ROW()-3,"000")</f>
        <v/>
      </c>
      <c r="B40" s="15" t="n">
        <v>46159</v>
      </c>
      <c r="C40" s="16" t="inlineStr">
        <is>
          <t>Editor review (test-scenarios spreadsheet)</t>
        </is>
      </c>
      <c r="D40" s="16" t="inlineStr">
        <is>
          <t>Add Coverage % column — currently only A-001's note mentions coverage ("1.3% sampled to date") so reader can't tell if the plan has been run</t>
        </is>
      </c>
      <c r="E40" s="16"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3" t="inlineStr">
        <is>
          <t>Low</t>
        </is>
      </c>
      <c r="G40" s="13" t="inlineStr">
        <is>
          <t>P4</t>
        </is>
      </c>
      <c r="H40" s="13" t="inlineStr">
        <is>
          <t>Fixed</t>
        </is>
      </c>
    </row>
    <row r="41" ht="280" customHeight="1" s="40">
      <c r="A41" s="14">
        <f>"BUG-"&amp;TEXT(ROW()-3,"000")</f>
        <v/>
      </c>
      <c r="B41" s="15" t="n">
        <v>46159</v>
      </c>
      <c r="C41" s="16" t="inlineStr">
        <is>
          <t>Content audit (kanji.json review)</t>
        </is>
      </c>
      <c r="D41" s="16" t="inlineStr">
        <is>
          <t>KANJI-006 — 十 entry has duplicate compound rows for "十" with different readings but identical gloss</t>
        </is>
      </c>
      <c r="E41" s="16"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3" t="inlineStr">
        <is>
          <t>Medium</t>
        </is>
      </c>
      <c r="G41" s="13" t="inlineStr">
        <is>
          <t>P3</t>
        </is>
      </c>
      <c r="H41" s="13" t="inlineStr">
        <is>
          <t>Fixed</t>
        </is>
      </c>
    </row>
    <row r="42" ht="280" customHeight="1" s="40">
      <c r="A42" s="19">
        <f>"BUG-"&amp;TEXT(ROW()-3,"000")</f>
        <v/>
      </c>
      <c r="B42" s="20" t="n">
        <v>46159</v>
      </c>
      <c r="C42" s="21" t="inlineStr">
        <is>
          <t>Editor review (test-scenarios spreadsheet)</t>
        </is>
      </c>
      <c r="D42" s="21" t="inlineStr">
        <is>
          <t>TS-001 — Overview column headers don't match formula content; "Priority HIGH count" formula is obsolete after Priority rename to P1–P5</t>
        </is>
      </c>
      <c r="E42" s="21"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2" t="inlineStr">
        <is>
          <t>Medium</t>
        </is>
      </c>
      <c r="G42" s="22" t="inlineStr">
        <is>
          <t>P3</t>
        </is>
      </c>
      <c r="H42" s="22" t="inlineStr">
        <is>
          <t>Fixed</t>
        </is>
      </c>
    </row>
    <row r="43" ht="280" customHeight="1" s="40">
      <c r="A43" s="27">
        <f>"BUG-"&amp;TEXT(ROW()-3,"000")</f>
        <v/>
      </c>
      <c r="B43" s="28" t="n">
        <v>46159</v>
      </c>
      <c r="C43" s="29" t="inlineStr">
        <is>
          <t>Editor review (test-scenarios spreadsheet)</t>
        </is>
      </c>
      <c r="D43" s="29" t="inlineStr">
        <is>
          <t>TS-002 — Two ISSUE-6 fields not filled across all category tabs: Estimated effort (0/248 = 0%) and Tools/scripts required (32/248 = 13%)</t>
        </is>
      </c>
      <c r="E43" s="29"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30" t="inlineStr">
        <is>
          <t>Medium</t>
        </is>
      </c>
      <c r="G43" s="30" t="inlineStr">
        <is>
          <t>P2</t>
        </is>
      </c>
      <c r="H43" s="30" t="inlineStr">
        <is>
          <t>Fixed</t>
        </is>
      </c>
    </row>
    <row r="44" ht="320" customHeight="1" s="40">
      <c r="A44" s="7">
        <f>"BUG-"&amp;TEXT(ROW()-3,"000")</f>
        <v/>
      </c>
      <c r="B44" s="8" t="n">
        <v>46159</v>
      </c>
      <c r="C44" s="4" t="inlineStr">
        <is>
          <t>Content audit (reading.json review)</t>
        </is>
      </c>
      <c r="D44" s="4" t="inlineStr">
        <is>
          <t>READ-001 — 'level' field mixes three different value semantics (difficulty descriptors, passage type, JLPT label)</t>
        </is>
      </c>
      <c r="E44" s="4"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6" t="inlineStr">
        <is>
          <t>Medium</t>
        </is>
      </c>
      <c r="G44" s="6" t="inlineStr">
        <is>
          <t>P3</t>
        </is>
      </c>
      <c r="H44" s="6" t="inlineStr">
        <is>
          <t>Fixed</t>
        </is>
      </c>
    </row>
    <row r="45" ht="320" customHeight="1" s="40">
      <c r="A45" s="7">
        <f>"BUG-"&amp;TEXT(ROW()-3,"000")</f>
        <v/>
      </c>
      <c r="B45" s="8" t="n">
        <v>46159</v>
      </c>
      <c r="C45" s="4" t="inlineStr">
        <is>
          <t>Content audit (reading.json review)</t>
        </is>
      </c>
      <c r="D45" s="4" t="inlineStr">
        <is>
          <t>READ-002 — 'summary' field is multi-lingual (mixed Hindi+English) on 45 passages, JA-only on 9 passages — inconsistent format</t>
        </is>
      </c>
      <c r="E45" s="4"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6" t="inlineStr">
        <is>
          <t>Medium</t>
        </is>
      </c>
      <c r="G45" s="6" t="inlineStr">
        <is>
          <t>P3</t>
        </is>
      </c>
      <c r="H45" s="6" t="inlineStr">
        <is>
          <t>Fixed</t>
        </is>
      </c>
    </row>
    <row r="46" ht="320" customHeight="1" s="40">
      <c r="A46" s="7">
        <f>"BUG-"&amp;TEXT(ROW()-3,"000")</f>
        <v/>
      </c>
      <c r="B46" s="8" t="n">
        <v>46159</v>
      </c>
      <c r="C46" s="4" t="inlineStr">
        <is>
          <t>Content audit (reading.json review)</t>
        </is>
      </c>
      <c r="D46" s="4" t="inlineStr">
        <is>
          <t>READ-003 — format_type has 2 undocumented values ('notice', 'comprehension') beyond _meta.schema_additions declaration</t>
        </is>
      </c>
      <c r="E46" s="4"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6" t="inlineStr">
        <is>
          <t>Medium</t>
        </is>
      </c>
      <c r="G46" s="6" t="inlineStr">
        <is>
          <t>P3</t>
        </is>
      </c>
      <c r="H46" s="6" t="inlineStr">
        <is>
          <t>Fixed</t>
        </is>
      </c>
    </row>
    <row r="47" ht="320" customHeight="1" s="40">
      <c r="A47" s="7">
        <f>"BUG-"&amp;TEXT(ROW()-3,"000")</f>
        <v/>
      </c>
      <c r="B47" s="8" t="n">
        <v>46159</v>
      </c>
      <c r="C47" s="4" t="inlineStr">
        <is>
          <t>Content audit (reading.json review)</t>
        </is>
      </c>
      <c r="D47" s="4" t="inlineStr">
        <is>
          <t>READ-004 — format_type and format_role both set to 'comprehension' on 9 passages — redundant field carrying duplicate data</t>
        </is>
      </c>
      <c r="E47" s="4"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6" t="inlineStr">
        <is>
          <t>Medium</t>
        </is>
      </c>
      <c r="G47" s="6" t="inlineStr">
        <is>
          <t>P3</t>
        </is>
      </c>
      <c r="H47" s="6" t="inlineStr">
        <is>
          <t>Fixed</t>
        </is>
      </c>
    </row>
    <row r="48" ht="320" customHeight="1" s="40">
      <c r="A48" s="7">
        <f>"BUG-"&amp;TEXT(ROW()-3,"000")</f>
        <v/>
      </c>
      <c r="B48" s="8" t="n">
        <v>46159</v>
      </c>
      <c r="C48" s="4" t="inlineStr">
        <is>
          <t>Content audit (reading.json review)</t>
        </is>
      </c>
      <c r="D48" s="4" t="inlineStr">
        <is>
          <t>READ-005 — vocab_preview uses two different schema shapes (list of strings vs list of dicts) across passages</t>
        </is>
      </c>
      <c r="E48" s="4"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6" t="inlineStr">
        <is>
          <t>Medium</t>
        </is>
      </c>
      <c r="G48" s="6" t="inlineStr">
        <is>
          <t>P2</t>
        </is>
      </c>
      <c r="H48" s="6" t="inlineStr">
        <is>
          <t>Fixed</t>
        </is>
      </c>
    </row>
    <row r="49" ht="320" customHeight="1" s="40">
      <c r="A49" s="14">
        <f>"BUG-"&amp;TEXT(ROW()-3,"000")</f>
        <v/>
      </c>
      <c r="B49" s="15" t="n">
        <v>46159</v>
      </c>
      <c r="C49" s="16" t="inlineStr">
        <is>
          <t>Content audit (reading.json review)</t>
        </is>
      </c>
      <c r="D49" s="16" t="inlineStr">
        <is>
          <t>READ-006 — First-person pronoun inconsistency: 45 passages use わたし (kana), 9 passages use 私 (kanji)</t>
        </is>
      </c>
      <c r="E49" s="16"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3" t="inlineStr">
        <is>
          <t>Low</t>
        </is>
      </c>
      <c r="G49" s="13" t="inlineStr">
        <is>
          <t>P4</t>
        </is>
      </c>
      <c r="H49" s="13" t="inlineStr">
        <is>
          <t>Fixed</t>
        </is>
      </c>
    </row>
    <row r="50" ht="409.5" customHeight="1" s="40">
      <c r="A50" s="4">
        <f>"BUG-"&amp;TEXT(ROW()-3,"000")</f>
        <v/>
      </c>
      <c r="B50" s="47" t="n">
        <v>46159</v>
      </c>
      <c r="C50" s="4" t="inlineStr">
        <is>
          <t>Content audit (listening.json review)</t>
        </is>
      </c>
      <c r="D50" s="4" t="inlineStr">
        <is>
          <t>LISTEN-001 — voice_planned.engine and audio_render_meta.voice_provider contradict each other across all 50 items</t>
        </is>
      </c>
      <c r="E50" s="4"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4" t="inlineStr">
        <is>
          <t>Medium</t>
        </is>
      </c>
      <c r="G50" s="4" t="inlineStr">
        <is>
          <t>P2</t>
        </is>
      </c>
      <c r="H50" s="4" t="inlineStr">
        <is>
          <t>Fixed</t>
        </is>
      </c>
    </row>
    <row r="51" ht="409.5" customHeight="1" s="40">
      <c r="A51" s="4">
        <f>"BUG-"&amp;TEXT(ROW()-3,"000")</f>
        <v/>
      </c>
      <c r="B51" s="47" t="n">
        <v>46159</v>
      </c>
      <c r="C51" s="4" t="inlineStr">
        <is>
          <t>Content audit (listening.json review)</t>
        </is>
      </c>
      <c r="D51" s="4" t="inlineStr">
        <is>
          <t>LISTEN-002 — pacing_status / voice_variety_status stale for items 41-50; audit fields say no_audio/unmeasured/None but audio_render_meta shows all 10 rendered</t>
        </is>
      </c>
      <c r="E51" s="4" t="inlineStr">
        <is>
          <t>FILE: data/listening.json
Ten items (n5.listen.041 through n5.listen.050) carry contradictory metadata:
  Items 041-047: pacing_status="no_audio", voice_variety_status="rendered", audio_render_meta.rendered_at=2026-05-12T18:00:00+00:00
                 → rendered, but pacing audit not refreshed
  Items 048-050: pacing_status="unmeasured", voice_variety_status=None, audio_render_meta.rendered_at=2026-05-12T18:00:00+00:00
                 → rendered, but never measured
For items 041-047, voice_variety_status="rendered" agrees with audio_render_meta — render did happen. But pacing_status="no_audio" and pacing_morae_per_min=None say the audit thought the audio was absent. The pacing audit must have run BEFORE the May 12 render and was not re-run after.
For items 048-050, voice_variety_status=None and pacing_status="unmeasured" both say the item was never measured — but audio_render_meta says it was rendered alongside items 1-47.
_meta.pacing_audit.summary still reports the pre-render state: "no_audio: 7, in_range: 12, too_slow: 26". After re-rendering, the audit needs to re-run.
Fix direction:
1. Re-run the pacing audit (mutagen-based, per _meta.pacing_audit.method) on the actual audio files for all 50 items.
2. Update pacing_morae_per_min and pacing_status on each item with the fresh measurement.
3. Update _meta.pacing_audit.summary with the new counts.
4. Update voice_variety_status from None → "rendered" for items 48-50 (they were rendered per audio_render_meta).
This fix may also resolve part of LISTEN-003 — some items currently flagged "too_slow" may now be in range with the post-VOICEVOX-render audio at higher pace.</t>
        </is>
      </c>
      <c r="F51" s="4" t="inlineStr">
        <is>
          <t>Medium</t>
        </is>
      </c>
      <c r="G51" s="4" t="inlineStr">
        <is>
          <t>P2</t>
        </is>
      </c>
      <c r="H51" s="4" t="inlineStr">
        <is>
          <t>Fixed</t>
        </is>
      </c>
    </row>
    <row r="52" ht="409.5" customHeight="1" s="40">
      <c r="A52" s="4">
        <f>"BUG-"&amp;TEXT(ROW()-3,"000")</f>
        <v/>
      </c>
      <c r="B52" s="47" t="n">
        <v>46159</v>
      </c>
      <c r="C52" s="4" t="inlineStr">
        <is>
          <t>Content audit (listening.json review)</t>
        </is>
      </c>
      <c r="D52" s="4" t="inlineStr">
        <is>
          <t>LISTEN-003 — Pacing systematically too slow for JLPT N5: 26/50 items below target band; some items 5x slower than exam pace</t>
        </is>
      </c>
      <c r="E52" s="4" t="inlineStr">
        <is>
          <t>FILE: data/listening.json
The target morae-per-minute band for JLPT N5 listening is 180-240 (per _meta.pacing_audit; official JEES N5 listening is around 200-220 morae/min).
Current pacing distribution across 50 items (per _meta.pacing_audit.summary):
  in_range:  12 items (24%)
  too_slow:  26 items (52%)
  too_fast:   2 items
  no_audio:   7 items (stale — see LISTEN-002)
  unmeasured: 3 items (stale — see LISTEN-002)
Mean observed: 160.2 mpm (vs 200-220 target).
Most-affected items (slowest):
  n5.listen.012:  38.4 mpm — roughly 5x slower than N5 target
  n5.listen.010:  42.2 mpm — roughly 5x slower
  n5.listen.009:  43.1 mpm — roughly 5x slower
  n5.listen.038:  87.3 mpm — roughly 2.3x slower
  n5.listen.011:  92.1 mpm — roughly 2.3x slower
  n5.listen.014: 117.4 mpm
  n5.listen.017: 120.5 mpm
  n5.listen.024: 120.9 mpm
  n5.listen.040: 125.9 mpm
  n5.listen.020: 138.9 mpm
Native-teacher view: an item at 38 mpm is closer to a slow language-tape pacing than JLPT exam pacing. A student preparing with audio at 38-90 mpm will be unable to follow the real N5 listening section at 200-220 mpm. The slow audio_slow track is already provided for every item (50/50 have audio_slow) — that's the right place for the slowed version. The primary audio should be at exam pace.
Fix direction:
1. Re-run pacing audit first (per LISTEN-002 fix) — some current too_slow flags may be stale.
2. For items confirmed too_slow after refresh, re-render with VOICEVOX speed parameter increased (VOICEVOX supports speedScale; values 1.1-1.3 should pull most into range).
3. For items at 38-90 mpm, the speed parameter alone won't suffice — review the script_ja for unnecessary slow-tempo fillers (long pauses, drawn-out aizuchi). Tighten.
4. Add a build invariant: every item with audio must have pacing_morae_per_min in [180, 240]. CI fails any out-of-range item.
Depends on LISTEN-002 (refresh audit first).</t>
        </is>
      </c>
      <c r="F52" s="4" t="inlineStr">
        <is>
          <t>Major</t>
        </is>
      </c>
      <c r="G52" s="4" t="inlineStr">
        <is>
          <t>P2</t>
        </is>
      </c>
      <c r="H52" s="4" t="inlineStr">
        <is>
          <t>Open</t>
        </is>
      </c>
    </row>
    <row r="53" ht="299" customHeight="1" s="40">
      <c r="A53" s="4">
        <f>"BUG-"&amp;TEXT(ROW()-3,"000")</f>
        <v/>
      </c>
      <c r="B53" s="47" t="n">
        <v>46159</v>
      </c>
      <c r="C53" s="4" t="inlineStr">
        <is>
          <t>Content audit (listening.json review)</t>
        </is>
      </c>
      <c r="D53" s="4" t="inlineStr">
        <is>
          <t>LISTEN-004 — Item count 50 in listening.json does not match version.json declared count of 47</t>
        </is>
      </c>
      <c r="E53" s="4" t="inlineStr">
        <is>
          <t>FILE: data/listening.json
listening.json has 50 items (n5.listen.001 through n5.listen.050). data/version.json declares:
  "counts": { ..., "listening": 47, ... }
Off by 3. The top-level web surface and the N5 home page fallback both render this count, so users see "47 listening drills" but the data file has 50.
Three items (likely n5.listen.048, n5.listen.049, n5.listen.050) appear to have been added after the version.json count was last set. These are the same 3 items flagged in LISTEN-002 as voice_variety_status=None — supporting the theory that they're newer-than-the-last-version-bump additions.
Fix direction: update version.json counts.listening = 50. Bump version.json (patch). Add CHANGELOG entry noting the 3 added items. Verify the top-level level-picker and N5 home page count refresh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t>
        </is>
      </c>
      <c r="F53" s="4" t="inlineStr">
        <is>
          <t>Medium</t>
        </is>
      </c>
      <c r="G53" s="4" t="inlineStr">
        <is>
          <t>P2</t>
        </is>
      </c>
      <c r="H53" s="4" t="inlineStr">
        <is>
          <t>Fixed</t>
        </is>
      </c>
    </row>
    <row r="54" ht="312" customHeight="1" s="40">
      <c r="A54" s="4">
        <f>"BUG-"&amp;TEXT(ROW()-3,"000")</f>
        <v/>
      </c>
      <c r="B54" s="47" t="n">
        <v>46159</v>
      </c>
      <c r="C54" s="4" t="inlineStr">
        <is>
          <t>Content audit (listening.json review)</t>
        </is>
      </c>
      <c r="D54" s="4" t="inlineStr">
        <is>
          <t>LISTEN-005 — format and format_type fields are 1:1 redundant — two columns encoding the same information</t>
        </is>
      </c>
      <c r="E54" s="4"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4" t="inlineStr">
        <is>
          <t>Medium</t>
        </is>
      </c>
      <c r="G54" s="4" t="inlineStr">
        <is>
          <t>P3</t>
        </is>
      </c>
      <c r="H54" s="4" t="inlineStr">
        <is>
          <t>Fixed</t>
        </is>
      </c>
    </row>
    <row r="55" ht="390" customHeight="1" s="40">
      <c r="A55" s="4">
        <f>"BUG-"&amp;TEXT(ROW()-3,"000")</f>
        <v/>
      </c>
      <c r="B55" s="47" t="n">
        <v>46159</v>
      </c>
      <c r="C55" s="4" t="inlineStr">
        <is>
          <t>Content audit (listening.json review)</t>
        </is>
      </c>
      <c r="D55" s="4" t="inlineStr">
        <is>
          <t>LISTEN-006 — _meta.voice_variety_plan still describes VOICEVOX as future work, but VOICEVOX has already rendered all 50 items</t>
        </is>
      </c>
      <c r="E55" s="4"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4" t="inlineStr">
        <is>
          <t>Low</t>
        </is>
      </c>
      <c r="G55" s="4" t="inlineStr">
        <is>
          <t>P4</t>
        </is>
      </c>
      <c r="H55" s="4" t="inlineStr">
        <is>
          <t>Fixed</t>
        </is>
      </c>
    </row>
    <row r="56" ht="409.5" customHeight="1" s="40">
      <c r="A56" s="4">
        <f>"BUG-"&amp;TEXT(ROW()-3,"000")</f>
        <v/>
      </c>
      <c r="B56" s="47" t="n">
        <v>46159</v>
      </c>
      <c r="C56" s="4" t="inlineStr">
        <is>
          <t>Content audit (listening.json review)</t>
        </is>
      </c>
      <c r="D56" s="4" t="inlineStr">
        <is>
          <t>LISTEN-007 — Voice variety target of 8 distinct VOICEVOX speakers not met (6 observed); plan's speaker catalog has wrong character names</t>
        </is>
      </c>
      <c r="E56" s="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4" t="inlineStr">
        <is>
          <t>Low</t>
        </is>
      </c>
      <c r="G56" s="4" t="inlineStr">
        <is>
          <t>P4</t>
        </is>
      </c>
      <c r="H56" s="4" t="inlineStr">
        <is>
          <t>Fixed</t>
        </is>
      </c>
    </row>
    <row r="57">
      <c r="B57" s="2" t="n"/>
    </row>
    <row r="58">
      <c r="B58" s="2" t="n"/>
    </row>
    <row r="59">
      <c r="B59" s="2" t="n"/>
    </row>
    <row r="60">
      <c r="B60" s="2" t="n"/>
    </row>
    <row r="61">
      <c r="B61" s="2" t="n"/>
    </row>
    <row r="62">
      <c r="B62" s="2" t="n"/>
    </row>
    <row r="63">
      <c r="B63" s="2" t="n"/>
    </row>
    <row r="64">
      <c r="B64" s="2" t="n"/>
    </row>
    <row r="65">
      <c r="B65" s="2" t="n"/>
    </row>
    <row r="66">
      <c r="B66" s="2" t="n"/>
    </row>
    <row r="67">
      <c r="B67" s="2" t="n"/>
    </row>
    <row r="68">
      <c r="B68" s="2" t="n"/>
    </row>
    <row r="69">
      <c r="B69" s="2" t="n"/>
    </row>
    <row r="70">
      <c r="B70" s="2" t="n"/>
    </row>
    <row r="71">
      <c r="B71" s="2" t="n"/>
    </row>
    <row r="72">
      <c r="B72" s="2" t="n"/>
    </row>
    <row r="73">
      <c r="B73" s="2" t="n"/>
    </row>
    <row r="74">
      <c r="B74" s="2" t="n"/>
    </row>
    <row r="75">
      <c r="B75" s="2" t="n"/>
    </row>
    <row r="76">
      <c r="B76" s="2" t="n"/>
    </row>
    <row r="77">
      <c r="B77" s="2" t="n"/>
    </row>
    <row r="78">
      <c r="B78" s="2" t="n"/>
    </row>
    <row r="79">
      <c r="B79" s="2" t="n"/>
    </row>
    <row r="80">
      <c r="B80" s="2" t="n"/>
    </row>
    <row r="81">
      <c r="B81" s="2" t="n"/>
    </row>
    <row r="82">
      <c r="B82" s="2" t="n"/>
    </row>
    <row r="83">
      <c r="B83" s="2" t="n"/>
    </row>
    <row r="84">
      <c r="B84" s="2" t="n"/>
    </row>
    <row r="85">
      <c r="B85" s="2" t="n"/>
    </row>
    <row r="86">
      <c r="B86" s="2" t="n"/>
    </row>
    <row r="87">
      <c r="B87" s="2" t="n"/>
    </row>
    <row r="88">
      <c r="B88" s="2" t="n"/>
    </row>
    <row r="89">
      <c r="B89" s="2" t="n"/>
    </row>
    <row r="90">
      <c r="B90" s="2" t="n"/>
    </row>
    <row r="91">
      <c r="B91" s="2" t="n"/>
    </row>
    <row r="92">
      <c r="B92" s="2" t="n"/>
    </row>
    <row r="93">
      <c r="B93" s="2" t="n"/>
    </row>
    <row r="94">
      <c r="B94" s="2" t="n"/>
    </row>
    <row r="95">
      <c r="B95" s="2" t="n"/>
    </row>
    <row r="96">
      <c r="B96" s="2" t="n"/>
    </row>
    <row r="97">
      <c r="B97" s="2" t="n"/>
    </row>
    <row r="98">
      <c r="B98" s="2" t="n"/>
    </row>
    <row r="99">
      <c r="B99" s="2" t="n"/>
    </row>
    <row r="100">
      <c r="B100" s="2" t="n"/>
    </row>
  </sheetData>
  <autoFilter ref="A3:H25"/>
  <mergeCells count="1">
    <mergeCell ref="A1:H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2026-05-17T02:29:54Z</dcterms:modified>
  <cp:lastModifiedBy>Srivastava, Gaurav</cp:lastModifiedBy>
</cp:coreProperties>
</file>