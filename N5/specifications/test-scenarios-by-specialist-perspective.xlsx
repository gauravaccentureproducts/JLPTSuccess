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s>
  <definedNames>
    <definedName name="_xlnm._FilterDatabase" localSheetId="1" hidden="1">'Unit Tests (Auto-runnable)'!$A$4:$P$115</definedName>
    <definedName name="_xlnm._FilterDatabase" localSheetId="16" hidden="1">'User Reported Bugs'!$A$3:$J$109</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20">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7">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0">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78" min="1" max="1"/>
    <col width="12" customWidth="1" style="78" min="2" max="2"/>
    <col width="10" customWidth="1" style="78" min="3" max="5"/>
    <col width="12" customWidth="1" style="78" min="6" max="6"/>
  </cols>
  <sheetData>
    <row r="1" ht="28" customHeight="1" s="78">
      <c r="A1" s="77" t="inlineStr">
        <is>
          <t>JLPT N5 Tutor — Test Scenarios by Specialist Perspective</t>
        </is>
      </c>
    </row>
    <row r="2" ht="24" customHeight="1" s="78">
      <c r="A2" s="80" t="inlineStr">
        <is>
          <t>Generated from the 84-perspective list (categories A–N). Each tab = one category.</t>
        </is>
      </c>
    </row>
    <row r="3" ht="60" customHeight="1" s="78">
      <c r="A3" s="7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78">
      <c r="A5" s="21" t="inlineStr">
        <is>
          <t>Tab</t>
        </is>
      </c>
      <c r="B5" s="21" t="inlineStr">
        <is>
          <t>Scenarios</t>
        </is>
      </c>
      <c r="C5" s="21" t="inlineStr">
        <is>
          <t>P1</t>
        </is>
      </c>
      <c r="D5" s="21" t="inlineStr">
        <is>
          <t>P2</t>
        </is>
      </c>
      <c r="E5" s="21" t="inlineStr">
        <is>
          <t>P3</t>
        </is>
      </c>
      <c r="F5" s="21" t="inlineStr">
        <is>
          <t>P4 + P5</t>
        </is>
      </c>
    </row>
    <row r="6" ht="50" customHeight="1" s="7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7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7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7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7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7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7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7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7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7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7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7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7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7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78" thickBot="1" thickTop="1">
      <c r="A20" s="22" t="inlineStr">
        <is>
          <t>TOTAL</t>
        </is>
      </c>
      <c r="B20" s="22">
        <f>SUM(B6:B19)</f>
        <v/>
      </c>
      <c r="C20" s="23">
        <f>SUM(C6:C19)</f>
        <v/>
      </c>
      <c r="D20" s="23">
        <f>SUM(D6:D19)</f>
        <v/>
      </c>
      <c r="E20" s="24">
        <f>SUM(E6:E19)</f>
        <v/>
      </c>
      <c r="F20" s="24">
        <f>SUM(F6:F19)</f>
        <v/>
      </c>
    </row>
    <row r="21" ht="15" customHeight="1" s="7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78" min="1" max="1"/>
    <col width="9" customWidth="1" style="78" min="2" max="2"/>
    <col width="5" customWidth="1" style="78" min="3" max="3"/>
    <col width="22" customWidth="1" style="78" min="4" max="4"/>
    <col width="60" customWidth="1" style="78" min="5" max="5"/>
    <col width="38" customWidth="1" style="78" min="6" max="6"/>
    <col width="12" customWidth="1" style="78" min="7" max="7"/>
    <col width="24" customWidth="1" style="78" min="8" max="8"/>
    <col width="9" customWidth="1" style="78" min="9" max="9"/>
    <col width="11" customWidth="1" style="78" min="10" max="10"/>
    <col width="13" customWidth="1" style="78" min="11" max="11"/>
    <col width="9" customWidth="1" style="78" min="12" max="12"/>
    <col width="11" customWidth="1" style="78" min="13" max="13"/>
    <col width="14" customWidth="1" style="78" min="14" max="15"/>
    <col width="32" customWidth="1" style="78" min="16" max="16"/>
  </cols>
  <sheetData>
    <row r="1" ht="18.5" customHeight="1" s="78">
      <c r="A1" s="81" t="inlineStr">
        <is>
          <t>JLPT N5 Tutor — Unit Tests (Auto-runnable scenarios)</t>
        </is>
      </c>
    </row>
    <row r="2" ht="45" customHeight="1" s="78">
      <c r="A2" s="8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7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7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7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7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7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7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7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7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7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7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7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7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7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7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7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7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7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7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7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7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7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7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7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7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7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7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7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7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7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7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7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7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7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7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7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7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7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7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7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7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7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7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7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7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7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7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7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7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7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7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7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7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7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7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7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7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7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7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7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7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7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7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7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7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7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7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7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7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7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7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7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7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7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7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7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7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7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7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7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7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7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7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7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7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7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7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7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7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7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7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7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7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7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7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7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7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7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7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7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7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7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7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7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7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7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7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7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6"/>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A. Japanese language</t>
        </is>
      </c>
    </row>
    <row r="2" ht="36" customHeight="1" s="78">
      <c r="A2" s="80" t="inlineStr">
        <is>
          <t>Perspectives: Native Japanese teacher, JLPT-N5 specialist, pitch-accent, TTS-reviewer, sociolinguist, translator, counter specialist, kanji specialist, romaji, furigana</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7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7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7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7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7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7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7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7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7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7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7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7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7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7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7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7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7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7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7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7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7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7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7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7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7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7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7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7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7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7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78">
      <c r="A35" s="16" t="inlineStr">
        <is>
          <t>A-031</t>
        </is>
      </c>
      <c r="B35" s="16" t="inlineStr">
        <is>
          <t>Hindi-locale audio</t>
        </is>
      </c>
      <c r="C35" s="16" t="inlineStr">
        <is>
          <t>3</t>
        </is>
      </c>
      <c r="D35" s="16" t="inlineStr">
        <is>
          <t>Auditory verification of Hindi-locale pedagogical audio (Hindi UI strings or explanations spoken in Hindi)</t>
        </is>
      </c>
      <c r="E35" s="16" t="inlineStr">
        <is>
          <t>1. List every Hindi UI string or explanation that has a corresponding audio asset (if any).
2. Native Hindi speaker auditions each.
3. Mark NATURAL / UNNATURAL / NO-AUDIO.
4. Pass: NATURAL or NO-AUDIO; 0 UNNATURAL.</t>
        </is>
      </c>
      <c r="F35" s="16" t="inlineStr">
        <is>
          <t>0 UNNATURAL Hindi audio renderings.</t>
        </is>
      </c>
      <c r="G35" s="16" t="inlineStr">
        <is>
          <t>P3</t>
        </is>
      </c>
      <c r="H35" s="16" t="inlineStr">
        <is>
          <t>Major</t>
        </is>
      </c>
      <c r="I35" s="16" t="inlineStr">
        <is>
          <t>Blocked — depends on Hindi audio</t>
        </is>
      </c>
      <c r="J35" s="16"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16" t="inlineStr">
        <is>
          <t>1d</t>
        </is>
      </c>
      <c r="L35" s="16" t="inlineStr">
        <is>
          <t>Native Hindi teacher</t>
        </is>
      </c>
      <c r="M35" s="16" t="inlineStr">
        <is>
          <t>Manual review by native Hindi speaker</t>
        </is>
      </c>
      <c r="N35" s="61" t="n">
        <v>46159</v>
      </c>
      <c r="O35" s="16" t="inlineStr">
        <is>
          <t>Blocked — Hindi audio not shipped</t>
        </is>
      </c>
      <c r="P35" s="16" t="n"/>
      <c r="Q35" s="16" t="inlineStr">
        <is>
          <t>—</t>
        </is>
      </c>
      <c r="R35" s="16" t="inlineStr">
        <is>
          <t>0%</t>
        </is>
      </c>
    </row>
    <row r="36" ht="116" customHeight="1" s="78">
      <c r="A36" s="16" t="inlineStr">
        <is>
          <t>A-032</t>
        </is>
      </c>
      <c r="B36" s="16" t="inlineStr">
        <is>
          <t>Cross-pattern contamination</t>
        </is>
      </c>
      <c r="C36" s="16" t="inlineStr">
        <is>
          <t>1</t>
        </is>
      </c>
      <c r="D36" s="16" t="inlineStr">
        <is>
          <t>Cross-pattern explanation_en uniqueness (Levenshtein) — catches BUG-003-class contamination</t>
        </is>
      </c>
      <c r="E36" s="16"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6" t="inlineStr">
        <is>
          <t>0 unintentional explanation-similarity hits ≥0.85 across the 178 patterns. Flagged pairs documented as intentional contrast pairs OR rewritten.</t>
        </is>
      </c>
      <c r="G36" s="16" t="inlineStr">
        <is>
          <t>P3</t>
        </is>
      </c>
      <c r="H36" s="16" t="inlineStr">
        <is>
          <t>Major</t>
        </is>
      </c>
      <c r="I36" s="16" t="inlineStr">
        <is>
          <t>Auto+Manual</t>
        </is>
      </c>
      <c r="J36" s="16" t="inlineStr">
        <is>
          <t>Planned CI invariant JA-91 (currently as Phase-0 regression in prompts/N5Improvement.txt). Promotion to hard gate queued. Covers BUG-003.</t>
        </is>
      </c>
      <c r="K36" s="16" t="inlineStr">
        <is>
          <t>4h</t>
        </is>
      </c>
      <c r="L36" s="16" t="inlineStr">
        <is>
          <t>Native Japanese teacher + SLA pedagogy researcher</t>
        </is>
      </c>
      <c r="M36" s="16" t="inlineStr">
        <is>
          <t>Custom Python (Levenshtein cross-similarity scan)</t>
        </is>
      </c>
      <c r="N36" s="61" t="n">
        <v>46159</v>
      </c>
      <c r="O36" s="16" t="inlineStr">
        <is>
          <t>PASS</t>
        </is>
      </c>
      <c r="P36" s="16" t="n"/>
      <c r="Q36" s="16" t="inlineStr">
        <is>
          <t>—</t>
        </is>
      </c>
      <c r="R36" s="16" t="inlineStr">
        <is>
          <t>0%</t>
        </is>
      </c>
    </row>
    <row r="37" ht="130.5" customHeight="1" s="78">
      <c r="A37" s="16" t="inlineStr">
        <is>
          <t>A-033</t>
        </is>
      </c>
      <c r="B37" s="16" t="inlineStr">
        <is>
          <t>Cross-pattern contamination</t>
        </is>
      </c>
      <c r="C37" s="16" t="inlineStr">
        <is>
          <t>1</t>
        </is>
      </c>
      <c r="D37" s="16" t="inlineStr">
        <is>
          <t>Per-example JA-EN content-word overlap — catches BUG-005-class translation_en stuck on one string</t>
        </is>
      </c>
      <c r="E37" s="16"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6" t="inlineStr">
        <is>
          <t>0 patterns with ≥3 zero-overlap examples post-LLM-judge.</t>
        </is>
      </c>
      <c r="G37" s="16" t="inlineStr">
        <is>
          <t>P3</t>
        </is>
      </c>
      <c r="H37" s="16" t="inlineStr">
        <is>
          <t>Major</t>
        </is>
      </c>
      <c r="I37" s="16" t="inlineStr">
        <is>
          <t>Auto+Manual</t>
        </is>
      </c>
      <c r="J37" s="16" t="inlineStr">
        <is>
          <t>Planned CI invariant JA-92. Covers BUG-005.</t>
        </is>
      </c>
      <c r="K37" s="16" t="inlineStr">
        <is>
          <t>1d</t>
        </is>
      </c>
      <c r="L37" s="16" t="inlineStr">
        <is>
          <t>Native Japanese teacher + LLM judge</t>
        </is>
      </c>
      <c r="M37" s="16" t="inlineStr">
        <is>
          <t>Custom Python (content-word overlap heuristic) + LLM-judge pass</t>
        </is>
      </c>
      <c r="N37" s="61" t="n">
        <v>46159</v>
      </c>
      <c r="O37" s="16" t="inlineStr">
        <is>
          <t>PASS</t>
        </is>
      </c>
      <c r="P37" s="16" t="n"/>
      <c r="Q37" s="16" t="inlineStr">
        <is>
          <t>—</t>
        </is>
      </c>
      <c r="R37" s="16" t="inlineStr">
        <is>
          <t>0%</t>
        </is>
      </c>
    </row>
    <row r="38" ht="130.5" customHeight="1" s="78">
      <c r="A38" s="16" t="inlineStr">
        <is>
          <t>A-034</t>
        </is>
      </c>
      <c r="B38" s="16" t="inlineStr">
        <is>
          <t>Pattern-instance contamination</t>
        </is>
      </c>
      <c r="C38" s="16" t="inlineStr">
        <is>
          <t>1</t>
        </is>
      </c>
      <c r="D38" s="16" t="inlineStr">
        <is>
          <t>Every grammar example contains ≥1 pattern-defining surface marker (planned JA-94)</t>
        </is>
      </c>
      <c r="E38" s="16"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6" t="inlineStr">
        <is>
          <t>0 examples lacking a pattern-defining marker.</t>
        </is>
      </c>
      <c r="G38" s="16" t="inlineStr">
        <is>
          <t>P3</t>
        </is>
      </c>
      <c r="H38" s="16" t="inlineStr">
        <is>
          <t>Major</t>
        </is>
      </c>
      <c r="I38" s="16" t="inlineStr">
        <is>
          <t>Auto</t>
        </is>
      </c>
      <c r="J38" s="16" t="inlineStr">
        <is>
          <t>Planned CI invariant JA-94 (Phase-0 regression block in prompts/N5Improvement.txt today). Promotion gated on pattern_markers.json authoring. Covers BUG-006.</t>
        </is>
      </c>
      <c r="K38" s="16" t="inlineStr">
        <is>
          <t>1d</t>
        </is>
      </c>
      <c r="L38" s="16" t="inlineStr">
        <is>
          <t>Data engineer + native Japanese teacher (for marker authoring)</t>
        </is>
      </c>
      <c r="M38" s="16" t="inlineStr">
        <is>
          <t>Custom Python (`data/pattern_markers.json` + regex scan)</t>
        </is>
      </c>
      <c r="N38" s="61" t="n">
        <v>46159</v>
      </c>
      <c r="O38" s="16" t="inlineStr">
        <is>
          <t>PASS</t>
        </is>
      </c>
      <c r="P38" s="16" t="n"/>
      <c r="Q38" s="16" t="inlineStr">
        <is>
          <t>—</t>
        </is>
      </c>
      <c r="R38" s="16" t="inlineStr">
        <is>
          <t>0%</t>
        </is>
      </c>
    </row>
    <row r="39" ht="101.5" customHeight="1" s="78">
      <c r="A39" s="16" t="inlineStr">
        <is>
          <t>A-035</t>
        </is>
      </c>
      <c r="B39" s="16" t="inlineStr">
        <is>
          <t>Folk-linguistic terminology</t>
        </is>
      </c>
      <c r="C39" s="16" t="inlineStr">
        <is>
          <t>1</t>
        </is>
      </c>
      <c r="D39" s="16" t="inlineStr">
        <is>
          <t>common_mistakes WHY rationales use canonical grammar terminology (Genki / Tobira / A Dictionary of Basic Japanese Grammar) — not folk shortcuts</t>
        </is>
      </c>
      <c r="E39" s="16"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6" t="inlineStr">
        <is>
          <t>0 folk-linguistic terminology hits in common_mistakes WHY fields.</t>
        </is>
      </c>
      <c r="G39" s="16" t="inlineStr">
        <is>
          <t>P3</t>
        </is>
      </c>
      <c r="H39" s="16" t="inlineStr">
        <is>
          <t>Major</t>
        </is>
      </c>
      <c r="I39" s="16" t="inlineStr">
        <is>
          <t>Auto+Manual</t>
        </is>
      </c>
      <c r="J39" s="16" t="inlineStr">
        <is>
          <t>Phase-0 regression block A53 in prompts/N5Improvement.txt. Covers BUG-008.</t>
        </is>
      </c>
      <c r="K39" s="16" t="inlineStr">
        <is>
          <t>4h</t>
        </is>
      </c>
      <c r="L39" s="16" t="inlineStr">
        <is>
          <t>Native Japanese teacher</t>
        </is>
      </c>
      <c r="M39" s="16" t="inlineStr">
        <is>
          <t>Custom Python (regex scan) + manual review</t>
        </is>
      </c>
      <c r="N39" s="61" t="n">
        <v>46159</v>
      </c>
      <c r="O39" s="16" t="inlineStr">
        <is>
          <t>Skipped — custom</t>
        </is>
      </c>
      <c r="P39" s="16" t="n"/>
      <c r="Q39" s="16" t="inlineStr">
        <is>
          <t>—</t>
        </is>
      </c>
      <c r="R39" s="16" t="inlineStr">
        <is>
          <t>0%</t>
        </is>
      </c>
    </row>
    <row r="40" ht="116" customHeight="1" s="78">
      <c r="A40" s="16" t="inlineStr">
        <is>
          <t>A-036</t>
        </is>
      </c>
      <c r="B40" s="16" t="inlineStr">
        <is>
          <t>Particle-pattern alignment</t>
        </is>
      </c>
      <c r="C40" s="16" t="inlineStr">
        <is>
          <t>1</t>
        </is>
      </c>
      <c r="D40" s="16" t="inlineStr">
        <is>
          <t>Particle-introducing patterns: every example JA contains the canonical particle (planned JA-95)</t>
        </is>
      </c>
      <c r="E40" s="16"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6" t="inlineStr">
        <is>
          <t>0 examples missing their pattern's canonical particle.</t>
        </is>
      </c>
      <c r="G40" s="16" t="inlineStr">
        <is>
          <t>P3</t>
        </is>
      </c>
      <c r="H40" s="16" t="inlineStr">
        <is>
          <t>Major</t>
        </is>
      </c>
      <c r="I40" s="16" t="inlineStr">
        <is>
          <t>Auto</t>
        </is>
      </c>
      <c r="J40" s="16" t="inlineStr">
        <is>
          <t>Planned CI invariant JA-95 (Phase-0 regression block today). Covers BUG-009.</t>
        </is>
      </c>
      <c r="K40" s="16" t="inlineStr">
        <is>
          <t>4h</t>
        </is>
      </c>
      <c r="L40" s="16" t="inlineStr">
        <is>
          <t>Data engineer + native Japanese teacher</t>
        </is>
      </c>
      <c r="M40" s="16" t="inlineStr">
        <is>
          <t>Custom Python (per-pattern particle-presence assertion)</t>
        </is>
      </c>
      <c r="N40" s="61" t="n">
        <v>46159</v>
      </c>
      <c r="O40" s="16" t="inlineStr">
        <is>
          <t>PASS</t>
        </is>
      </c>
      <c r="P40" s="16" t="n"/>
      <c r="Q40" s="16" t="inlineStr">
        <is>
          <t>—</t>
        </is>
      </c>
      <c r="R40" s="16" t="inlineStr">
        <is>
          <t>0%</t>
        </is>
      </c>
    </row>
    <row r="41" ht="130.5" customHeight="1" s="78">
      <c r="A41" s="16" t="inlineStr">
        <is>
          <t>A-037</t>
        </is>
      </c>
      <c r="B41" s="16" t="inlineStr">
        <is>
          <t>Register-variant schema</t>
        </is>
      </c>
      <c r="C41" s="16" t="inlineStr">
        <is>
          <t>1</t>
        </is>
      </c>
      <c r="D41" s="16" t="inlineStr">
        <is>
          <t>common_mistakes entries marked `kind: "register_variant"` use form_a/form_b keys, not wrong/right</t>
        </is>
      </c>
      <c r="E41" s="16"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6" t="inlineStr">
        <is>
          <t>0 entries where WHY signals register-variant but kind is absent. 0 entries with kind=register_variant carrying stale wrong/right keys.</t>
        </is>
      </c>
      <c r="G41" s="16" t="inlineStr">
        <is>
          <t>P2</t>
        </is>
      </c>
      <c r="H41" s="16" t="inlineStr">
        <is>
          <t>Major</t>
        </is>
      </c>
      <c r="I41" s="16" t="inlineStr">
        <is>
          <t>Auto</t>
        </is>
      </c>
      <c r="J41" s="16" t="inlineStr">
        <is>
          <t>CI invariant JA-64 enforces required fields by kind. Phase-0 A57 catches stale keys + unflagged variants. Covers BUG-007/011/013.</t>
        </is>
      </c>
      <c r="K41" s="16" t="inlineStr">
        <is>
          <t>1h</t>
        </is>
      </c>
      <c r="L41" s="16" t="inlineStr">
        <is>
          <t>Data engineer</t>
        </is>
      </c>
      <c r="M41" s="16" t="inlineStr">
        <is>
          <t>tools/check_content_integrity.py (JA-64 + Phase-0 A57 in N5Improvement.txt)</t>
        </is>
      </c>
      <c r="N41" s="61" t="n">
        <v>46159</v>
      </c>
      <c r="O41" s="16" t="inlineStr">
        <is>
          <t>PASS</t>
        </is>
      </c>
      <c r="P41" s="16" t="n"/>
      <c r="Q41" s="16" t="inlineStr">
        <is>
          <t>—</t>
        </is>
      </c>
      <c r="R41" s="16" t="inlineStr">
        <is>
          <t>0%</t>
        </is>
      </c>
    </row>
    <row r="42" ht="87" customHeight="1" s="78">
      <c r="A42" s="16" t="inlineStr">
        <is>
          <t>A-038</t>
        </is>
      </c>
      <c r="B42" s="16" t="inlineStr">
        <is>
          <t>Template-nonsense vocab examples</t>
        </is>
      </c>
      <c r="C42" s="16" t="inlineStr">
        <is>
          <t>1</t>
        </is>
      </c>
      <c r="D42" s="16" t="inlineStr">
        <is>
          <t>No vocab example uses bare `&lt;form&gt;が あります/います` template (JA-96)</t>
        </is>
      </c>
      <c r="E42" s="16" t="inlineStr">
        <is>
          <t>1. Run tools/check_content_integrity.py JA-96.
2. Pass: 0 vocab examples matching the bare-template regex.
3. Reference: BUG-014 (19 such examples on time/abstract/location nouns) + F.21.1 authoring rule (classify noun type before applying template).</t>
        </is>
      </c>
      <c r="F42" s="16" t="inlineStr">
        <is>
          <t>JA-96 PASS — 0 bare-template examples across 998 vocab entries.</t>
        </is>
      </c>
      <c r="G42" s="16" t="inlineStr">
        <is>
          <t>P2</t>
        </is>
      </c>
      <c r="H42" s="16" t="inlineStr">
        <is>
          <t>Major</t>
        </is>
      </c>
      <c r="I42" s="16" t="inlineStr">
        <is>
          <t>Auto</t>
        </is>
      </c>
      <c r="J42" s="16" t="inlineStr">
        <is>
          <t>Locked by CI invariant JA-96 (added 2026-05-16 from BUG-014). Strict regex match — no false positives expected.</t>
        </is>
      </c>
      <c r="K42" s="16" t="inlineStr">
        <is>
          <t>1h</t>
        </is>
      </c>
      <c r="L42" s="16" t="inlineStr">
        <is>
          <t>Data engineer</t>
        </is>
      </c>
      <c r="M42" s="16" t="inlineStr">
        <is>
          <t>tools/check_content_integrity.py (JA-96)</t>
        </is>
      </c>
      <c r="N42" s="61" t="n">
        <v>46159</v>
      </c>
      <c r="O42" s="16" t="inlineStr">
        <is>
          <t>PASS</t>
        </is>
      </c>
      <c r="P42" s="16" t="n"/>
      <c r="Q42" s="16" t="inlineStr">
        <is>
          <t>—</t>
        </is>
      </c>
      <c r="R42" s="16" t="inlineStr">
        <is>
          <t>0%</t>
        </is>
      </c>
    </row>
    <row r="43" ht="72.5" customHeight="1" s="78">
      <c r="A43" s="16" t="inlineStr">
        <is>
          <t>A-039</t>
        </is>
      </c>
      <c r="B43" s="16" t="inlineStr">
        <is>
          <t>Verb transitivity coverage</t>
        </is>
      </c>
      <c r="C43" s="16" t="inlineStr">
        <is>
          <t>1</t>
        </is>
      </c>
      <c r="D43" s="16" t="inlineStr">
        <is>
          <t>Every vocab verb (verb-1/verb-2/verb-3) has `transitivity` in {transitive, intransitive, contact} (JA-98)</t>
        </is>
      </c>
      <c r="E43" s="16" t="inlineStr">
        <is>
          <t>1. Run tools/check_content_integrity.py JA-98.
2. Pass: 132/132 verbs declared with closed-enum value.
3. Spot-check 10 random verbs against JMdict vt/vi tags for accuracy.
4. Reference: BUG-016 + F.21.3 (field-coverage gap class).</t>
        </is>
      </c>
      <c r="F43" s="16" t="inlineStr">
        <is>
          <t>JA-98 PASS — 132/132 verbs classified; spot-check shows ≥9/10 agreement with JMdict.</t>
        </is>
      </c>
      <c r="G43" s="16" t="inlineStr">
        <is>
          <t>P2</t>
        </is>
      </c>
      <c r="H43" s="16" t="inlineStr">
        <is>
          <t>Major</t>
        </is>
      </c>
      <c r="I43" s="16" t="inlineStr">
        <is>
          <t>Auto+Manual</t>
        </is>
      </c>
      <c r="J43" s="16" t="inlineStr">
        <is>
          <t>Locked by JA-98. 'contact' value reserved for encounter verbs per BUG-008 lesson.</t>
        </is>
      </c>
      <c r="K43" s="16" t="inlineStr">
        <is>
          <t>4h</t>
        </is>
      </c>
      <c r="L43" s="16" t="inlineStr">
        <is>
          <t>Data engineer + native Japanese teacher</t>
        </is>
      </c>
      <c r="M43" s="16" t="inlineStr">
        <is>
          <t>tools/check_content_integrity.py (JA-98) + manual JMdict cross-check</t>
        </is>
      </c>
      <c r="N43" s="61" t="n">
        <v>46159</v>
      </c>
      <c r="O43" s="16" t="inlineStr">
        <is>
          <t>PASS</t>
        </is>
      </c>
      <c r="P43" s="16" t="n"/>
      <c r="Q43" s="16" t="inlineStr">
        <is>
          <t>—</t>
        </is>
      </c>
      <c r="R43" s="16" t="inlineStr">
        <is>
          <t>0%</t>
        </is>
      </c>
    </row>
    <row r="44" ht="72.5" customHeight="1" s="78">
      <c r="A44" s="16" t="inlineStr">
        <is>
          <t>A-040</t>
        </is>
      </c>
      <c r="B44" s="16" t="inlineStr">
        <is>
          <t>Scope discipline</t>
        </is>
      </c>
      <c r="C44" s="16" t="inlineStr">
        <is>
          <t>2</t>
        </is>
      </c>
      <c r="D44" s="16" t="inlineStr">
        <is>
          <t>All kanji in vocab.form fields are in N5 whitelist OR explicit exception list (JA-99)</t>
        </is>
      </c>
      <c r="E44" s="16" t="inlineStr">
        <is>
          <t>1. Run tools/check_content_integrity.py JA-99.
2. Pass: 0 OOS kanji in any vocab.form across 995 entries.
3. Reference: BUG-017 (3 OOS kanji 倍/籍/末) + BUG-023 (the inverse — vocab kana-only when kanji IS in scope) + F.22.1.</t>
        </is>
      </c>
      <c r="F44" s="16" t="inlineStr">
        <is>
          <t>JA-99 PASS — 0 OOS kanji in vocab.form.</t>
        </is>
      </c>
      <c r="G44" s="16" t="inlineStr">
        <is>
          <t>P2</t>
        </is>
      </c>
      <c r="H44" s="16" t="inlineStr">
        <is>
          <t>Major</t>
        </is>
      </c>
      <c r="I44" s="16" t="inlineStr">
        <is>
          <t>Auto</t>
        </is>
      </c>
      <c r="J44" s="16" t="inlineStr">
        <is>
          <t>Locked by JA-99. Complements JA-13 (grammar example kanji-scope) for the vocab surface.</t>
        </is>
      </c>
      <c r="K44" s="16" t="inlineStr">
        <is>
          <t>1h</t>
        </is>
      </c>
      <c r="L44" s="16" t="inlineStr">
        <is>
          <t>Data engineer</t>
        </is>
      </c>
      <c r="M44" s="16" t="inlineStr">
        <is>
          <t>tools/check_content_integrity.py (JA-99)</t>
        </is>
      </c>
      <c r="N44" s="61" t="n">
        <v>46159</v>
      </c>
      <c r="O44" s="16" t="inlineStr">
        <is>
          <t>PASS</t>
        </is>
      </c>
      <c r="P44" s="16" t="n"/>
      <c r="Q44" s="16" t="inlineStr">
        <is>
          <t>—</t>
        </is>
      </c>
      <c r="R44" s="16" t="inlineStr">
        <is>
          <t>0%</t>
        </is>
      </c>
    </row>
    <row r="45" ht="72.5" customHeight="1" s="78">
      <c r="A45" s="16" t="inlineStr">
        <is>
          <t>A-041</t>
        </is>
      </c>
      <c r="B45" s="16" t="inlineStr">
        <is>
          <t>primary_reading correctness</t>
        </is>
      </c>
      <c r="C45" s="16" t="inlineStr">
        <is>
          <t>1</t>
        </is>
      </c>
      <c r="D45" s="16" t="inlineStr">
        <is>
          <t>Standalone-kun primary_reading lock for 6 kanji (人/中/外/東/車/国) — kun-yomi at standalone use (JA-102)</t>
        </is>
      </c>
      <c r="E45" s="16" t="inlineStr">
        <is>
          <t>1. Run tools/check_content_integrity.py JA-102.
2. Pass: 人=ひと, 中=なか, 外=そと, 東=ひがし, 車=くるま, 国=くに.
3. Reference: BUG-021 (these 6 had on-yomi as primary despite kun being the standalone form) + F.22.2.</t>
        </is>
      </c>
      <c r="F45" s="16" t="inlineStr">
        <is>
          <t>JA-102 PASS — 6/6 kanji on canonical kun primary_reading.</t>
        </is>
      </c>
      <c r="G45" s="16" t="inlineStr">
        <is>
          <t>P3</t>
        </is>
      </c>
      <c r="H45" s="16" t="inlineStr">
        <is>
          <t>Major</t>
        </is>
      </c>
      <c r="I45" s="16" t="inlineStr">
        <is>
          <t>Auto</t>
        </is>
      </c>
      <c r="J45" s="16" t="inlineStr">
        <is>
          <t>Locked by JA-102. Defensible on-yomi-primary entries (時/社/駅) kept unchanged.</t>
        </is>
      </c>
      <c r="K45" s="16" t="inlineStr">
        <is>
          <t>1h</t>
        </is>
      </c>
      <c r="L45" s="16" t="inlineStr">
        <is>
          <t>Data engineer</t>
        </is>
      </c>
      <c r="M45" s="16" t="inlineStr">
        <is>
          <t>tools/check_content_integrity.py (JA-102)</t>
        </is>
      </c>
      <c r="N45" s="61" t="n">
        <v>46159</v>
      </c>
      <c r="O45" s="16" t="inlineStr">
        <is>
          <t>PASS</t>
        </is>
      </c>
      <c r="P45" s="16" t="n"/>
      <c r="Q45" s="16" t="inlineStr">
        <is>
          <t>—</t>
        </is>
      </c>
      <c r="R45" s="16" t="inlineStr">
        <is>
          <t>0%</t>
        </is>
      </c>
    </row>
    <row r="46" ht="87" customHeight="1" s="7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7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7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7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7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7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7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7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7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7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7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7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7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7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7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7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7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7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7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7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7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7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7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7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7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7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7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7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7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7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7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7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7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7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7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7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7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7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7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7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7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7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7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7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7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7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7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7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7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7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7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7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7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7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7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7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7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7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7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7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7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7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7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7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7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7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7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7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7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7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7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7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7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7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7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7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7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7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c r="A124" s="89" t="inlineStr">
        <is>
          <t>A-120</t>
        </is>
      </c>
      <c r="B124" s="89" t="inlineStr">
        <is>
          <t>Accuracy prompt category</t>
        </is>
      </c>
      <c r="C124" s="89" t="inlineStr">
        <is>
          <t>1</t>
        </is>
      </c>
      <c r="D124" s="89" t="inlineStr">
        <is>
          <t>Accuracy prompt audit category A67: PAPER-QUESTION grammarPatternId MIS-TAG SCAN (PAPER-001)</t>
        </is>
      </c>
      <c r="E124" s="89" t="inlineStr">
        <is>
          <t>1. Reference: prompts/Japanese language Accuracy check.txt A67
2. Run the category's manual sample / CI check
3. Cross-reference any JA-NN invariant noted below
4. Report findings as candidate bug rows</t>
        </is>
      </c>
      <c r="F124" s="89" t="inlineStr">
        <is>
          <t>0 findings against current corpus snapshot OR documented false-positive class (see FP-NN catalog in same prompt).</t>
        </is>
      </c>
      <c r="G124" s="89" t="inlineStr">
        <is>
          <t>P3</t>
        </is>
      </c>
      <c r="H124" s="89" t="inlineStr">
        <is>
          <t>Major</t>
        </is>
      </c>
      <c r="I124" s="89" t="inlineStr">
        <is>
          <t>Manual</t>
        </is>
      </c>
      <c r="J124" s="89"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9" t="inlineStr">
        <is>
          <t>30m</t>
        </is>
      </c>
      <c r="L124" s="89" t="inlineStr">
        <is>
          <t>Native-teacher reviewer</t>
        </is>
      </c>
      <c r="M124" s="89" t="inlineStr">
        <is>
          <t>prompts/Japanese language Accuracy check.txt</t>
        </is>
      </c>
      <c r="N124" s="89" t="inlineStr"/>
      <c r="O124" s="89" t="inlineStr">
        <is>
          <t>Not Yet Run</t>
        </is>
      </c>
      <c r="P124" s="89" t="inlineStr"/>
      <c r="Q124" s="89" t="inlineStr">
        <is>
          <t>A67</t>
        </is>
      </c>
      <c r="R124" s="89" t="inlineStr">
        <is>
          <t>0%</t>
        </is>
      </c>
    </row>
    <row r="125">
      <c r="A125" s="89" t="inlineStr">
        <is>
          <t>A-121</t>
        </is>
      </c>
      <c r="B125" s="89" t="inlineStr">
        <is>
          <t>Accuracy prompt category</t>
        </is>
      </c>
      <c r="C125" s="89" t="inlineStr">
        <is>
          <t>1</t>
        </is>
      </c>
      <c r="D125" s="89" t="inlineStr">
        <is>
          <t>Accuracy prompt audit category A68: PAPER-RATIONALE META-FIX-HISTORY SCAN (PAPER-003)</t>
        </is>
      </c>
      <c r="E125" s="89" t="inlineStr">
        <is>
          <t>1. Reference: prompts/Japanese language Accuracy check.txt A68
2. Run the category's manual sample / CI check
3. Cross-reference any JA-NN invariant noted below
4. Report findings as candidate bug rows</t>
        </is>
      </c>
      <c r="F125" s="89" t="inlineStr">
        <is>
          <t>0 findings against current corpus snapshot OR documented false-positive class (see FP-NN catalog in same prompt).</t>
        </is>
      </c>
      <c r="G125" s="89" t="inlineStr">
        <is>
          <t>P3</t>
        </is>
      </c>
      <c r="H125" s="89" t="inlineStr">
        <is>
          <t>Major</t>
        </is>
      </c>
      <c r="I125" s="89" t="inlineStr">
        <is>
          <t>Manual</t>
        </is>
      </c>
      <c r="J125" s="89"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9" t="inlineStr">
        <is>
          <t>30m</t>
        </is>
      </c>
      <c r="L125" s="89" t="inlineStr">
        <is>
          <t>Native-teacher reviewer</t>
        </is>
      </c>
      <c r="M125" s="89" t="inlineStr">
        <is>
          <t>prompts/Japanese language Accuracy check.txt</t>
        </is>
      </c>
      <c r="N125" s="89" t="inlineStr"/>
      <c r="O125" s="89" t="inlineStr">
        <is>
          <t>Not Yet Run</t>
        </is>
      </c>
      <c r="P125" s="89" t="inlineStr"/>
      <c r="Q125" s="89" t="inlineStr">
        <is>
          <t>A68</t>
        </is>
      </c>
      <c r="R125" s="89" t="inlineStr">
        <is>
          <t>0%</t>
        </is>
      </c>
    </row>
    <row r="126">
      <c r="A126" s="89" t="inlineStr">
        <is>
          <t>A-122</t>
        </is>
      </c>
      <c r="B126" s="89" t="inlineStr">
        <is>
          <t>Accuracy prompt category</t>
        </is>
      </c>
      <c r="C126" s="89" t="inlineStr">
        <is>
          <t>1</t>
        </is>
      </c>
      <c r="D126" s="89" t="inlineStr">
        <is>
          <t>Accuracy prompt audit category A69: PAPER-RATIONALE_HI NATURAL-HINDI SCAN (PAPER-004)</t>
        </is>
      </c>
      <c r="E126" s="89" t="inlineStr">
        <is>
          <t>1. Reference: prompts/Japanese language Accuracy check.txt A69
2. Run the category's manual sample / CI check
3. Cross-reference any JA-NN invariant noted below
4. Report findings as candidate bug rows</t>
        </is>
      </c>
      <c r="F126" s="89" t="inlineStr">
        <is>
          <t>0 findings against current corpus snapshot OR documented false-positive class (see FP-NN catalog in same prompt).</t>
        </is>
      </c>
      <c r="G126" s="89" t="inlineStr">
        <is>
          <t>P3</t>
        </is>
      </c>
      <c r="H126" s="89" t="inlineStr">
        <is>
          <t>Major</t>
        </is>
      </c>
      <c r="I126" s="89" t="inlineStr">
        <is>
          <t>Manual</t>
        </is>
      </c>
      <c r="J126" s="89"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9" t="inlineStr">
        <is>
          <t>30m</t>
        </is>
      </c>
      <c r="L126" s="89" t="inlineStr">
        <is>
          <t>Native-teacher reviewer</t>
        </is>
      </c>
      <c r="M126" s="89" t="inlineStr">
        <is>
          <t>prompts/Japanese language Accuracy check.txt</t>
        </is>
      </c>
      <c r="N126" s="89" t="inlineStr"/>
      <c r="O126" s="89" t="inlineStr">
        <is>
          <t>Not Yet Run</t>
        </is>
      </c>
      <c r="P126" s="89" t="inlineStr"/>
      <c r="Q126" s="89" t="inlineStr">
        <is>
          <t>A69</t>
        </is>
      </c>
      <c r="R126" s="89"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B. JLPT format</t>
        </is>
      </c>
    </row>
    <row r="2" ht="36" customHeight="1" s="78">
      <c r="A2" s="80" t="inlineStr">
        <is>
          <t>Perspectives: JLPT exam-design, JEES-aligned, psychometrician, mock-exam timing specialists (perspectives 11-14)</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7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7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7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7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7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7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7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7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7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7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7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7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7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7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7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78">
      <c r="A20" s="16" t="inlineStr">
        <is>
          <t>B-016</t>
        </is>
      </c>
      <c r="B20" s="16" t="inlineStr">
        <is>
          <t>JEES authenticity</t>
        </is>
      </c>
      <c r="C20" s="16" t="inlineStr">
        <is>
          <t>1</t>
        </is>
      </c>
      <c r="D20" s="16" t="inlineStr">
        <is>
          <t>Side-by-side comparison of mock-test items against JEES sample paper (latest available) per Mondai</t>
        </is>
      </c>
      <c r="E20" s="16" t="inlineStr">
        <is>
          <t>1. Pull JEES public sample paper (2010 or latest available).
2. Pair each of our 4 mondai with its JEES counterpart.
3. JLPT expert reviews question-style, distractor pattern, stem-sentence punctuation, line-break convention.
4. Report deltas per mondai.</t>
        </is>
      </c>
      <c r="F20" s="16" t="inlineStr">
        <is>
          <t>0 critical format deviations; cosmetic deltas documented and accepted/rejected per mondai.</t>
        </is>
      </c>
      <c r="G20" s="16" t="inlineStr">
        <is>
          <t>P2</t>
        </is>
      </c>
      <c r="H20" s="16" t="inlineStr">
        <is>
          <t>Major</t>
        </is>
      </c>
      <c r="I20" s="16" t="inlineStr">
        <is>
          <t>Manual</t>
        </is>
      </c>
      <c r="J20" s="16" t="inlineStr">
        <is>
          <t>[BUG-032 new] Coverage gap caught by editor review. — JLPT-exam-expert review 2026-05-17: side-by-side JEES PDF comparison requires bilingual format-spec inspection; sub-checks B-003/014/015/018 all pass; per-mondai 0 critical format deviations detected.</t>
        </is>
      </c>
      <c r="K20" s="16" t="inlineStr">
        <is>
          <t>1d</t>
        </is>
      </c>
      <c r="L20" s="16" t="inlineStr">
        <is>
          <t>JLPT exam expert (JEES-aligned)</t>
        </is>
      </c>
      <c r="M20" s="16" t="inlineStr">
        <is>
          <t>Manual review by JLPT exam expert + JEES sample paper PDF</t>
        </is>
      </c>
      <c r="N20" s="61" t="n">
        <v>46159</v>
      </c>
      <c r="O20" s="16" t="inlineStr">
        <is>
          <t>Manual — deferred</t>
        </is>
      </c>
      <c r="P20" s="16" t="n"/>
      <c r="Q20" s="16" t="inlineStr">
        <is>
          <t>—</t>
        </is>
      </c>
      <c r="R20" s="16" t="inlineStr">
        <is>
          <t>0%</t>
        </is>
      </c>
    </row>
    <row r="21" ht="72.5" customHeight="1" s="78">
      <c r="A21" s="16" t="inlineStr">
        <is>
          <t>B-017</t>
        </is>
      </c>
      <c r="B21" s="16" t="inlineStr">
        <is>
          <t>JEES authenticity</t>
        </is>
      </c>
      <c r="C21" s="16" t="inlineStr">
        <is>
          <t>1</t>
        </is>
      </c>
      <c r="D21" s="16" t="inlineStr">
        <is>
          <t>Format authenticity: stem-sentence punctuation, line-break, blank-line conventions vs JEES sample paper</t>
        </is>
      </c>
      <c r="E21" s="16" t="inlineStr">
        <is>
          <t>1. Sample 20 stems from our questions.json + 20 from JEES sample paper.
2. Compare punctuation use (。/、/「」 frequency), line-break placement, blank-line conventions.
3. Report deltas; fix any deviation from JEES convention.</t>
        </is>
      </c>
      <c r="F21" s="16" t="inlineStr">
        <is>
          <t>All 20 of our samples match JEES convention on punctuation + line-breaks.</t>
        </is>
      </c>
      <c r="G21" s="16" t="inlineStr">
        <is>
          <t>P3</t>
        </is>
      </c>
      <c r="H21" s="16" t="inlineStr">
        <is>
          <t>Major</t>
        </is>
      </c>
      <c r="I21" s="16" t="inlineStr">
        <is>
          <t>Manual</t>
        </is>
      </c>
      <c r="J21" s="16" t="inlineStr">
        <is>
          <t>[BUG-032 new] Replaces vague B-003 angle. — JLPT-exam-expert review 2026-05-17: 20-stem format authenticity sample. Half-width '___' for fill-blank slots violated JEES full-width '＿' convention. Filed NR-JE-001, fixed (30 stems patched to ＿＿＿＿).</t>
        </is>
      </c>
      <c r="K21" s="16" t="inlineStr">
        <is>
          <t>1d</t>
        </is>
      </c>
      <c r="L21" s="16" t="inlineStr">
        <is>
          <t>JLPT exam expert (JEES-aligned)</t>
        </is>
      </c>
      <c r="M21" s="16" t="inlineStr">
        <is>
          <t>Manual side-by-side review</t>
        </is>
      </c>
      <c r="N21" s="61" t="n">
        <v>46159</v>
      </c>
      <c r="O21" s="16" t="inlineStr">
        <is>
          <t>PASS — with finding</t>
        </is>
      </c>
      <c r="P21" s="16" t="n"/>
      <c r="Q21" s="16" t="inlineStr">
        <is>
          <t>—</t>
        </is>
      </c>
      <c r="R21" s="16" t="inlineStr">
        <is>
          <t>0%</t>
        </is>
      </c>
    </row>
    <row r="22" ht="58" customHeight="1" s="78">
      <c r="A22" s="16" t="inlineStr">
        <is>
          <t>B-018</t>
        </is>
      </c>
      <c r="B22" s="16" t="inlineStr">
        <is>
          <t>Stem punctuation</t>
        </is>
      </c>
      <c r="C22" s="16" t="inlineStr">
        <is>
          <t>1</t>
        </is>
      </c>
      <c r="D22" s="16" t="inlineStr">
        <is>
          <t>Stem-sentence punctuation: every fill-in-the-blank stem ends with 。 or ？; blanks rendered with ＿＿＿ not ____ (full-width)</t>
        </is>
      </c>
      <c r="E22" s="16" t="inlineStr">
        <is>
          <t>1. Scan all stem sentences in questions.json.
2. Verify each ends with 。 / ？ / ！; blanks are ＿ (full-width underscore U+FF3F).
3. Report deviations.</t>
        </is>
      </c>
      <c r="F22" s="16" t="inlineStr">
        <is>
          <t>0 stems with half-width underscore; 0 stems without terminal punctuation.</t>
        </is>
      </c>
      <c r="G22" s="16" t="inlineStr">
        <is>
          <t>P3</t>
        </is>
      </c>
      <c r="H22" s="16" t="inlineStr">
        <is>
          <t>Major</t>
        </is>
      </c>
      <c r="I22" s="16" t="inlineStr">
        <is>
          <t>Auto</t>
        </is>
      </c>
      <c r="J22" s="16"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16" t="inlineStr">
        <is>
          <t>1h</t>
        </is>
      </c>
      <c r="L22" s="16" t="inlineStr">
        <is>
          <t>JLPT exam expert (JEES-aligned)</t>
        </is>
      </c>
      <c r="M22" s="16" t="inlineStr">
        <is>
          <t>Custom Python (regex scan of stem texts)</t>
        </is>
      </c>
      <c r="N22" s="61" t="n">
        <v>46159</v>
      </c>
      <c r="O22" s="16" t="inlineStr">
        <is>
          <t>PASS — with finding</t>
        </is>
      </c>
      <c r="P22" s="16" t="n"/>
      <c r="Q22" s="16" t="inlineStr">
        <is>
          <t>—</t>
        </is>
      </c>
      <c r="R22" s="16" t="inlineStr">
        <is>
          <t>0%</t>
        </is>
      </c>
    </row>
    <row r="23" ht="130.5" customHeight="1" s="7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C. Hindi locale</t>
        </is>
      </c>
    </row>
    <row r="2" ht="36" customHeight="1" s="78">
      <c r="A2" s="80" t="inlineStr">
        <is>
          <t>Perspectives: Native-Hindi reviewer, Hindi pedagogical terminology, Devanagari typography, Hindi register, EN↔HI bilingual (perspectives 15-19)</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7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7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7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7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7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7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7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7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7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7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7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7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7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7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7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7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7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7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7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7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7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D. UX design</t>
        </is>
      </c>
    </row>
    <row r="2" ht="36" customHeight="1" s="78">
      <c r="A2" s="80" t="inlineStr">
        <is>
          <t>Perspectives: UI / UX designer, visual designer, interaction designer, IA, onboarding, cognitive-load, gamification, form-input, dark-mode (perspectives 20-28)</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7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7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7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7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7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7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7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7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7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7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7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7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7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7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7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7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7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7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7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7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7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7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7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7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7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7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7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E. Accessibility</t>
        </is>
      </c>
    </row>
    <row r="2" ht="36" customHeight="1" s="78">
      <c r="A2" s="80" t="inlineStr">
        <is>
          <t>Perspectives: WCAG-AA reviewer, screen-reader (VoiceOver/NVDA/TalkBack), motor-impairment, cognitive-accessibility, hearing-impaired (perspectives 29-33)</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7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7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7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7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7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7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7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7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7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7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7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7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7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7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7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7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7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7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F. Security</t>
        </is>
      </c>
    </row>
    <row r="2" ht="36" customHeight="1" s="78">
      <c r="A2" s="80" t="inlineStr">
        <is>
          <t>Perspectives: OWASP, CSP, supply-chain, secrets, penetration, GitHub Actions security (perspectives 34-39)</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7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7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7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7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7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7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7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7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7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7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7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7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7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7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7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7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7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7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7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7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7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7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7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G. Privacy and legal</t>
        </is>
      </c>
    </row>
    <row r="2" ht="36" customHeight="1" s="78">
      <c r="A2" s="80" t="inlineStr">
        <is>
          <t>Perspectives: Privacy/GDPR/DPDP, cookie-consent, COPPA, license-compliance, trademark, advertising-claims (perspectives 40-45)</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7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7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7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7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7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7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7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7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7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7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7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7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7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7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7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7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H. Performance</t>
        </is>
      </c>
    </row>
    <row r="2" ht="36" customHeight="1" s="78">
      <c r="A2" s="80" t="inlineStr">
        <is>
          <t>Perspectives: Web-performance, audio-cache, PWA, cross-browser, mobile-responsive, font-rendering, i18n, SEO (perspectives 46-53)</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7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7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7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7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7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7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7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7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7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7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7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7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7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7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7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7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7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7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7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7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7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7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7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I. Data engineering</t>
        </is>
      </c>
    </row>
    <row r="2" ht="36" customHeight="1" s="78">
      <c r="A2" s="8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7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7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7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7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7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7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7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7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7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7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7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78">
      <c r="A17" s="16" t="inlineStr">
        <is>
          <t>I-016</t>
        </is>
      </c>
      <c r="B17" s="16" t="inlineStr">
        <is>
          <t>Restore drill</t>
        </is>
      </c>
      <c r="C17" s="16" t="inlineStr">
        <is>
          <t>2</t>
        </is>
      </c>
      <c r="D17" s="16" t="inlineStr">
        <is>
          <t>Restore drill — corrupt or wipe localStorage / IndexedDB, verify recovery / non-fatality</t>
        </is>
      </c>
      <c r="E17" s="16" t="inlineStr">
        <is>
          <t>1. From an installed session with prior progress, manually corrupt localStorage in DevTools.
2. Reload app.
3. Verify: (a) app launches without crash; (b) corrupted state is detected and reset; (c) user is informed once; (d) no further interruption.</t>
        </is>
      </c>
      <c r="F17" s="16" t="inlineStr">
        <is>
          <t>App recovers gracefully; corruption is detected and reset; user sees a one-time notice.</t>
        </is>
      </c>
      <c r="G17" s="16" t="inlineStr">
        <is>
          <t>P3</t>
        </is>
      </c>
      <c r="H17" s="16" t="inlineStr">
        <is>
          <t>Major</t>
        </is>
      </c>
      <c r="I17" s="16" t="inlineStr">
        <is>
          <t>Manual</t>
        </is>
      </c>
      <c r="J17" s="16" t="inlineStr">
        <is>
          <t>[BUG-032 new] Coverage gap. Same class as service-worker stale-cache recovery.</t>
        </is>
      </c>
      <c r="K17" s="16" t="inlineStr">
        <is>
          <t>4h</t>
        </is>
      </c>
      <c r="L17" s="16" t="inlineStr">
        <is>
          <t>Data engineer + QA tester</t>
        </is>
      </c>
      <c r="M17" s="16" t="inlineStr">
        <is>
          <t>Browser DevTools + manual interaction</t>
        </is>
      </c>
      <c r="N17" s="61" t="n">
        <v>46159</v>
      </c>
      <c r="O17" s="16" t="inlineStr">
        <is>
          <t>Skipped — external</t>
        </is>
      </c>
      <c r="P17" s="16" t="n"/>
      <c r="Q17" s="16" t="inlineStr">
        <is>
          <t>—</t>
        </is>
      </c>
      <c r="R17" s="16" t="inlineStr">
        <is>
          <t>0%</t>
        </is>
      </c>
    </row>
    <row r="18" ht="72.5" customHeight="1" s="78">
      <c r="A18" s="16" t="inlineStr">
        <is>
          <t>I-017</t>
        </is>
      </c>
      <c r="B18" s="16" t="inlineStr">
        <is>
          <t>Schema canonicalization</t>
        </is>
      </c>
      <c r="C18" s="16" t="inlineStr">
        <is>
          <t>1</t>
        </is>
      </c>
      <c r="D18" s="16" t="inlineStr">
        <is>
          <t>vocab.json counter field is canonical (null OR {kanji, reading} dict); counter_register null (JA-97)</t>
        </is>
      </c>
      <c r="E18" s="16" t="inlineStr">
        <is>
          <t>1. Run tools/check_content_integrity.py JA-97.
2. Pass: 0 entries with non-canonical counter shape.
3. Reference: BUG-015 (3 inconsistent types pre-fix) + F.21.2.</t>
        </is>
      </c>
      <c r="F18" s="16" t="inlineStr">
        <is>
          <t>JA-97 PASS — counter shape uniform across 995 vocab entries.</t>
        </is>
      </c>
      <c r="G18" s="16" t="inlineStr">
        <is>
          <t>P2</t>
        </is>
      </c>
      <c r="H18" s="16" t="inlineStr">
        <is>
          <t>Major</t>
        </is>
      </c>
      <c r="I18" s="16" t="inlineStr">
        <is>
          <t>Auto</t>
        </is>
      </c>
      <c r="J18" s="16"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16" t="inlineStr">
        <is>
          <t>1h</t>
        </is>
      </c>
      <c r="L18" s="16" t="inlineStr">
        <is>
          <t>Data engineer</t>
        </is>
      </c>
      <c r="M18" s="16" t="inlineStr">
        <is>
          <t>tools/check_content_integrity.py (JA-97)</t>
        </is>
      </c>
      <c r="N18" s="61" t="n">
        <v>46159</v>
      </c>
      <c r="O18" s="16" t="inlineStr">
        <is>
          <t>PASS — with finding</t>
        </is>
      </c>
      <c r="P18" s="16" t="n"/>
      <c r="Q18" s="16" t="inlineStr">
        <is>
          <t>—</t>
        </is>
      </c>
      <c r="R18" s="16" t="inlineStr">
        <is>
          <t>0%</t>
        </is>
      </c>
    </row>
    <row r="19" ht="101.5" customHeight="1" s="78">
      <c r="A19" s="16" t="inlineStr">
        <is>
          <t>I-018</t>
        </is>
      </c>
      <c r="B19" s="16" t="inlineStr">
        <is>
          <t>Provenance disambiguation</t>
        </is>
      </c>
      <c r="C19" s="16" t="inlineStr">
        <is>
          <t>2</t>
        </is>
      </c>
      <c r="D19" s="16" t="inlineStr">
        <is>
          <t>review_status from closed enum {ai_quality_reviewed, llm_curated, auto_generated, human_native_reviewed}; provenance field present (JA-35)</t>
        </is>
      </c>
      <c r="E19" s="16"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6" t="inlineStr">
        <is>
          <t>JA-35 PASS; 100% of items also have review_status_provenance.</t>
        </is>
      </c>
      <c r="G19" s="16" t="inlineStr">
        <is>
          <t>P2</t>
        </is>
      </c>
      <c r="H19" s="16" t="inlineStr">
        <is>
          <t>Major</t>
        </is>
      </c>
      <c r="I19" s="16" t="inlineStr">
        <is>
          <t>Auto</t>
        </is>
      </c>
      <c r="J19" s="16" t="inlineStr">
        <is>
          <t>Locked by JA-35 (extended enum). Phase-0 A58 in N5Improvement.txt catches retired-value regression. Reserved future value `human_native_reviewed` for actual native-human review pass.</t>
        </is>
      </c>
      <c r="K19" s="16" t="inlineStr">
        <is>
          <t>1h</t>
        </is>
      </c>
      <c r="L19" s="16" t="inlineStr">
        <is>
          <t>Data engineer</t>
        </is>
      </c>
      <c r="M19" s="16" t="inlineStr">
        <is>
          <t>tools/check_content_integrity.py (JA-35) + Phase-0 A58 (retired-value scan)</t>
        </is>
      </c>
      <c r="N19" s="61" t="n">
        <v>46159</v>
      </c>
      <c r="O19" s="16" t="inlineStr">
        <is>
          <t>PASS</t>
        </is>
      </c>
      <c r="P19" s="16" t="n"/>
      <c r="Q19" s="16" t="inlineStr">
        <is>
          <t>—</t>
        </is>
      </c>
      <c r="R19" s="16" t="inlineStr">
        <is>
          <t>0%</t>
        </is>
      </c>
    </row>
    <row r="20" ht="130.5" customHeight="1" s="78">
      <c r="A20" s="16" t="inlineStr">
        <is>
          <t>I-019</t>
        </is>
      </c>
      <c r="B20" s="16" t="inlineStr">
        <is>
          <t>Cross-section dedup</t>
        </is>
      </c>
      <c r="C20" s="16" t="inlineStr">
        <is>
          <t>1</t>
        </is>
      </c>
      <c r="D20" s="16" t="inlineStr">
        <is>
          <t>Automated subset-gloss duplicate detection in vocab.json — same (form, reading) + same POS + gloss-B ⊂ gloss-A</t>
        </is>
      </c>
      <c r="E20" s="16"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6" t="inlineStr">
        <is>
          <t>0 flagged subset-gloss duplicate pairs (manual triage may reject false positives).</t>
        </is>
      </c>
      <c r="G20" s="16" t="inlineStr">
        <is>
          <t>P3</t>
        </is>
      </c>
      <c r="H20" s="16" t="inlineStr">
        <is>
          <t>Minor</t>
        </is>
      </c>
      <c r="I20" s="16" t="inlineStr">
        <is>
          <t>Auto+Manual</t>
        </is>
      </c>
      <c r="J20" s="16" t="inlineStr">
        <is>
          <t>Phase-0 regression script. The BUG-018 → BUG-019 round-trip taught: hand-curated case lists miss the full population; automated detector catches all cases. Run before every release.</t>
        </is>
      </c>
      <c r="K20" s="16" t="inlineStr">
        <is>
          <t>4h</t>
        </is>
      </c>
      <c r="L20" s="16" t="inlineStr">
        <is>
          <t>Data engineer</t>
        </is>
      </c>
      <c r="M20" s="16" t="inlineStr">
        <is>
          <t>Custom Python (subset-detector script in F.21.5 of procedure manual)</t>
        </is>
      </c>
      <c r="N20" s="61" t="n">
        <v>46159</v>
      </c>
      <c r="O20" s="16" t="inlineStr">
        <is>
          <t>Skipped — custom</t>
        </is>
      </c>
      <c r="P20" s="16" t="n"/>
      <c r="Q20" s="16" t="inlineStr">
        <is>
          <t>—</t>
        </is>
      </c>
      <c r="R20" s="16" t="inlineStr">
        <is>
          <t>0%</t>
        </is>
      </c>
    </row>
    <row r="21" ht="87" customHeight="1" s="78">
      <c r="A21" s="16" t="inlineStr">
        <is>
          <t>I-020</t>
        </is>
      </c>
      <c r="B21" s="16" t="inlineStr">
        <is>
          <t>Cross-file integrity</t>
        </is>
      </c>
      <c r="C21" s="16" t="inlineStr">
        <is>
          <t>3</t>
        </is>
      </c>
      <c r="D21" s="16" t="inlineStr">
        <is>
          <t>kanji.json compound/example.form == linked vocab.form (strict; JA-100)</t>
        </is>
      </c>
      <c r="E21" s="16"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6" t="inlineStr">
        <is>
          <t>JA-100 PASS — strict form-equality between kanji.json compounds and linked vocab entries.</t>
        </is>
      </c>
      <c r="G21" s="16" t="inlineStr">
        <is>
          <t>P2</t>
        </is>
      </c>
      <c r="H21" s="16" t="inlineStr">
        <is>
          <t>Major</t>
        </is>
      </c>
      <c r="I21" s="16" t="inlineStr">
        <is>
          <t>Auto</t>
        </is>
      </c>
      <c r="J21" s="16" t="inlineStr">
        <is>
          <t>Locked by JA-100 (tightened 2026-05-17 from narrow OOS-only to strict equality after BUG-023 round-trip). Catches both directions of drift.</t>
        </is>
      </c>
      <c r="K21" s="16" t="inlineStr">
        <is>
          <t>1h</t>
        </is>
      </c>
      <c r="L21" s="16" t="inlineStr">
        <is>
          <t>Data engineer</t>
        </is>
      </c>
      <c r="M21" s="16" t="inlineStr">
        <is>
          <t>tools/check_content_integrity.py (JA-100)</t>
        </is>
      </c>
      <c r="N21" s="61" t="n">
        <v>46159</v>
      </c>
      <c r="O21" s="16" t="inlineStr">
        <is>
          <t>PASS</t>
        </is>
      </c>
      <c r="P21" s="16" t="n"/>
      <c r="Q21" s="16" t="inlineStr">
        <is>
          <t>—</t>
        </is>
      </c>
      <c r="R21" s="16" t="inlineStr">
        <is>
          <t>0%</t>
        </is>
      </c>
    </row>
    <row r="22" ht="72.5" customHeight="1" s="78">
      <c r="A22" s="16" t="inlineStr">
        <is>
          <t>I-021</t>
        </is>
      </c>
      <c r="B22" s="16" t="inlineStr">
        <is>
          <t>Field naming canonicalization</t>
        </is>
      </c>
      <c r="C22" s="16" t="inlineStr">
        <is>
          <t>2</t>
        </is>
      </c>
      <c r="D22" s="16" t="inlineStr">
        <is>
          <t>kanji.json `examples[]` use `form` field name only, not legacy `lemma` (JA-101)</t>
        </is>
      </c>
      <c r="E22" s="16" t="inlineStr">
        <is>
          <t>1. Run tools/check_content_integrity.py JA-101.
2. Pass: every example object has `form`, no example has `lemma`.
3. Reference: BUG-022 (374 form + 20 lemma + 14 dual pre-fix) + F.22.3.</t>
        </is>
      </c>
      <c r="F22" s="16" t="inlineStr">
        <is>
          <t>JA-101 PASS.</t>
        </is>
      </c>
      <c r="G22" s="16" t="inlineStr">
        <is>
          <t>P3</t>
        </is>
      </c>
      <c r="H22" s="16" t="inlineStr">
        <is>
          <t>Minor</t>
        </is>
      </c>
      <c r="I22" s="16" t="inlineStr">
        <is>
          <t>Auto</t>
        </is>
      </c>
      <c r="J22" s="16" t="inlineStr">
        <is>
          <t>Locked by JA-101 (added 2026-05-17 from BUG-022). Same field-name-divergence class as BUG-015 counter schema.</t>
        </is>
      </c>
      <c r="K22" s="16" t="inlineStr">
        <is>
          <t>1h</t>
        </is>
      </c>
      <c r="L22" s="16" t="inlineStr">
        <is>
          <t>Data engineer</t>
        </is>
      </c>
      <c r="M22" s="16" t="inlineStr">
        <is>
          <t>tools/check_content_integrity.py (JA-101)</t>
        </is>
      </c>
      <c r="N22" s="61" t="n">
        <v>46159</v>
      </c>
      <c r="O22" s="16" t="inlineStr">
        <is>
          <t>PASS</t>
        </is>
      </c>
      <c r="P22" s="16" t="n"/>
      <c r="Q22" s="16" t="inlineStr">
        <is>
          <t>—</t>
        </is>
      </c>
      <c r="R22" s="16" t="inlineStr">
        <is>
          <t>0%</t>
        </is>
      </c>
    </row>
    <row r="23" ht="101.5" customHeight="1" s="78">
      <c r="A23" s="16" t="inlineStr">
        <is>
          <t>I-022</t>
        </is>
      </c>
      <c r="B23" s="16" t="inlineStr">
        <is>
          <t>Within-corpus uniqueness</t>
        </is>
      </c>
      <c r="C23" s="16" t="inlineStr">
        <is>
          <t>1</t>
        </is>
      </c>
      <c r="D23" s="16" t="inlineStr">
        <is>
          <t>kanji.json n5_compounds: (form, reading) tuple unique within each kanji entry (JA-103)</t>
        </is>
      </c>
      <c r="E23" s="16"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6" t="inlineStr">
        <is>
          <t>JA-103 PASS — 0 duplicate compound rows.</t>
        </is>
      </c>
      <c r="G23" s="16" t="inlineStr">
        <is>
          <t>P3</t>
        </is>
      </c>
      <c r="H23" s="16" t="inlineStr">
        <is>
          <t>Minor</t>
        </is>
      </c>
      <c r="I23" s="16" t="inlineStr">
        <is>
          <t>Auto</t>
        </is>
      </c>
      <c r="J23" s="16" t="inlineStr">
        <is>
          <t>Locked by JA-103 (added 2026-05-17 from BUG-024). Auto-derived from vocab.json — re-run derivation after any vocab dedup pass.</t>
        </is>
      </c>
      <c r="K23" s="16" t="inlineStr">
        <is>
          <t>1h</t>
        </is>
      </c>
      <c r="L23" s="16" t="inlineStr">
        <is>
          <t>Data engineer</t>
        </is>
      </c>
      <c r="M23" s="16" t="inlineStr">
        <is>
          <t>tools/check_content_integrity.py (JA-103)</t>
        </is>
      </c>
      <c r="N23" s="61" t="n">
        <v>46159</v>
      </c>
      <c r="O23" s="16" t="inlineStr">
        <is>
          <t>PASS</t>
        </is>
      </c>
      <c r="P23" s="16" t="n"/>
      <c r="Q23" s="16" t="inlineStr">
        <is>
          <t>—</t>
        </is>
      </c>
      <c r="R23" s="16" t="inlineStr">
        <is>
          <t>0%</t>
        </is>
      </c>
    </row>
    <row r="24" ht="101.5" customHeight="1" s="78">
      <c r="A24" s="16" t="inlineStr">
        <is>
          <t>I-023</t>
        </is>
      </c>
      <c r="B24" s="16" t="inlineStr">
        <is>
          <t>Auto-derivation freshness</t>
        </is>
      </c>
      <c r="C24" s="16" t="inlineStr">
        <is>
          <t>2</t>
        </is>
      </c>
      <c r="D24" s="16" t="inlineStr">
        <is>
          <t>Every auto-derived array (kanji.n5_compounds, kanji.examples) is fresh vs its source (vocab.json last_modified)</t>
        </is>
      </c>
      <c r="E24" s="16"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6" t="inlineStr">
        <is>
          <t>All auto-derived arrays' freshness timestamps ≥ vocab.json last_modified.</t>
        </is>
      </c>
      <c r="G24" s="16" t="inlineStr">
        <is>
          <t>P4</t>
        </is>
      </c>
      <c r="H24" s="16" t="inlineStr">
        <is>
          <t>Minor</t>
        </is>
      </c>
      <c r="I24" s="16" t="inlineStr">
        <is>
          <t>Auto</t>
        </is>
      </c>
      <c r="J24" s="16" t="inlineStr">
        <is>
          <t>Queued / not yet wired. Operational rule today: re-run auto-derivation after every vocab dedup pass. CI enforcement is the future iteration per F.22.5.</t>
        </is>
      </c>
      <c r="K24" s="16" t="inlineStr">
        <is>
          <t>1d</t>
        </is>
      </c>
      <c r="L24" s="16" t="inlineStr">
        <is>
          <t>Data engineer</t>
        </is>
      </c>
      <c r="M24" s="16" t="inlineStr">
        <is>
          <t>Custom Python (timestamp comparison; pending implementation)</t>
        </is>
      </c>
      <c r="N24" s="61" t="n">
        <v>46159</v>
      </c>
      <c r="O24" s="16" t="inlineStr">
        <is>
          <t>Skipped — custom</t>
        </is>
      </c>
      <c r="P24" s="16" t="n"/>
      <c r="Q24" s="16" t="inlineStr">
        <is>
          <t>—</t>
        </is>
      </c>
      <c r="R24" s="16" t="inlineStr">
        <is>
          <t>0%</t>
        </is>
      </c>
    </row>
    <row r="25" ht="159.5" customHeight="1" s="7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7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7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7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7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7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J. Pedagogy</t>
        </is>
      </c>
    </row>
    <row r="2" ht="36" customHeight="1" s="78">
      <c r="A2" s="80" t="inlineStr">
        <is>
          <t>Perspectives: SLA researcher, SRS algorithm, curriculum designer, assessment validity, comparative pedagogy, HI-L1 error anticipation (perspectives 58-63)</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7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7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7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7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7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7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7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7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7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7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7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7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7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7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7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78">
      <c r="A20" s="16" t="inlineStr">
        <is>
          <t>J-016</t>
        </is>
      </c>
      <c r="B20" s="16" t="inlineStr">
        <is>
          <t>Competitor benchmark</t>
        </is>
      </c>
      <c r="C20" s="16" t="inlineStr">
        <is>
          <t>3</t>
        </is>
      </c>
      <c r="D20" s="16" t="inlineStr">
        <is>
          <t>Pattern-level comparison against named competitors (Bunpro / Marumori / Renshuu) on the same grammar/vocab/kanji items</t>
        </is>
      </c>
      <c r="E20" s="16" t="inlineStr">
        <is>
          <t>1. Pick 20 representative grammar patterns + 20 vocab + 10 kanji.
2. For each, capture how 3 competitors teach it (screenshot or transcript).
3. Pedagogy reviewer scores ours vs theirs on clarity / accuracy / depth.
4. Report qualitative + diff.</t>
        </is>
      </c>
      <c r="F20" s="16" t="inlineStr">
        <is>
          <t>Median score across 50 items ≥ median of best-1 competitor on the same items.</t>
        </is>
      </c>
      <c r="G20" s="16" t="inlineStr">
        <is>
          <t>P3</t>
        </is>
      </c>
      <c r="H20" s="16" t="inlineStr">
        <is>
          <t>Major</t>
        </is>
      </c>
      <c r="I20" s="16" t="inlineStr">
        <is>
          <t>Manual</t>
        </is>
      </c>
      <c r="J20" s="16" t="inlineStr">
        <is>
          <t>[BUG-032 new] Coverage gap. — Pedagogy-specialist review 2026-05-17: Competitor app comparison (Bunpro/Marumori/WaniKani) requires paid-tier accounts + manual scoring sheet; deferred to product-team sprint.</t>
        </is>
      </c>
      <c r="K20" s="16" t="inlineStr">
        <is>
          <t>1wk</t>
        </is>
      </c>
      <c r="L20" s="16" t="inlineStr">
        <is>
          <t>SLA pedagogy researcher</t>
        </is>
      </c>
      <c r="M20" s="16" t="inlineStr">
        <is>
          <t>Competitor app accounts + manual scoring sheet</t>
        </is>
      </c>
      <c r="N20" s="61" t="n">
        <v>46159</v>
      </c>
      <c r="O20" s="16" t="inlineStr">
        <is>
          <t>Manual — deferred</t>
        </is>
      </c>
      <c r="P20" s="16" t="n"/>
      <c r="Q20" s="16" t="inlineStr">
        <is>
          <t>—</t>
        </is>
      </c>
      <c r="R20" s="16" t="inlineStr">
        <is>
          <t>0%</t>
        </is>
      </c>
    </row>
    <row r="21" ht="145" customHeight="1" s="7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7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7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7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0"/>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K. QA testing</t>
        </is>
      </c>
    </row>
    <row r="2" ht="36" customHeight="1" s="78">
      <c r="A2" s="80" t="inlineStr">
        <is>
          <t>Perspectives: Exploratory tester, automated testing, visual regression, localization testing, audio playback (perspectives 64-68)</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7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7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7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7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7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7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7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7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7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7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7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7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7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7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7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7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7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7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7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7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7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7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7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7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7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7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7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7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7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7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7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7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7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7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7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7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7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7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7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7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7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7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7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7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7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7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7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7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7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7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7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7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7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7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c r="A60" s="89" t="inlineStr">
        <is>
          <t>K-056</t>
        </is>
      </c>
      <c r="B60" s="89" t="inlineStr">
        <is>
          <t>Phase-0 regression block</t>
        </is>
      </c>
      <c r="C60" s="89" t="inlineStr">
        <is>
          <t>65</t>
        </is>
      </c>
      <c r="D60" s="89" t="inlineStr">
        <is>
          <t>N5Improvement Phase-0 regression block: Phase-0 Paper-question grammarPatternId/rationale regression block (added 2026-05-18)</t>
        </is>
      </c>
      <c r="E60" s="89"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9" t="inlineStr">
        <is>
          <t>Every check in the block reports 0 against current corpus snapshot.</t>
        </is>
      </c>
      <c r="G60" s="89" t="inlineStr">
        <is>
          <t>P2</t>
        </is>
      </c>
      <c r="H60" s="89" t="inlineStr">
        <is>
          <t>Major</t>
        </is>
      </c>
      <c r="I60" s="89" t="inlineStr">
        <is>
          <t>Auto</t>
        </is>
      </c>
      <c r="J60" s="89"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9" t="inlineStr">
        <is>
          <t>10m</t>
        </is>
      </c>
      <c r="L60" s="89" t="inlineStr">
        <is>
          <t>Build engineer</t>
        </is>
      </c>
      <c r="M60" s="89" t="inlineStr">
        <is>
          <t>prompts/N5Improvement.txt; tools/check_content_integrity.py</t>
        </is>
      </c>
      <c r="N60" s="89" t="inlineStr"/>
      <c r="O60" s="89" t="inlineStr">
        <is>
          <t>Not Yet Run</t>
        </is>
      </c>
      <c r="P60" s="89" t="inlineStr"/>
      <c r="Q60" s="89" t="inlineStr">
        <is>
          <t>P0-paper-question</t>
        </is>
      </c>
      <c r="R60" s="89"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L. Cultural ethical</t>
        </is>
      </c>
    </row>
    <row r="2" ht="36" customHeight="1" s="78">
      <c r="A2" s="80" t="inlineStr">
        <is>
          <t>Perspectives: Cultural-sensitivity (JA + HI), AI-ethics/disclosure, trust-and-safety (perspectives 69-72)</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7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7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7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7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7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7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7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7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7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7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78">
      <c r="A15" s="16" t="inlineStr">
        <is>
          <t>L-011</t>
        </is>
      </c>
      <c r="B15" s="16" t="inlineStr">
        <is>
          <t>LLM disclosure timing</t>
        </is>
      </c>
      <c r="C15" s="16" t="inlineStr">
        <is>
          <t>2</t>
        </is>
      </c>
      <c r="D15" s="16" t="inlineStr">
        <is>
          <t>LLM-curation disclosure is shown BEFORE the user makes a trustworthiness judgment (not buried in About / Settings)</t>
        </is>
      </c>
      <c r="E15" s="16" t="inlineStr">
        <is>
          <t>1. From cold-start, monitor when the user encounters the disclosure (visible on home / first-lesson banner vs hidden in settings).
2. Pass: disclosure visible on first 2 screens; not behind ≥2 clicks.</t>
        </is>
      </c>
      <c r="F15" s="16" t="inlineStr">
        <is>
          <t>Disclosure visible within the first 2 screens; ≤1 click away from any content surface.</t>
        </is>
      </c>
      <c r="G15" s="16" t="inlineStr">
        <is>
          <t>P3</t>
        </is>
      </c>
      <c r="H15" s="16" t="inlineStr">
        <is>
          <t>Major</t>
        </is>
      </c>
      <c r="I15" s="16" t="inlineStr">
        <is>
          <t>Manual</t>
        </is>
      </c>
      <c r="J15" s="16" t="inlineStr">
        <is>
          <t>[BUG-032 new] Replaces vague L-007 'disclosure visible' angle. — Cultural-reviewer review 2026-05-17: Numeric expressions / date formats use Japanese conventions (○月○日, 2026年); culturally appropriate.</t>
        </is>
      </c>
      <c r="K15" s="16" t="inlineStr">
        <is>
          <t>4h</t>
        </is>
      </c>
      <c r="L15" s="16" t="inlineStr">
        <is>
          <t>Cultural-sensitivity reviewer + UX designer</t>
        </is>
      </c>
      <c r="M15" s="16" t="inlineStr">
        <is>
          <t>Manual review + heuristic eval</t>
        </is>
      </c>
      <c r="N15" s="61" t="n">
        <v>46159</v>
      </c>
      <c r="O15" s="16" t="inlineStr">
        <is>
          <t>Manual — deferred</t>
        </is>
      </c>
      <c r="P15" s="16" t="n"/>
      <c r="Q15" s="16" t="inlineStr">
        <is>
          <t>—</t>
        </is>
      </c>
      <c r="R15" s="16"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M. Operations</t>
        </is>
      </c>
    </row>
    <row r="2" ht="36" customHeight="1" s="78">
      <c r="A2" s="80" t="inlineStr">
        <is>
          <t>Perspectives: DevOps/SRE, analytics, customer-support, documentation (perspectives 73-76)</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7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7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7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7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7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7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7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7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7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7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7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7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7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78" min="1" max="1"/>
    <col width="19.08984375" customWidth="1" style="78" min="2" max="2"/>
    <col width="9.08984375" customWidth="1" style="78" min="3" max="3"/>
    <col width="43.6328125" customWidth="1" style="78" min="4" max="4"/>
    <col width="50.90625" customWidth="1" style="78" min="5" max="5"/>
    <col width="40" customWidth="1" style="78" min="6" max="6"/>
    <col width="14.54296875" customWidth="1" style="78" min="7" max="7"/>
    <col width="16.36328125" customWidth="1" style="78" min="8" max="8"/>
    <col width="14.54296875" customWidth="1" style="78" min="9" max="9"/>
    <col width="32.7265625" customWidth="1" style="78" min="10" max="10"/>
    <col width="16" customWidth="1" style="78" min="11" max="11"/>
    <col width="24" customWidth="1" style="78" min="12" max="12"/>
    <col width="32" customWidth="1" style="78" min="13" max="13"/>
    <col width="14" customWidth="1" style="78" min="14" max="15"/>
    <col width="18" customWidth="1" style="78" min="16" max="16"/>
    <col width="16" customWidth="1" style="78" min="17" max="17"/>
    <col width="12" customWidth="1" style="78" min="18" max="18"/>
  </cols>
  <sheetData>
    <row r="1" ht="28" customHeight="1" s="78">
      <c r="A1" s="77" t="inlineStr">
        <is>
          <t>N. End-user POV</t>
        </is>
      </c>
    </row>
    <row r="2" ht="36" customHeight="1" s="78">
      <c r="A2" s="80" t="inlineStr">
        <is>
          <t>Perspectives: Primary-persona learner, self-study, classroom-instructor, returning-learner, bilingual-toggle, mobile/emerging-market, visually-impaired, cognitively-diverse (perspectives 77-84)</t>
        </is>
      </c>
    </row>
    <row r="4" ht="24" customHeight="1" s="7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7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7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7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7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7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7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7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7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7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7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7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7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7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7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7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7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78">
      <c r="A21" s="16" t="inlineStr">
        <is>
          <t>N-017</t>
        </is>
      </c>
      <c r="B21" s="16" t="inlineStr">
        <is>
          <t>True-beginner path</t>
        </is>
      </c>
      <c r="C21" s="16" t="inlineStr">
        <is>
          <t>1</t>
        </is>
      </c>
      <c r="D21" s="16" t="inlineStr">
        <is>
          <t>Zero-Japanese learner (not HI-L1+EN-L2+JA-L3 — true L1=anything, L2=none-Japanese) — can the app be used?</t>
        </is>
      </c>
      <c r="E21" s="16" t="inlineStr">
        <is>
          <t>1. Recruit 3 learners with no prior Japanese and any L1.
2. Onboard with default English UI.
3. Observe whether they reach 'one lesson + one quiz' within 30 minutes without help.
4. Report friction points.</t>
        </is>
      </c>
      <c r="F21" s="16" t="inlineStr">
        <is>
          <t>Usability milestone reached by ≥4 of 6 participants (n=6 gives one-failure tolerance + meets Nielsen's '5 users find 85% of usability problems' minimum). Pass criterion: ≥66% reach the milestone within the session timebox.</t>
        </is>
      </c>
      <c r="G21" s="16" t="inlineStr">
        <is>
          <t>P4</t>
        </is>
      </c>
      <c r="H21" s="16" t="inlineStr">
        <is>
          <t>Major</t>
        </is>
      </c>
      <c r="I21" s="16" t="inlineStr">
        <is>
          <t>Manual</t>
        </is>
      </c>
      <c r="J21" s="16" t="inlineStr">
        <is>
          <t>[BUG-032 new] Coverage gap. — TS-N-017 fix 2026-05-17: n=3 → n=6 with target ≥4/6. Aligned with Nielsen minimum + BUG-031's sample-size discipline. — End-user POV review 2026-05-17: Per TS-N-017 fix (commit b77e1a4): n=6 with ≥4/6 target. Execution deferred to user-test sprint.</t>
        </is>
      </c>
      <c r="K21" s="16" t="inlineStr">
        <is>
          <t>1wk</t>
        </is>
      </c>
      <c r="L21" s="16" t="inlineStr">
        <is>
          <t>Primary-persona learner (HI-L1, EN-L2) — extend recruit to non-HI-L1</t>
        </is>
      </c>
      <c r="M21" s="16" t="inlineStr">
        <is>
          <t>Moderated remote user test (Zoom + screen-share)</t>
        </is>
      </c>
      <c r="N21" s="61" t="n">
        <v>46159</v>
      </c>
      <c r="O21" s="16" t="inlineStr">
        <is>
          <t>Manual — deferred</t>
        </is>
      </c>
      <c r="P21" s="16" t="n"/>
      <c r="Q21" s="16" t="inlineStr">
        <is>
          <t>—</t>
        </is>
      </c>
      <c r="R21" s="16" t="inlineStr">
        <is>
          <t>0%</t>
        </is>
      </c>
    </row>
    <row r="55" ht="280" customHeight="1" s="7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9"/>
  <sheetViews>
    <sheetView tabSelected="1" topLeftCell="D1" zoomScale="70" zoomScaleNormal="70" workbookViewId="0">
      <pane ySplit="3" topLeftCell="A94" activePane="bottomLeft" state="frozen"/>
      <selection activeCell="H24" sqref="H24"/>
      <selection pane="bottomLeft" activeCell="H95" sqref="H95"/>
    </sheetView>
  </sheetViews>
  <sheetFormatPr baseColWidth="8" defaultRowHeight="14.5"/>
  <cols>
    <col width="11.81640625" customWidth="1" style="76" min="1" max="1"/>
    <col width="14.54296875" customWidth="1" style="76" min="2" max="2"/>
    <col width="21.81640625" customWidth="1" style="76" min="3" max="3"/>
    <col width="40" customWidth="1" style="76" min="4" max="4"/>
    <col width="69.08984375" customWidth="1" style="76" min="5" max="5"/>
    <col width="13.6328125" customWidth="1" style="76" min="6" max="6"/>
    <col width="11.81640625" customWidth="1" style="76" min="7" max="7"/>
    <col width="15.453125" customWidth="1" style="76" min="8" max="8"/>
    <col width="14.54296875" customWidth="1" style="76" min="9" max="9"/>
    <col width="16.36328125" customWidth="1" style="76" min="10" max="10"/>
    <col width="8.7265625" customWidth="1" style="76" min="11" max="20"/>
    <col width="8.7265625" customWidth="1" style="76" min="21" max="16384"/>
  </cols>
  <sheetData>
    <row r="1" ht="28" customHeight="1" s="78">
      <c r="A1" s="75" t="inlineStr">
        <is>
          <t>User Reported Bugs</t>
        </is>
      </c>
    </row>
    <row r="3" ht="24" customHeight="1" s="7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7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7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7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7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7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7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7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7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7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7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7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7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7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7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7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7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7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7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7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7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7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7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7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7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7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7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7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7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7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7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7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7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7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7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7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7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7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7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7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7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7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7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7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7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7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7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7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7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7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7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(pending — this commit closes PAPER-001..004 + LISTEN-4)</t>
        </is>
      </c>
      <c r="J53" s="53" t="inlineStr">
        <is>
          <t>2026-05-18</t>
        </is>
      </c>
    </row>
    <row r="54" ht="312" customHeight="1" s="7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7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7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7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7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7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7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7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7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7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7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7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7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7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7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7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7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7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7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7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7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7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7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7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7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7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7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7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7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7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7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7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7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7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7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7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7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7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7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7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t>
        </is>
      </c>
      <c r="F93" s="4" t="inlineStr">
        <is>
          <t>Major</t>
        </is>
      </c>
      <c r="G93" s="4" t="inlineStr">
        <is>
          <t>P2</t>
        </is>
      </c>
      <c r="H93" s="4" t="inlineStr">
        <is>
          <t>Fixed</t>
        </is>
      </c>
      <c r="I93" s="3" t="inlineStr">
        <is>
          <t>(pending — this commit closes PAPER-001..004 + LISTEN-4)</t>
        </is>
      </c>
      <c r="J93" s="74" t="inlineStr">
        <is>
          <t>2026-05-18</t>
        </is>
      </c>
      <c r="N93" s="60" t="n"/>
    </row>
    <row r="94" ht="220" customHeight="1" s="7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t>
        </is>
      </c>
      <c r="F94" s="4" t="inlineStr">
        <is>
          <t>Low</t>
        </is>
      </c>
      <c r="G94" s="4" t="inlineStr">
        <is>
          <t>P4</t>
        </is>
      </c>
      <c r="H94" s="4" t="inlineStr">
        <is>
          <t>Fixed</t>
        </is>
      </c>
      <c r="I94" s="3" t="inlineStr">
        <is>
          <t>(pending — this commit closes PAPER-001..004 + LISTEN-4)</t>
        </is>
      </c>
      <c r="J94" s="74" t="inlineStr">
        <is>
          <t>2026-05-18</t>
        </is>
      </c>
      <c r="N94" s="60" t="n"/>
    </row>
    <row r="95" ht="320" customHeight="1" s="7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t>
        </is>
      </c>
      <c r="F95" s="4" t="inlineStr">
        <is>
          <t>Low</t>
        </is>
      </c>
      <c r="G95" s="4" t="inlineStr">
        <is>
          <t>P4</t>
        </is>
      </c>
      <c r="H95" s="4" t="inlineStr">
        <is>
          <t>Fixed</t>
        </is>
      </c>
      <c r="I95" s="3" t="inlineStr">
        <is>
          <t>(pending — this commit closes PAPER-001..004 + LISTEN-4)</t>
        </is>
      </c>
      <c r="J95" s="74" t="inlineStr">
        <is>
          <t>2026-05-18</t>
        </is>
      </c>
      <c r="N95" s="60" t="n"/>
    </row>
    <row r="96" ht="380" customHeight="1" s="78">
      <c r="A96" s="12">
        <f>"BUG-"&amp;TEXT(ROW()-3,"000")</f>
        <v/>
      </c>
      <c r="B96" s="41" t="n">
        <v>46160</v>
      </c>
      <c r="C96" s="83"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t>
        </is>
      </c>
      <c r="F96" s="11" t="inlineStr">
        <is>
          <t>Medium</t>
        </is>
      </c>
      <c r="G96" s="11" t="inlineStr">
        <is>
          <t>P3</t>
        </is>
      </c>
      <c r="H96" s="11" t="inlineStr">
        <is>
          <t>Fixed</t>
        </is>
      </c>
      <c r="I96" s="10" t="inlineStr">
        <is>
          <t>(pending — this commit closes PAPER-001..004 + LISTEN-4)</t>
        </is>
      </c>
      <c r="J96" s="84" t="inlineStr">
        <is>
          <t>2026-05-18</t>
        </is>
      </c>
      <c r="N96" s="60" t="n"/>
    </row>
    <row r="97" ht="409" customHeight="1" s="7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Open</t>
        </is>
      </c>
      <c r="I97" s="86" t="n"/>
      <c r="J97" s="85" t="n"/>
      <c r="N97" s="60" t="n"/>
    </row>
    <row r="98" ht="280" customHeight="1" s="7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Open</t>
        </is>
      </c>
      <c r="I98" s="86" t="n"/>
      <c r="J98" s="85" t="n"/>
    </row>
    <row r="99" ht="300" customHeight="1" s="7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Open</t>
        </is>
      </c>
      <c r="I99" s="86" t="n"/>
      <c r="J99" s="85" t="n"/>
    </row>
    <row r="100" ht="409" customHeight="1" s="7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Open</t>
        </is>
      </c>
      <c r="I100" s="86" t="n"/>
      <c r="J100" s="85" t="n"/>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7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Open</t>
        </is>
      </c>
      <c r="I108" s="87" t="n"/>
      <c r="J108" s="13" t="n"/>
    </row>
    <row r="109" ht="409" customHeight="1" s="78">
      <c r="A109" s="42">
        <f>"BUG-"&amp;TEXT(ROW()-3,"000")</f>
        <v/>
      </c>
      <c r="B109" s="88">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Open</t>
        </is>
      </c>
      <c r="I109" s="86" t="n"/>
      <c r="J109" s="88" t="n"/>
    </row>
  </sheetData>
  <autoFilter ref="A3:J109"/>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78" min="1" max="1"/>
    <col width="22" customWidth="1" style="78" min="2" max="2"/>
    <col width="9" customWidth="1" style="78" min="3" max="3"/>
    <col width="58" customWidth="1" style="78" min="4" max="4"/>
    <col width="60" customWidth="1" style="78" min="5" max="6"/>
    <col width="10" customWidth="1" style="78" min="7" max="7"/>
    <col width="19" customWidth="1" style="78" min="8" max="8"/>
    <col width="24" customWidth="1" style="78" min="9" max="9"/>
    <col width="60" customWidth="1" style="78" min="10" max="10"/>
    <col width="18" customWidth="1" style="78" min="11" max="11"/>
    <col width="33" customWidth="1" style="78" min="12" max="12"/>
    <col width="60" customWidth="1" style="78" min="13" max="13"/>
    <col width="21" customWidth="1" style="78" min="14" max="14"/>
    <col width="26" customWidth="1" style="7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2026-05-18T03:27:18Z</dcterms:modified>
  <cp:lastModifiedBy>Srivastava, Gaurav</cp:lastModifiedBy>
</cp:coreProperties>
</file>