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s>
  <definedNames>
    <definedName name="_xlnm._FilterDatabase" localSheetId="1" hidden="1">'Unit Tests (Auto-runnable)'!$A$4:$P$115</definedName>
    <definedName name="_xlnm._FilterDatabase" localSheetId="16" hidden="1">'User Reported Bugs'!$A$3:$J$92</definedName>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18">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s>
  <fills count="14">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s>
  <borders count="15">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s>
  <cellStyleXfs count="1">
    <xf numFmtId="0" fontId="0" fillId="0" borderId="0"/>
  </cellStyleXfs>
  <cellXfs count="75">
    <xf numFmtId="0" fontId="0" fillId="0" borderId="0" pivotButton="0" quotePrefix="0" xfId="0"/>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2" fillId="3" borderId="0" applyAlignment="1" pivotButton="0" quotePrefix="0" xfId="0">
      <alignment horizontal="center" vertical="center"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49" min="1" max="1"/>
    <col width="12" customWidth="1" style="49" min="2" max="2"/>
    <col width="10" customWidth="1" style="49" min="3" max="5"/>
    <col width="12" customWidth="1" style="49" min="6" max="6"/>
  </cols>
  <sheetData>
    <row r="1" ht="28" customHeight="1" s="49">
      <c r="A1" s="48" t="inlineStr">
        <is>
          <t>JLPT N5 Tutor — Test Scenarios by Specialist Perspective</t>
        </is>
      </c>
    </row>
    <row r="2" ht="24" customHeight="1" s="49">
      <c r="A2" s="51" t="inlineStr">
        <is>
          <t>Generated from the 84-perspective list (categories A–N). Each tab = one category.</t>
        </is>
      </c>
    </row>
    <row r="3" ht="60" customHeight="1" s="49">
      <c r="A3" s="50"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49">
      <c r="A5" s="22" t="inlineStr">
        <is>
          <t>Tab</t>
        </is>
      </c>
      <c r="B5" s="22" t="inlineStr">
        <is>
          <t>Scenarios</t>
        </is>
      </c>
      <c r="C5" s="22" t="inlineStr">
        <is>
          <t>P1</t>
        </is>
      </c>
      <c r="D5" s="22" t="inlineStr">
        <is>
          <t>P2</t>
        </is>
      </c>
      <c r="E5" s="22" t="inlineStr">
        <is>
          <t>P3</t>
        </is>
      </c>
      <c r="F5" s="22" t="inlineStr">
        <is>
          <t>P4 + P5</t>
        </is>
      </c>
    </row>
    <row r="6" ht="50" customHeight="1" s="49">
      <c r="A6" s="9" t="inlineStr">
        <is>
          <t>A. Japanese language</t>
        </is>
      </c>
      <c r="B6" s="4">
        <f>COUNTA('A. Japanese language'!A5:A1000)</f>
        <v/>
      </c>
      <c r="C6" s="5">
        <f>COUNTIF('A. Japanese language'!G5:G1000, "P1")</f>
        <v/>
      </c>
      <c r="D6" s="5">
        <f>COUNTIF('A. Japanese language'!G5:G1000, "P2")</f>
        <v/>
      </c>
      <c r="E6">
        <f>COUNTIF('A. Japanese language'!G5:G1000, "P3")</f>
        <v/>
      </c>
      <c r="F6">
        <f>COUNTIF('A. Japanese language'!G5:G1000, "P4") + COUNTIF('A. Japanese language'!G5:G1000, "P5")</f>
        <v/>
      </c>
    </row>
    <row r="7" ht="50" customHeight="1" s="49">
      <c r="A7" s="9" t="inlineStr">
        <is>
          <t>B. JLPT format</t>
        </is>
      </c>
      <c r="B7" s="4">
        <f>COUNTA('B. JLPT format'!A5:A1000)</f>
        <v/>
      </c>
      <c r="C7" s="5">
        <f>COUNTIF('B. JLPT format'!G5:G1000, "P1")</f>
        <v/>
      </c>
      <c r="D7" s="5">
        <f>COUNTIF('B. JLPT format'!G5:G1000, "P2")</f>
        <v/>
      </c>
      <c r="E7">
        <f>COUNTIF('B. JLPT format'!G5:G1000, "P3")</f>
        <v/>
      </c>
      <c r="F7">
        <f>COUNTIF('B. JLPT format'!G5:G1000, "P4") + COUNTIF('B. JLPT format'!G5:G1000, "P5")</f>
        <v/>
      </c>
    </row>
    <row r="8" ht="50" customHeight="1" s="49">
      <c r="A8" s="9" t="inlineStr">
        <is>
          <t>C. Hindi locale</t>
        </is>
      </c>
      <c r="B8" s="4">
        <f>COUNTA('C. Hindi locale'!A5:A1000)</f>
        <v/>
      </c>
      <c r="C8" s="5">
        <f>COUNTIF('C. Hindi locale'!G5:G1000, "P1")</f>
        <v/>
      </c>
      <c r="D8" s="5">
        <f>COUNTIF('C. Hindi locale'!G5:G1000, "P2")</f>
        <v/>
      </c>
      <c r="E8">
        <f>COUNTIF('C. Hindi locale'!G5:G1000, "P3")</f>
        <v/>
      </c>
      <c r="F8">
        <f>COUNTIF('C. Hindi locale'!G5:G1000, "P4") + COUNTIF('C. Hindi locale'!G5:G1000, "P5")</f>
        <v/>
      </c>
    </row>
    <row r="9" ht="50" customHeight="1" s="49">
      <c r="A9" s="9" t="inlineStr">
        <is>
          <t>D. UX design</t>
        </is>
      </c>
      <c r="B9" s="4">
        <f>COUNTA('D. UX design'!A5:A1000)</f>
        <v/>
      </c>
      <c r="C9" s="5">
        <f>COUNTIF('D. UX design'!G5:G1000, "P1")</f>
        <v/>
      </c>
      <c r="D9" s="5">
        <f>COUNTIF('D. UX design'!G5:G1000, "P2")</f>
        <v/>
      </c>
      <c r="E9">
        <f>COUNTIF('D. UX design'!G5:G1000, "P3")</f>
        <v/>
      </c>
      <c r="F9">
        <f>COUNTIF('D. UX design'!G5:G1000, "P4") + COUNTIF('D. UX design'!G5:G1000, "P5")</f>
        <v/>
      </c>
    </row>
    <row r="10" ht="50" customHeight="1" s="49">
      <c r="A10" s="9" t="inlineStr">
        <is>
          <t>E. Accessibility</t>
        </is>
      </c>
      <c r="B10" s="4">
        <f>COUNTA('E. Accessibility'!A5:A1000)</f>
        <v/>
      </c>
      <c r="C10" s="5">
        <f>COUNTIF('E. Accessibility'!G5:G1000, "P1")</f>
        <v/>
      </c>
      <c r="D10" s="5">
        <f>COUNTIF('E. Accessibility'!G5:G1000, "P2")</f>
        <v/>
      </c>
      <c r="E10">
        <f>COUNTIF('E. Accessibility'!G5:G1000, "P3")</f>
        <v/>
      </c>
      <c r="F10">
        <f>COUNTIF('E. Accessibility'!G5:G1000, "P4") + COUNTIF('E. Accessibility'!G5:G1000, "P5")</f>
        <v/>
      </c>
    </row>
    <row r="11" ht="50" customHeight="1" s="49">
      <c r="A11" s="9" t="inlineStr">
        <is>
          <t>F. Security</t>
        </is>
      </c>
      <c r="B11" s="4">
        <f>COUNTA('F. Security'!A5:A1000)</f>
        <v/>
      </c>
      <c r="C11" s="5">
        <f>COUNTIF('F. Security'!G5:G1000, "P1")</f>
        <v/>
      </c>
      <c r="D11" s="5">
        <f>COUNTIF('F. Security'!G5:G1000, "P2")</f>
        <v/>
      </c>
      <c r="E11">
        <f>COUNTIF('F. Security'!G5:G1000, "P3")</f>
        <v/>
      </c>
      <c r="F11">
        <f>COUNTIF('F. Security'!G5:G1000, "P4") + COUNTIF('F. Security'!G5:G1000, "P5")</f>
        <v/>
      </c>
    </row>
    <row r="12" ht="50" customHeight="1" s="49">
      <c r="A12" s="9" t="inlineStr">
        <is>
          <t>G. Privacy and legal</t>
        </is>
      </c>
      <c r="B12" s="4">
        <f>COUNTA('G. Privacy and legal'!A5:A1000)</f>
        <v/>
      </c>
      <c r="C12" s="5">
        <f>COUNTIF('G. Privacy and legal'!G5:G1000, "P1")</f>
        <v/>
      </c>
      <c r="D12" s="5">
        <f>COUNTIF('G. Privacy and legal'!G5:G1000, "P2")</f>
        <v/>
      </c>
      <c r="E12">
        <f>COUNTIF('G. Privacy and legal'!G5:G1000, "P3")</f>
        <v/>
      </c>
      <c r="F12">
        <f>COUNTIF('G. Privacy and legal'!G5:G1000, "P4") + COUNTIF('G. Privacy and legal'!G5:G1000, "P5")</f>
        <v/>
      </c>
    </row>
    <row r="13" ht="50" customHeight="1" s="49">
      <c r="A13" s="9" t="inlineStr">
        <is>
          <t>H. Performance</t>
        </is>
      </c>
      <c r="B13" s="4">
        <f>COUNTA('H. Performance'!A5:A1000)</f>
        <v/>
      </c>
      <c r="C13" s="5">
        <f>COUNTIF('H. Performance'!G5:G1000, "P1")</f>
        <v/>
      </c>
      <c r="D13" s="5">
        <f>COUNTIF('H. Performance'!G5:G1000, "P2")</f>
        <v/>
      </c>
      <c r="E13">
        <f>COUNTIF('H. Performance'!G5:G1000, "P3")</f>
        <v/>
      </c>
      <c r="F13">
        <f>COUNTIF('H. Performance'!G5:G1000, "P4") + COUNTIF('H. Performance'!G5:G1000, "P5")</f>
        <v/>
      </c>
    </row>
    <row r="14" ht="50" customHeight="1" s="49">
      <c r="A14" s="9" t="inlineStr">
        <is>
          <t>I. Data engineering</t>
        </is>
      </c>
      <c r="B14" s="4">
        <f>COUNTA('I. Data engineering'!A5:A1000)</f>
        <v/>
      </c>
      <c r="C14" s="5">
        <f>COUNTIF('I. Data engineering'!G5:G1000, "P1")</f>
        <v/>
      </c>
      <c r="D14" s="5">
        <f>COUNTIF('I. Data engineering'!G5:G1000, "P2")</f>
        <v/>
      </c>
      <c r="E14">
        <f>COUNTIF('I. Data engineering'!G5:G1000, "P3")</f>
        <v/>
      </c>
      <c r="F14">
        <f>COUNTIF('I. Data engineering'!G5:G1000, "P4") + COUNTIF('I. Data engineering'!G5:G1000, "P5")</f>
        <v/>
      </c>
    </row>
    <row r="15" ht="50" customHeight="1" s="49">
      <c r="A15" s="9" t="inlineStr">
        <is>
          <t>J. Pedagogy</t>
        </is>
      </c>
      <c r="B15" s="4">
        <f>COUNTA('J. Pedagogy'!A5:A1000)</f>
        <v/>
      </c>
      <c r="C15" s="5">
        <f>COUNTIF('J. Pedagogy'!G5:G1000, "P1")</f>
        <v/>
      </c>
      <c r="D15" s="5">
        <f>COUNTIF('J. Pedagogy'!G5:G1000, "P2")</f>
        <v/>
      </c>
      <c r="E15">
        <f>COUNTIF('J. Pedagogy'!G5:G1000, "P3")</f>
        <v/>
      </c>
      <c r="F15">
        <f>COUNTIF('J. Pedagogy'!G5:G1000, "P4") + COUNTIF('J. Pedagogy'!G5:G1000, "P5")</f>
        <v/>
      </c>
    </row>
    <row r="16" ht="50" customHeight="1" s="49">
      <c r="A16" s="9" t="inlineStr">
        <is>
          <t>K. QA testing</t>
        </is>
      </c>
      <c r="B16" s="4">
        <f>COUNTA('K. QA testing'!A5:A1000)</f>
        <v/>
      </c>
      <c r="C16" s="5">
        <f>COUNTIF('K. QA testing'!G5:G1000, "P1")</f>
        <v/>
      </c>
      <c r="D16" s="5">
        <f>COUNTIF('K. QA testing'!G5:G1000, "P2")</f>
        <v/>
      </c>
      <c r="E16">
        <f>COUNTIF('K. QA testing'!G5:G1000, "P3")</f>
        <v/>
      </c>
      <c r="F16">
        <f>COUNTIF('K. QA testing'!G5:G1000, "P4") + COUNTIF('K. QA testing'!G5:G1000, "P5")</f>
        <v/>
      </c>
    </row>
    <row r="17" ht="50" customHeight="1" s="49">
      <c r="A17" s="9" t="inlineStr">
        <is>
          <t>L. Cultural ethical</t>
        </is>
      </c>
      <c r="B17" s="4">
        <f>COUNTA('L. Cultural ethical'!A5:A1000)</f>
        <v/>
      </c>
      <c r="C17" s="5">
        <f>COUNTIF('L. Cultural ethical'!G5:G1000, "P1")</f>
        <v/>
      </c>
      <c r="D17" s="5">
        <f>COUNTIF('L. Cultural ethical'!G5:G1000, "P2")</f>
        <v/>
      </c>
      <c r="E17">
        <f>COUNTIF('L. Cultural ethical'!G5:G1000, "P3")</f>
        <v/>
      </c>
      <c r="F17">
        <f>COUNTIF('L. Cultural ethical'!G5:G1000, "P4") + COUNTIF('L. Cultural ethical'!G5:G1000, "P5")</f>
        <v/>
      </c>
    </row>
    <row r="18" ht="50" customHeight="1" s="49">
      <c r="A18" s="9" t="inlineStr">
        <is>
          <t>M. Operations</t>
        </is>
      </c>
      <c r="B18" s="4">
        <f>COUNTA('M. Operations'!A5:A1000)</f>
        <v/>
      </c>
      <c r="C18" s="5">
        <f>COUNTIF('M. Operations'!G5:G1000, "P1")</f>
        <v/>
      </c>
      <c r="D18" s="5">
        <f>COUNTIF('M. Operations'!G5:G1000, "P2")</f>
        <v/>
      </c>
      <c r="E18">
        <f>COUNTIF('M. Operations'!G5:G1000, "P3")</f>
        <v/>
      </c>
      <c r="F18">
        <f>COUNTIF('M. Operations'!G5:G1000, "P4") + COUNTIF('M. Operations'!G5:G1000, "P5")</f>
        <v/>
      </c>
    </row>
    <row r="19" ht="50" customHeight="1" s="49" thickBot="1">
      <c r="A19" s="10" t="inlineStr">
        <is>
          <t>N. End-user POV</t>
        </is>
      </c>
      <c r="B19" s="11">
        <f>COUNTA('N. End-user POV'!A5:A1000)</f>
        <v/>
      </c>
      <c r="C19" s="12">
        <f>COUNTIF('N. End-user POV'!G5:G1000, "P1")</f>
        <v/>
      </c>
      <c r="D19" s="12">
        <f>COUNTIF('N. End-user POV'!G5:G1000, "P2")</f>
        <v/>
      </c>
      <c r="E19">
        <f>COUNTIF('N. End-user POV'!G5:G1000, "P3")</f>
        <v/>
      </c>
      <c r="F19">
        <f>COUNTIF('N. End-user POV'!G5:G1000, "P4") + COUNTIF('N. End-user POV'!G5:G1000, "P5")</f>
        <v/>
      </c>
    </row>
    <row r="20" ht="15.5" customHeight="1" s="49" thickBot="1" thickTop="1">
      <c r="A20" s="23" t="inlineStr">
        <is>
          <t>TOTAL</t>
        </is>
      </c>
      <c r="B20" s="23">
        <f>SUM(B6:B19)</f>
        <v/>
      </c>
      <c r="C20" s="24">
        <f>SUM(C6:C19)</f>
        <v/>
      </c>
      <c r="D20" s="24">
        <f>SUM(D6:D19)</f>
        <v/>
      </c>
      <c r="E20" s="25">
        <f>SUM(E6:E19)</f>
        <v/>
      </c>
      <c r="F20" s="25">
        <f>SUM(F6:F19)</f>
        <v/>
      </c>
    </row>
    <row r="21" ht="15" customHeight="1" s="49"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49" min="1" max="1"/>
    <col width="9" customWidth="1" style="49" min="2" max="2"/>
    <col width="5" customWidth="1" style="49" min="3" max="3"/>
    <col width="22" customWidth="1" style="49" min="4" max="4"/>
    <col width="60" customWidth="1" style="49" min="5" max="5"/>
    <col width="38" customWidth="1" style="49" min="6" max="6"/>
    <col width="12" customWidth="1" style="49" min="7" max="7"/>
    <col width="24" customWidth="1" style="49" min="8" max="8"/>
    <col width="9" customWidth="1" style="49" min="9" max="9"/>
    <col width="11" customWidth="1" style="49" min="10" max="10"/>
    <col width="13" customWidth="1" style="49" min="11" max="11"/>
    <col width="9" customWidth="1" style="49" min="12" max="12"/>
    <col width="11" customWidth="1" style="49" min="13" max="13"/>
    <col width="14" customWidth="1" style="49" min="14" max="15"/>
    <col width="32" customWidth="1" style="49" min="16" max="16"/>
  </cols>
  <sheetData>
    <row r="1" ht="18.5" customHeight="1" s="49">
      <c r="A1" s="52" t="inlineStr">
        <is>
          <t>JLPT N5 Tutor — Unit Tests (Auto-runnable scenarios)</t>
        </is>
      </c>
    </row>
    <row r="2" ht="45" customHeight="1" s="49">
      <c r="A2" s="53"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4" t="inlineStr">
        <is>
          <t>#</t>
        </is>
      </c>
      <c r="B4" s="34" t="inlineStr">
        <is>
          <t>ID</t>
        </is>
      </c>
      <c r="C4" s="34" t="inlineStr">
        <is>
          <t>Tab</t>
        </is>
      </c>
      <c r="D4" s="34" t="inlineStr">
        <is>
          <t>Sub-category</t>
        </is>
      </c>
      <c r="E4" s="34" t="inlineStr">
        <is>
          <t>Scenario</t>
        </is>
      </c>
      <c r="F4" s="34" t="inlineStr">
        <is>
          <t>Tools / scripts</t>
        </is>
      </c>
      <c r="G4" s="34" t="inlineStr">
        <is>
          <t>CI invariant</t>
        </is>
      </c>
      <c r="H4" s="34" t="inlineStr">
        <is>
          <t>Owner / role</t>
        </is>
      </c>
      <c r="I4" s="34" t="inlineStr">
        <is>
          <t>Priority</t>
        </is>
      </c>
      <c r="J4" s="34" t="inlineStr">
        <is>
          <t>Severity</t>
        </is>
      </c>
      <c r="K4" s="34" t="inlineStr">
        <is>
          <t>Test type</t>
        </is>
      </c>
      <c r="L4" s="34" t="inlineStr">
        <is>
          <t>Effort</t>
        </is>
      </c>
      <c r="M4" s="34" t="inlineStr">
        <is>
          <t>Coverage %</t>
        </is>
      </c>
      <c r="N4" s="34" t="inlineStr">
        <is>
          <t>Last run result</t>
        </is>
      </c>
      <c r="O4" s="34" t="inlineStr">
        <is>
          <t>Last run date</t>
        </is>
      </c>
      <c r="P4" s="34" t="inlineStr">
        <is>
          <t>Source ref</t>
        </is>
      </c>
    </row>
    <row r="5">
      <c r="A5" s="35" t="n">
        <v>1</v>
      </c>
      <c r="B5" s="35" t="inlineStr">
        <is>
          <t>A-007</t>
        </is>
      </c>
      <c r="C5" s="35" t="inlineStr">
        <is>
          <t>A</t>
        </is>
      </c>
      <c r="D5" s="35" t="inlineStr">
        <is>
          <t>Particles</t>
        </is>
      </c>
      <c r="E5" s="35" t="inlineStr">
        <is>
          <t>を vs が with potential-form verbs (好き / できる / わかる)</t>
        </is>
      </c>
      <c r="F5" s="35" t="inlineStr">
        <is>
          <t>n/a — manual evaluation</t>
        </is>
      </c>
      <c r="G5" s="35" t="inlineStr">
        <is>
          <t>JA-88</t>
        </is>
      </c>
      <c r="H5" s="35" t="inlineStr">
        <is>
          <t>Native Japanese teacher</t>
        </is>
      </c>
      <c r="I5" s="35" t="inlineStr">
        <is>
          <t>P1</t>
        </is>
      </c>
      <c r="J5" s="35" t="inlineStr">
        <is>
          <t>Critical</t>
        </is>
      </c>
      <c r="K5" s="35" t="inlineStr">
        <is>
          <t>Auto+Manual</t>
        </is>
      </c>
      <c r="L5" s="35" t="inlineStr">
        <is>
          <t>1d</t>
        </is>
      </c>
      <c r="M5" s="35" t="inlineStr">
        <is>
          <t>0%</t>
        </is>
      </c>
      <c r="N5" s="35" t="inlineStr">
        <is>
          <t>PASS</t>
        </is>
      </c>
      <c r="O5" s="63" t="n">
        <v>46159</v>
      </c>
      <c r="P5" s="35" t="inlineStr">
        <is>
          <t>A. Japanese language!row 11</t>
        </is>
      </c>
    </row>
    <row r="6" ht="29" customHeight="1" s="49">
      <c r="A6" s="35" t="n">
        <v>2</v>
      </c>
      <c r="B6" s="35" t="inlineStr">
        <is>
          <t>A-008</t>
        </is>
      </c>
      <c r="C6" s="35" t="inlineStr">
        <is>
          <t>A</t>
        </is>
      </c>
      <c r="D6" s="35" t="inlineStr">
        <is>
          <t>Conjugation</t>
        </is>
      </c>
      <c r="E6" s="35" t="inlineStr">
        <is>
          <t>Verb-class accuracy: dictionary-form vs class tag</t>
        </is>
      </c>
      <c r="F6" s="35" t="inlineStr">
        <is>
          <t>Custom Python (vocab.json + verb-class reference cross-check)</t>
        </is>
      </c>
      <c r="G6" s="35" t="n"/>
      <c r="H6" s="35" t="inlineStr">
        <is>
          <t>Native Japanese teacher</t>
        </is>
      </c>
      <c r="I6" s="35" t="inlineStr">
        <is>
          <t>P1</t>
        </is>
      </c>
      <c r="J6" s="35" t="inlineStr">
        <is>
          <t>Critical</t>
        </is>
      </c>
      <c r="K6" s="35" t="inlineStr">
        <is>
          <t>Auto</t>
        </is>
      </c>
      <c r="L6" s="35" t="inlineStr">
        <is>
          <t>1d</t>
        </is>
      </c>
      <c r="M6" s="35" t="inlineStr">
        <is>
          <t>0%</t>
        </is>
      </c>
      <c r="N6" s="35" t="inlineStr">
        <is>
          <t>Skipped — custom</t>
        </is>
      </c>
      <c r="O6" s="63" t="n">
        <v>46159</v>
      </c>
      <c r="P6" s="35" t="inlineStr">
        <is>
          <t>A. Japanese language!row 12</t>
        </is>
      </c>
    </row>
    <row r="7">
      <c r="A7" s="35" t="n">
        <v>3</v>
      </c>
      <c r="B7" s="35" t="inlineStr">
        <is>
          <t>C-016</t>
        </is>
      </c>
      <c r="C7" s="35" t="inlineStr">
        <is>
          <t>C</t>
        </is>
      </c>
      <c r="D7" s="35" t="inlineStr">
        <is>
          <t>Locale parity</t>
        </is>
      </c>
      <c r="E7" s="35" t="inlineStr">
        <is>
          <t>Field-presence parity: every EN field has its HI counterpart</t>
        </is>
      </c>
      <c r="F7" s="35" t="inlineStr">
        <is>
          <t>n/a — manual evaluation</t>
        </is>
      </c>
      <c r="G7" s="35" t="n"/>
      <c r="H7" s="35" t="inlineStr">
        <is>
          <t>Native Hindi teacher</t>
        </is>
      </c>
      <c r="I7" s="35" t="inlineStr">
        <is>
          <t>P1</t>
        </is>
      </c>
      <c r="J7" s="35" t="inlineStr">
        <is>
          <t>Critical</t>
        </is>
      </c>
      <c r="K7" s="35" t="inlineStr">
        <is>
          <t>Auto</t>
        </is>
      </c>
      <c r="L7" s="35" t="inlineStr">
        <is>
          <t>1d</t>
        </is>
      </c>
      <c r="M7" s="35" t="inlineStr">
        <is>
          <t>0%</t>
        </is>
      </c>
      <c r="N7" s="35" t="inlineStr">
        <is>
          <t>Manual — deferred</t>
        </is>
      </c>
      <c r="O7" s="63" t="n">
        <v>46159</v>
      </c>
      <c r="P7" s="35" t="inlineStr">
        <is>
          <t>C. Hindi locale!row 20</t>
        </is>
      </c>
    </row>
    <row r="8">
      <c r="A8" s="35" t="n">
        <v>4</v>
      </c>
      <c r="B8" s="35" t="inlineStr">
        <is>
          <t>F-001</t>
        </is>
      </c>
      <c r="C8" s="35" t="inlineStr">
        <is>
          <t>F</t>
        </is>
      </c>
      <c r="D8" s="35" t="inlineStr">
        <is>
          <t>XSS</t>
        </is>
      </c>
      <c r="E8" s="35" t="inlineStr">
        <is>
          <t>Input field XSS payload injection (feedback module if exists)</t>
        </is>
      </c>
      <c r="F8" s="35" t="inlineStr">
        <is>
          <t>Lighthouse + npm audit + secrets-scan</t>
        </is>
      </c>
      <c r="G8" s="35" t="n"/>
      <c r="H8" s="35" t="inlineStr">
        <is>
          <t>Security engineer</t>
        </is>
      </c>
      <c r="I8" s="35" t="inlineStr">
        <is>
          <t>P1</t>
        </is>
      </c>
      <c r="J8" s="35" t="inlineStr">
        <is>
          <t>Critical</t>
        </is>
      </c>
      <c r="K8" s="35" t="inlineStr">
        <is>
          <t>Auto</t>
        </is>
      </c>
      <c r="L8" s="35" t="inlineStr">
        <is>
          <t>1h</t>
        </is>
      </c>
      <c r="M8" s="35" t="inlineStr">
        <is>
          <t>0%</t>
        </is>
      </c>
      <c r="N8" s="35" t="inlineStr">
        <is>
          <t>Skipped — external</t>
        </is>
      </c>
      <c r="O8" s="63" t="n">
        <v>46159</v>
      </c>
      <c r="P8" s="35" t="inlineStr">
        <is>
          <t>F. Security!row 5</t>
        </is>
      </c>
    </row>
    <row r="9">
      <c r="A9" s="35" t="n">
        <v>5</v>
      </c>
      <c r="B9" s="35" t="inlineStr">
        <is>
          <t>F-002</t>
        </is>
      </c>
      <c r="C9" s="35" t="inlineStr">
        <is>
          <t>F</t>
        </is>
      </c>
      <c r="D9" s="35" t="inlineStr">
        <is>
          <t>XSS</t>
        </is>
      </c>
      <c r="E9" s="35" t="inlineStr">
        <is>
          <t>URL-parameter XSS in route handlers</t>
        </is>
      </c>
      <c r="F9" s="35" t="inlineStr">
        <is>
          <t>npm audit / Snyk / Dependabot</t>
        </is>
      </c>
      <c r="G9" s="35" t="n"/>
      <c r="H9" s="35" t="inlineStr">
        <is>
          <t>Security engineer</t>
        </is>
      </c>
      <c r="I9" s="35" t="inlineStr">
        <is>
          <t>P1</t>
        </is>
      </c>
      <c r="J9" s="35" t="inlineStr">
        <is>
          <t>Critical</t>
        </is>
      </c>
      <c r="K9" s="35" t="inlineStr">
        <is>
          <t>Auto</t>
        </is>
      </c>
      <c r="L9" s="35" t="inlineStr">
        <is>
          <t>1h</t>
        </is>
      </c>
      <c r="M9" s="35" t="inlineStr">
        <is>
          <t>0%</t>
        </is>
      </c>
      <c r="N9" s="35" t="inlineStr">
        <is>
          <t>Skipped — external</t>
        </is>
      </c>
      <c r="O9" s="63" t="n">
        <v>46159</v>
      </c>
      <c r="P9" s="35" t="inlineStr">
        <is>
          <t>F. Security!row 6</t>
        </is>
      </c>
    </row>
    <row r="10">
      <c r="A10" s="35" t="n">
        <v>6</v>
      </c>
      <c r="B10" s="35" t="inlineStr">
        <is>
          <t>F-003</t>
        </is>
      </c>
      <c r="C10" s="35" t="inlineStr">
        <is>
          <t>F</t>
        </is>
      </c>
      <c r="D10" s="35" t="inlineStr">
        <is>
          <t>XSS</t>
        </is>
      </c>
      <c r="E10" s="35" t="inlineStr">
        <is>
          <t>localStorage payload injection</t>
        </is>
      </c>
      <c r="F10" s="35" t="inlineStr">
        <is>
          <t>GitGuardian / trufflehog (secrets in tree)</t>
        </is>
      </c>
      <c r="G10" s="35" t="n"/>
      <c r="H10" s="35" t="inlineStr">
        <is>
          <t>Security engineer</t>
        </is>
      </c>
      <c r="I10" s="35" t="inlineStr">
        <is>
          <t>P1</t>
        </is>
      </c>
      <c r="J10" s="35" t="inlineStr">
        <is>
          <t>Critical</t>
        </is>
      </c>
      <c r="K10" s="35" t="inlineStr">
        <is>
          <t>Auto</t>
        </is>
      </c>
      <c r="L10" s="35" t="inlineStr">
        <is>
          <t>1h</t>
        </is>
      </c>
      <c r="M10" s="35" t="inlineStr">
        <is>
          <t>0%</t>
        </is>
      </c>
      <c r="N10" s="35" t="inlineStr">
        <is>
          <t>Skipped — external</t>
        </is>
      </c>
      <c r="O10" s="63" t="n">
        <v>46159</v>
      </c>
      <c r="P10" s="35" t="inlineStr">
        <is>
          <t>F. Security!row 7</t>
        </is>
      </c>
    </row>
    <row r="11">
      <c r="A11" s="35" t="n">
        <v>7</v>
      </c>
      <c r="B11" s="35" t="inlineStr">
        <is>
          <t>F-014</t>
        </is>
      </c>
      <c r="C11" s="35" t="inlineStr">
        <is>
          <t>F</t>
        </is>
      </c>
      <c r="D11" s="35" t="inlineStr">
        <is>
          <t>Secrets</t>
        </is>
      </c>
      <c r="E11" s="35" t="inlineStr">
        <is>
          <t>Git-history scan for accidentally-committed tokens</t>
        </is>
      </c>
      <c r="F11" s="35" t="inlineStr">
        <is>
          <t>n/a — manual evaluation</t>
        </is>
      </c>
      <c r="G11" s="35" t="n"/>
      <c r="H11" s="35" t="inlineStr">
        <is>
          <t>Security engineer</t>
        </is>
      </c>
      <c r="I11" s="35" t="inlineStr">
        <is>
          <t>P1</t>
        </is>
      </c>
      <c r="J11" s="35" t="inlineStr">
        <is>
          <t>Critical</t>
        </is>
      </c>
      <c r="K11" s="35" t="inlineStr">
        <is>
          <t>Auto</t>
        </is>
      </c>
      <c r="L11" s="35" t="inlineStr">
        <is>
          <t>4h</t>
        </is>
      </c>
      <c r="M11" s="35" t="inlineStr">
        <is>
          <t>0%</t>
        </is>
      </c>
      <c r="N11" s="35" t="inlineStr">
        <is>
          <t>Manual — deferred</t>
        </is>
      </c>
      <c r="O11" s="63" t="n">
        <v>46159</v>
      </c>
      <c r="P11" s="35" t="inlineStr">
        <is>
          <t>F. Security!row 18</t>
        </is>
      </c>
    </row>
    <row r="12">
      <c r="A12" s="35" t="n">
        <v>8</v>
      </c>
      <c r="B12" s="35" t="inlineStr">
        <is>
          <t>F-015</t>
        </is>
      </c>
      <c r="C12" s="35" t="inlineStr">
        <is>
          <t>F</t>
        </is>
      </c>
      <c r="D12" s="35" t="inlineStr">
        <is>
          <t>Secrets</t>
        </is>
      </c>
      <c r="E12" s="35" t="inlineStr">
        <is>
          <t>.env files / private keys in tree</t>
        </is>
      </c>
      <c r="F12" s="35" t="inlineStr">
        <is>
          <t>n/a — manual evaluation</t>
        </is>
      </c>
      <c r="G12" s="35" t="n"/>
      <c r="H12" s="35" t="inlineStr">
        <is>
          <t>Security engineer</t>
        </is>
      </c>
      <c r="I12" s="35" t="inlineStr">
        <is>
          <t>P1</t>
        </is>
      </c>
      <c r="J12" s="35" t="inlineStr">
        <is>
          <t>Critical</t>
        </is>
      </c>
      <c r="K12" s="35" t="inlineStr">
        <is>
          <t>Auto</t>
        </is>
      </c>
      <c r="L12" s="35" t="inlineStr">
        <is>
          <t>4h</t>
        </is>
      </c>
      <c r="M12" s="35" t="inlineStr">
        <is>
          <t>0%</t>
        </is>
      </c>
      <c r="N12" s="35" t="inlineStr">
        <is>
          <t>Manual — deferred</t>
        </is>
      </c>
      <c r="O12" s="63" t="n">
        <v>46159</v>
      </c>
      <c r="P12" s="35" t="inlineStr">
        <is>
          <t>F. Security!row 19</t>
        </is>
      </c>
    </row>
    <row r="13">
      <c r="A13" s="35" t="n">
        <v>9</v>
      </c>
      <c r="B13" s="35" t="inlineStr">
        <is>
          <t>I-009</t>
        </is>
      </c>
      <c r="C13" s="35" t="inlineStr">
        <is>
          <t>I</t>
        </is>
      </c>
      <c r="D13" s="35" t="inlineStr">
        <is>
          <t>Build / CI</t>
        </is>
      </c>
      <c r="E13" s="35" t="inlineStr">
        <is>
          <t>tools/check_content_integrity.py runs in CI on every PR</t>
        </is>
      </c>
      <c r="F13" s="35" t="inlineStr">
        <is>
          <t>n/a — manual evaluation</t>
        </is>
      </c>
      <c r="G13" s="35" t="n"/>
      <c r="H13" s="35" t="inlineStr">
        <is>
          <t>Data engineer</t>
        </is>
      </c>
      <c r="I13" s="35" t="inlineStr">
        <is>
          <t>P1</t>
        </is>
      </c>
      <c r="J13" s="35" t="inlineStr">
        <is>
          <t>Critical</t>
        </is>
      </c>
      <c r="K13" s="35" t="inlineStr">
        <is>
          <t>Auto</t>
        </is>
      </c>
      <c r="L13" s="35" t="inlineStr">
        <is>
          <t>4h</t>
        </is>
      </c>
      <c r="M13" s="35" t="inlineStr">
        <is>
          <t>0%</t>
        </is>
      </c>
      <c r="N13" s="35" t="inlineStr">
        <is>
          <t>Manual — deferred</t>
        </is>
      </c>
      <c r="O13" s="63" t="n">
        <v>46159</v>
      </c>
      <c r="P13" s="35" t="inlineStr">
        <is>
          <t>I. Data engineering!row 13</t>
        </is>
      </c>
    </row>
    <row r="14">
      <c r="A14" s="35" t="n">
        <v>10</v>
      </c>
      <c r="B14" s="35" t="inlineStr">
        <is>
          <t>K-008</t>
        </is>
      </c>
      <c r="C14" s="35" t="inlineStr">
        <is>
          <t>K</t>
        </is>
      </c>
      <c r="D14" s="35" t="inlineStr">
        <is>
          <t>Automation</t>
        </is>
      </c>
      <c r="E14" s="35" t="inlineStr">
        <is>
          <t>Smoke test on every deploy</t>
        </is>
      </c>
      <c r="F14" s="35" t="inlineStr">
        <is>
          <t>n/a — manual evaluation</t>
        </is>
      </c>
      <c r="G14" s="35" t="n"/>
      <c r="H14" s="35" t="inlineStr">
        <is>
          <t>QA tester</t>
        </is>
      </c>
      <c r="I14" s="35" t="inlineStr">
        <is>
          <t>P1</t>
        </is>
      </c>
      <c r="J14" s="35" t="inlineStr">
        <is>
          <t>Critical</t>
        </is>
      </c>
      <c r="K14" s="35" t="inlineStr">
        <is>
          <t>Auto</t>
        </is>
      </c>
      <c r="L14" s="35" t="inlineStr">
        <is>
          <t>1d</t>
        </is>
      </c>
      <c r="M14" s="35" t="inlineStr">
        <is>
          <t>0%</t>
        </is>
      </c>
      <c r="N14" s="35" t="inlineStr">
        <is>
          <t>Manual — deferred</t>
        </is>
      </c>
      <c r="O14" s="63" t="n">
        <v>46159</v>
      </c>
      <c r="P14" s="35" t="inlineStr">
        <is>
          <t>K. QA testing!row 12</t>
        </is>
      </c>
    </row>
    <row r="15">
      <c r="A15" s="36" t="n">
        <v>11</v>
      </c>
      <c r="B15" s="36" t="inlineStr">
        <is>
          <t>A-014</t>
        </is>
      </c>
      <c r="C15" s="36" t="inlineStr">
        <is>
          <t>A</t>
        </is>
      </c>
      <c r="D15" s="36" t="inlineStr">
        <is>
          <t>Counters</t>
        </is>
      </c>
      <c r="E15" s="36" t="inlineStr">
        <is>
          <t>Counter rendaku correctness across all numeric+counter pairs</t>
        </is>
      </c>
      <c r="F15" s="36" t="inlineStr">
        <is>
          <t>n/a — manual evaluation</t>
        </is>
      </c>
      <c r="G15" s="36" t="n"/>
      <c r="H15" s="36" t="inlineStr">
        <is>
          <t>Native Japanese teacher</t>
        </is>
      </c>
      <c r="I15" s="36" t="inlineStr">
        <is>
          <t>P2</t>
        </is>
      </c>
      <c r="J15" s="36" t="inlineStr">
        <is>
          <t>Major</t>
        </is>
      </c>
      <c r="K15" s="36" t="inlineStr">
        <is>
          <t>Auto+Manual</t>
        </is>
      </c>
      <c r="L15" s="36" t="inlineStr">
        <is>
          <t>1d</t>
        </is>
      </c>
      <c r="M15" s="36" t="inlineStr">
        <is>
          <t>0%</t>
        </is>
      </c>
      <c r="N15" s="36" t="inlineStr">
        <is>
          <t>Manual — deferred</t>
        </is>
      </c>
      <c r="O15" s="64" t="n">
        <v>46159</v>
      </c>
      <c r="P15" s="36" t="inlineStr">
        <is>
          <t>A. Japanese language!row 18</t>
        </is>
      </c>
    </row>
    <row r="16">
      <c r="A16" s="36" t="n">
        <v>12</v>
      </c>
      <c r="B16" s="36" t="inlineStr">
        <is>
          <t>A-028</t>
        </is>
      </c>
      <c r="C16" s="36" t="inlineStr">
        <is>
          <t>A</t>
        </is>
      </c>
      <c r="D16" s="36" t="inlineStr">
        <is>
          <t>Vocabulary scope</t>
        </is>
      </c>
      <c r="E16" s="36" t="inlineStr">
        <is>
          <t>N5-scope vocab vs out-of-scope (N4+) contamination</t>
        </is>
      </c>
      <c r="F16" s="36" t="inlineStr">
        <is>
          <t>n/a — manual evaluation</t>
        </is>
      </c>
      <c r="G16" s="36" t="inlineStr">
        <is>
          <t>JA-99</t>
        </is>
      </c>
      <c r="H16" s="36" t="inlineStr">
        <is>
          <t>Native Japanese teacher</t>
        </is>
      </c>
      <c r="I16" s="36" t="inlineStr">
        <is>
          <t>P2</t>
        </is>
      </c>
      <c r="J16" s="36" t="inlineStr">
        <is>
          <t>Major</t>
        </is>
      </c>
      <c r="K16" s="36" t="inlineStr">
        <is>
          <t>Auto+Manual</t>
        </is>
      </c>
      <c r="L16" s="36" t="inlineStr">
        <is>
          <t>1d</t>
        </is>
      </c>
      <c r="M16" s="36" t="inlineStr">
        <is>
          <t>0%</t>
        </is>
      </c>
      <c r="N16" s="36" t="inlineStr">
        <is>
          <t>PASS</t>
        </is>
      </c>
      <c r="O16" s="64" t="n">
        <v>46159</v>
      </c>
      <c r="P16" s="36" t="inlineStr">
        <is>
          <t>A. Japanese language!row 32</t>
        </is>
      </c>
    </row>
    <row r="17" ht="29" customHeight="1" s="49">
      <c r="A17" s="36" t="n">
        <v>13</v>
      </c>
      <c r="B17" s="36" t="inlineStr">
        <is>
          <t>A-037</t>
        </is>
      </c>
      <c r="C17" s="36" t="inlineStr">
        <is>
          <t>A</t>
        </is>
      </c>
      <c r="D17" s="36" t="inlineStr">
        <is>
          <t>Register-variant schema</t>
        </is>
      </c>
      <c r="E17" s="36" t="inlineStr">
        <is>
          <t>common_mistakes entries marked `kind: "register_variant"` use form_a/form_b keys, not wrong/right</t>
        </is>
      </c>
      <c r="F17" s="36" t="inlineStr">
        <is>
          <t>tools/check_content_integrity.py (JA-64 + Phase-0 A57 in N5Improvement.txt)</t>
        </is>
      </c>
      <c r="G17" s="36" t="inlineStr">
        <is>
          <t>JA-64</t>
        </is>
      </c>
      <c r="H17" s="36" t="inlineStr">
        <is>
          <t>Data engineer</t>
        </is>
      </c>
      <c r="I17" s="36" t="inlineStr">
        <is>
          <t>P2</t>
        </is>
      </c>
      <c r="J17" s="36" t="inlineStr">
        <is>
          <t>Major</t>
        </is>
      </c>
      <c r="K17" s="36" t="inlineStr">
        <is>
          <t>Auto</t>
        </is>
      </c>
      <c r="L17" s="36" t="inlineStr">
        <is>
          <t>1h</t>
        </is>
      </c>
      <c r="M17" s="36" t="inlineStr">
        <is>
          <t>0%</t>
        </is>
      </c>
      <c r="N17" s="36" t="inlineStr">
        <is>
          <t>PASS</t>
        </is>
      </c>
      <c r="O17" s="64" t="n">
        <v>46159</v>
      </c>
      <c r="P17" s="36" t="inlineStr">
        <is>
          <t>A. Japanese language!row 41</t>
        </is>
      </c>
    </row>
    <row r="18" ht="29" customHeight="1" s="49">
      <c r="A18" s="36" t="n">
        <v>14</v>
      </c>
      <c r="B18" s="36" t="inlineStr">
        <is>
          <t>A-038</t>
        </is>
      </c>
      <c r="C18" s="36" t="inlineStr">
        <is>
          <t>A</t>
        </is>
      </c>
      <c r="D18" s="36" t="inlineStr">
        <is>
          <t>Template-nonsense vocab examples</t>
        </is>
      </c>
      <c r="E18" s="36" t="inlineStr">
        <is>
          <t>No vocab example uses bare `&lt;form&gt;が あります/います` template (JA-96)</t>
        </is>
      </c>
      <c r="F18" s="36" t="inlineStr">
        <is>
          <t>tools/check_content_integrity.py (JA-96)</t>
        </is>
      </c>
      <c r="G18" s="36" t="inlineStr">
        <is>
          <t>JA-96</t>
        </is>
      </c>
      <c r="H18" s="36" t="inlineStr">
        <is>
          <t>Data engineer</t>
        </is>
      </c>
      <c r="I18" s="36" t="inlineStr">
        <is>
          <t>P2</t>
        </is>
      </c>
      <c r="J18" s="36" t="inlineStr">
        <is>
          <t>Major</t>
        </is>
      </c>
      <c r="K18" s="36" t="inlineStr">
        <is>
          <t>Auto</t>
        </is>
      </c>
      <c r="L18" s="36" t="inlineStr">
        <is>
          <t>1h</t>
        </is>
      </c>
      <c r="M18" s="36" t="inlineStr">
        <is>
          <t>0%</t>
        </is>
      </c>
      <c r="N18" s="36" t="inlineStr">
        <is>
          <t>PASS</t>
        </is>
      </c>
      <c r="O18" s="64" t="n">
        <v>46159</v>
      </c>
      <c r="P18" s="36" t="inlineStr">
        <is>
          <t>A. Japanese language!row 42</t>
        </is>
      </c>
    </row>
    <row r="19" ht="29" customHeight="1" s="49">
      <c r="A19" s="36" t="n">
        <v>15</v>
      </c>
      <c r="B19" s="36" t="inlineStr">
        <is>
          <t>A-039</t>
        </is>
      </c>
      <c r="C19" s="36" t="inlineStr">
        <is>
          <t>A</t>
        </is>
      </c>
      <c r="D19" s="36" t="inlineStr">
        <is>
          <t>Verb transitivity coverage</t>
        </is>
      </c>
      <c r="E19" s="36" t="inlineStr">
        <is>
          <t>Every vocab verb (verb-1/verb-2/verb-3) has `transitivity` in {transitive, intransitive, contact} (JA-98)</t>
        </is>
      </c>
      <c r="F19" s="36" t="inlineStr">
        <is>
          <t>tools/check_content_integrity.py (JA-98) + manual JMdict cross-check</t>
        </is>
      </c>
      <c r="G19" s="36" t="inlineStr">
        <is>
          <t>JA-98</t>
        </is>
      </c>
      <c r="H19" s="36" t="inlineStr">
        <is>
          <t>Data engineer + native Japanese teacher</t>
        </is>
      </c>
      <c r="I19" s="36" t="inlineStr">
        <is>
          <t>P2</t>
        </is>
      </c>
      <c r="J19" s="36" t="inlineStr">
        <is>
          <t>Major</t>
        </is>
      </c>
      <c r="K19" s="36" t="inlineStr">
        <is>
          <t>Auto+Manual</t>
        </is>
      </c>
      <c r="L19" s="36" t="inlineStr">
        <is>
          <t>4h</t>
        </is>
      </c>
      <c r="M19" s="36" t="inlineStr">
        <is>
          <t>0%</t>
        </is>
      </c>
      <c r="N19" s="36" t="inlineStr">
        <is>
          <t>PASS</t>
        </is>
      </c>
      <c r="O19" s="64" t="n">
        <v>46159</v>
      </c>
      <c r="P19" s="36" t="inlineStr">
        <is>
          <t>A. Japanese language!row 43</t>
        </is>
      </c>
    </row>
    <row r="20" ht="29" customHeight="1" s="49">
      <c r="A20" s="36" t="n">
        <v>16</v>
      </c>
      <c r="B20" s="36" t="inlineStr">
        <is>
          <t>A-040</t>
        </is>
      </c>
      <c r="C20" s="36" t="inlineStr">
        <is>
          <t>A</t>
        </is>
      </c>
      <c r="D20" s="36" t="inlineStr">
        <is>
          <t>Scope discipline</t>
        </is>
      </c>
      <c r="E20" s="36" t="inlineStr">
        <is>
          <t>All kanji in vocab.form fields are in N5 whitelist OR explicit exception list (JA-99)</t>
        </is>
      </c>
      <c r="F20" s="36" t="inlineStr">
        <is>
          <t>tools/check_content_integrity.py (JA-99)</t>
        </is>
      </c>
      <c r="G20" s="36" t="inlineStr">
        <is>
          <t>JA-99</t>
        </is>
      </c>
      <c r="H20" s="36" t="inlineStr">
        <is>
          <t>Data engineer</t>
        </is>
      </c>
      <c r="I20" s="36" t="inlineStr">
        <is>
          <t>P2</t>
        </is>
      </c>
      <c r="J20" s="36" t="inlineStr">
        <is>
          <t>Major</t>
        </is>
      </c>
      <c r="K20" s="36" t="inlineStr">
        <is>
          <t>Auto</t>
        </is>
      </c>
      <c r="L20" s="36" t="inlineStr">
        <is>
          <t>1h</t>
        </is>
      </c>
      <c r="M20" s="36" t="inlineStr">
        <is>
          <t>0%</t>
        </is>
      </c>
      <c r="N20" s="36" t="inlineStr">
        <is>
          <t>PASS</t>
        </is>
      </c>
      <c r="O20" s="64" t="n">
        <v>46159</v>
      </c>
      <c r="P20" s="36" t="inlineStr">
        <is>
          <t>A. Japanese language!row 44</t>
        </is>
      </c>
    </row>
    <row r="21" ht="29" customHeight="1" s="49">
      <c r="A21" s="36" t="n">
        <v>17</v>
      </c>
      <c r="B21" s="36" t="inlineStr">
        <is>
          <t>I-017</t>
        </is>
      </c>
      <c r="C21" s="36" t="inlineStr">
        <is>
          <t>I</t>
        </is>
      </c>
      <c r="D21" s="36" t="inlineStr">
        <is>
          <t>Schema canonicalization</t>
        </is>
      </c>
      <c r="E21" s="36" t="inlineStr">
        <is>
          <t>vocab.json counter field is canonical (null OR {kanji, reading} dict); counter_register null (JA-97)</t>
        </is>
      </c>
      <c r="F21" s="36" t="inlineStr">
        <is>
          <t>tools/check_content_integrity.py (JA-97)</t>
        </is>
      </c>
      <c r="G21" s="36" t="inlineStr">
        <is>
          <t>JA-97</t>
        </is>
      </c>
      <c r="H21" s="36" t="inlineStr">
        <is>
          <t>Data engineer</t>
        </is>
      </c>
      <c r="I21" s="36" t="inlineStr">
        <is>
          <t>P2</t>
        </is>
      </c>
      <c r="J21" s="36" t="inlineStr">
        <is>
          <t>Major</t>
        </is>
      </c>
      <c r="K21" s="36" t="inlineStr">
        <is>
          <t>Auto</t>
        </is>
      </c>
      <c r="L21" s="36" t="inlineStr">
        <is>
          <t>1h</t>
        </is>
      </c>
      <c r="M21" s="36" t="inlineStr">
        <is>
          <t>0%</t>
        </is>
      </c>
      <c r="N21" s="36" t="inlineStr">
        <is>
          <t>PASS</t>
        </is>
      </c>
      <c r="O21" s="64" t="n">
        <v>46159</v>
      </c>
      <c r="P21" s="36" t="inlineStr">
        <is>
          <t>I. Data engineering!row 18</t>
        </is>
      </c>
    </row>
    <row r="22" ht="43.5" customHeight="1" s="49">
      <c r="A22" s="36" t="n">
        <v>18</v>
      </c>
      <c r="B22" s="36" t="inlineStr">
        <is>
          <t>I-018</t>
        </is>
      </c>
      <c r="C22" s="36" t="inlineStr">
        <is>
          <t>I</t>
        </is>
      </c>
      <c r="D22" s="36" t="inlineStr">
        <is>
          <t>Provenance disambiguation</t>
        </is>
      </c>
      <c r="E22" s="36" t="inlineStr">
        <is>
          <t>review_status from closed enum {ai_quality_reviewed, llm_curated, auto_generated, human_native_reviewed}; provenance field present (JA-35)</t>
        </is>
      </c>
      <c r="F22" s="36" t="inlineStr">
        <is>
          <t>tools/check_content_integrity.py (JA-35) + Phase-0 A58 (retired-value scan)</t>
        </is>
      </c>
      <c r="G22" s="36" t="inlineStr">
        <is>
          <t>JA-35</t>
        </is>
      </c>
      <c r="H22" s="36" t="inlineStr">
        <is>
          <t>Data engineer</t>
        </is>
      </c>
      <c r="I22" s="36" t="inlineStr">
        <is>
          <t>P2</t>
        </is>
      </c>
      <c r="J22" s="36" t="inlineStr">
        <is>
          <t>Major</t>
        </is>
      </c>
      <c r="K22" s="36" t="inlineStr">
        <is>
          <t>Auto</t>
        </is>
      </c>
      <c r="L22" s="36" t="inlineStr">
        <is>
          <t>1h</t>
        </is>
      </c>
      <c r="M22" s="36" t="inlineStr">
        <is>
          <t>0%</t>
        </is>
      </c>
      <c r="N22" s="36" t="inlineStr">
        <is>
          <t>PASS</t>
        </is>
      </c>
      <c r="O22" s="64" t="n">
        <v>46159</v>
      </c>
      <c r="P22" s="36" t="inlineStr">
        <is>
          <t>I. Data engineering!row 19</t>
        </is>
      </c>
    </row>
    <row r="23" ht="29" customHeight="1" s="49">
      <c r="A23" s="36" t="n">
        <v>19</v>
      </c>
      <c r="B23" s="36" t="inlineStr">
        <is>
          <t>I-020</t>
        </is>
      </c>
      <c r="C23" s="36" t="inlineStr">
        <is>
          <t>I</t>
        </is>
      </c>
      <c r="D23" s="36" t="inlineStr">
        <is>
          <t>Cross-file integrity</t>
        </is>
      </c>
      <c r="E23" s="36" t="inlineStr">
        <is>
          <t>kanji.json compound/example.form == linked vocab.form (strict; JA-100)</t>
        </is>
      </c>
      <c r="F23" s="36" t="inlineStr">
        <is>
          <t>tools/check_content_integrity.py (JA-100)</t>
        </is>
      </c>
      <c r="G23" s="36" t="inlineStr">
        <is>
          <t>JA-100</t>
        </is>
      </c>
      <c r="H23" s="36" t="inlineStr">
        <is>
          <t>Data engineer</t>
        </is>
      </c>
      <c r="I23" s="36" t="inlineStr">
        <is>
          <t>P2</t>
        </is>
      </c>
      <c r="J23" s="36" t="inlineStr">
        <is>
          <t>Major</t>
        </is>
      </c>
      <c r="K23" s="36" t="inlineStr">
        <is>
          <t>Auto</t>
        </is>
      </c>
      <c r="L23" s="36" t="inlineStr">
        <is>
          <t>1h</t>
        </is>
      </c>
      <c r="M23" s="36" t="inlineStr">
        <is>
          <t>0%</t>
        </is>
      </c>
      <c r="N23" s="36" t="inlineStr">
        <is>
          <t>PASS</t>
        </is>
      </c>
      <c r="O23" s="64" t="n">
        <v>46159</v>
      </c>
      <c r="P23" s="36" t="inlineStr">
        <is>
          <t>I. Data engineering!row 21</t>
        </is>
      </c>
    </row>
    <row r="24" ht="29" customHeight="1" s="49">
      <c r="A24" s="36" t="n">
        <v>20</v>
      </c>
      <c r="B24" s="36" t="inlineStr">
        <is>
          <t>K-016</t>
        </is>
      </c>
      <c r="C24" s="36" t="inlineStr">
        <is>
          <t>K</t>
        </is>
      </c>
      <c r="D24" s="36" t="inlineStr">
        <is>
          <t>Cross-artifact sync</t>
        </is>
      </c>
      <c r="E24" s="36" t="inlineStr">
        <is>
          <t>Version.json count drift detection (INV-4 / JA-107)</t>
        </is>
      </c>
      <c r="F24" s="36" t="inlineStr">
        <is>
          <t>tools/check_content_integrity.py, tools/cross_artifact_sync_report.py</t>
        </is>
      </c>
      <c r="G24" s="36" t="inlineStr">
        <is>
          <t>JA-107</t>
        </is>
      </c>
      <c r="H24" s="36" t="inlineStr">
        <is>
          <t>QA / build engineer</t>
        </is>
      </c>
      <c r="I24" s="36" t="inlineStr">
        <is>
          <t>P2</t>
        </is>
      </c>
      <c r="J24" s="36" t="inlineStr">
        <is>
          <t>Major</t>
        </is>
      </c>
      <c r="K24" s="36" t="inlineStr">
        <is>
          <t>Auto</t>
        </is>
      </c>
      <c r="L24" s="36" t="inlineStr">
        <is>
          <t>1h</t>
        </is>
      </c>
      <c r="M24" s="36" t="inlineStr">
        <is>
          <t>100%</t>
        </is>
      </c>
      <c r="N24" s="36" t="inlineStr">
        <is>
          <t>PASS</t>
        </is>
      </c>
      <c r="O24" s="64" t="n">
        <v>46159</v>
      </c>
      <c r="P24" s="36" t="inlineStr">
        <is>
          <t>K. QA testing!row 20</t>
        </is>
      </c>
    </row>
    <row r="25" ht="29" customHeight="1" s="49">
      <c r="A25" s="36" t="n">
        <v>21</v>
      </c>
      <c r="B25" s="36" t="inlineStr">
        <is>
          <t>K-017</t>
        </is>
      </c>
      <c r="C25" s="36" t="inlineStr">
        <is>
          <t>K</t>
        </is>
      </c>
      <c r="D25" s="36" t="inlineStr">
        <is>
          <t>Cross-artifact sync</t>
        </is>
      </c>
      <c r="E25" s="36" t="inlineStr">
        <is>
          <t>Locale-parity drift detection (INV-5 / JA-108)</t>
        </is>
      </c>
      <c r="F25" s="36" t="inlineStr">
        <is>
          <t>tools/check_content_integrity.py, tools/cross_artifact_sync_report.py</t>
        </is>
      </c>
      <c r="G25" s="36" t="inlineStr">
        <is>
          <t>JA-108</t>
        </is>
      </c>
      <c r="H25" s="36" t="inlineStr">
        <is>
          <t>QA / locale maintainer</t>
        </is>
      </c>
      <c r="I25" s="36" t="inlineStr">
        <is>
          <t>P2</t>
        </is>
      </c>
      <c r="J25" s="36" t="inlineStr">
        <is>
          <t>Major</t>
        </is>
      </c>
      <c r="K25" s="36" t="inlineStr">
        <is>
          <t>Auto</t>
        </is>
      </c>
      <c r="L25" s="36" t="inlineStr">
        <is>
          <t>1h</t>
        </is>
      </c>
      <c r="M25" s="36" t="inlineStr">
        <is>
          <t>100%</t>
        </is>
      </c>
      <c r="N25" s="36" t="inlineStr">
        <is>
          <t>PASS</t>
        </is>
      </c>
      <c r="O25" s="64" t="n">
        <v>46159</v>
      </c>
      <c r="P25" s="36" t="inlineStr">
        <is>
          <t>K. QA testing!row 21</t>
        </is>
      </c>
    </row>
    <row r="26" ht="29" customHeight="1" s="49">
      <c r="A26" s="36" t="n">
        <v>22</v>
      </c>
      <c r="B26" s="36" t="inlineStr">
        <is>
          <t>K-019</t>
        </is>
      </c>
      <c r="C26" s="36" t="inlineStr">
        <is>
          <t>K</t>
        </is>
      </c>
      <c r="D26" s="36" t="inlineStr">
        <is>
          <t>Phase-0 regression block</t>
        </is>
      </c>
      <c r="E26" s="36" t="inlineStr">
        <is>
          <t>N5Improvement Phase-0 regression block: Phase-0 Grammar (run mechanically over all 178 patterns)</t>
        </is>
      </c>
      <c r="F26" s="36" t="inlineStr">
        <is>
          <t>prompts/N5Improvement.txt; tools/check_content_integrity.py</t>
        </is>
      </c>
      <c r="G26" s="36" t="n"/>
      <c r="H26" s="36" t="inlineStr">
        <is>
          <t>Build engineer</t>
        </is>
      </c>
      <c r="I26" s="36" t="inlineStr">
        <is>
          <t>P2</t>
        </is>
      </c>
      <c r="J26" s="36" t="inlineStr">
        <is>
          <t>Major</t>
        </is>
      </c>
      <c r="K26" s="36" t="inlineStr">
        <is>
          <t>Auto</t>
        </is>
      </c>
      <c r="L26" s="36" t="inlineStr">
        <is>
          <t>10m</t>
        </is>
      </c>
      <c r="M26" s="36" t="inlineStr">
        <is>
          <t>100%</t>
        </is>
      </c>
      <c r="N26" s="36" t="inlineStr">
        <is>
          <t>PASS</t>
        </is>
      </c>
      <c r="O26" s="64" t="n">
        <v>46159</v>
      </c>
      <c r="P26" s="36" t="inlineStr">
        <is>
          <t>K. QA testing!row 23</t>
        </is>
      </c>
    </row>
    <row r="27" ht="29" customHeight="1" s="49">
      <c r="A27" s="36" t="n">
        <v>23</v>
      </c>
      <c r="B27" s="36" t="inlineStr">
        <is>
          <t>K-020</t>
        </is>
      </c>
      <c r="C27" s="36" t="inlineStr">
        <is>
          <t>K</t>
        </is>
      </c>
      <c r="D27" s="36" t="inlineStr">
        <is>
          <t>Phase-0 regression block</t>
        </is>
      </c>
      <c r="E27" s="36" t="inlineStr">
        <is>
          <t>N5Improvement Phase-0 regression block: Phase-0 Vocab (1009 entries)</t>
        </is>
      </c>
      <c r="F27" s="36" t="inlineStr">
        <is>
          <t>prompts/N5Improvement.txt; tools/check_content_integrity.py</t>
        </is>
      </c>
      <c r="G27" s="36" t="n"/>
      <c r="H27" s="36" t="inlineStr">
        <is>
          <t>Build engineer</t>
        </is>
      </c>
      <c r="I27" s="36" t="inlineStr">
        <is>
          <t>P2</t>
        </is>
      </c>
      <c r="J27" s="36" t="inlineStr">
        <is>
          <t>Major</t>
        </is>
      </c>
      <c r="K27" s="36" t="inlineStr">
        <is>
          <t>Auto</t>
        </is>
      </c>
      <c r="L27" s="36" t="inlineStr">
        <is>
          <t>10m</t>
        </is>
      </c>
      <c r="M27" s="36" t="inlineStr">
        <is>
          <t>100%</t>
        </is>
      </c>
      <c r="N27" s="36" t="inlineStr">
        <is>
          <t>PASS</t>
        </is>
      </c>
      <c r="O27" s="64" t="n">
        <v>46159</v>
      </c>
      <c r="P27" s="36" t="inlineStr">
        <is>
          <t>K. QA testing!row 24</t>
        </is>
      </c>
    </row>
    <row r="28" ht="29" customHeight="1" s="49">
      <c r="A28" s="36" t="n">
        <v>24</v>
      </c>
      <c r="B28" s="36" t="inlineStr">
        <is>
          <t>K-021</t>
        </is>
      </c>
      <c r="C28" s="36" t="inlineStr">
        <is>
          <t>K</t>
        </is>
      </c>
      <c r="D28" s="36" t="inlineStr">
        <is>
          <t>Phase-0 regression block</t>
        </is>
      </c>
      <c r="E28" s="36" t="inlineStr">
        <is>
          <t>N5Improvement Phase-0 regression block: Phase-0 Kanji (106 entries)</t>
        </is>
      </c>
      <c r="F28" s="36" t="inlineStr">
        <is>
          <t>prompts/N5Improvement.txt; tools/check_content_integrity.py</t>
        </is>
      </c>
      <c r="G28" s="36" t="n"/>
      <c r="H28" s="36" t="inlineStr">
        <is>
          <t>Build engineer</t>
        </is>
      </c>
      <c r="I28" s="36" t="inlineStr">
        <is>
          <t>P2</t>
        </is>
      </c>
      <c r="J28" s="36" t="inlineStr">
        <is>
          <t>Major</t>
        </is>
      </c>
      <c r="K28" s="36" t="inlineStr">
        <is>
          <t>Auto</t>
        </is>
      </c>
      <c r="L28" s="36" t="inlineStr">
        <is>
          <t>10m</t>
        </is>
      </c>
      <c r="M28" s="36" t="inlineStr">
        <is>
          <t>100%</t>
        </is>
      </c>
      <c r="N28" s="36" t="inlineStr">
        <is>
          <t>PASS</t>
        </is>
      </c>
      <c r="O28" s="64" t="n">
        <v>46159</v>
      </c>
      <c r="P28" s="36" t="inlineStr">
        <is>
          <t>K. QA testing!row 25</t>
        </is>
      </c>
    </row>
    <row r="29" ht="29" customHeight="1" s="49">
      <c r="A29" s="36" t="n">
        <v>25</v>
      </c>
      <c r="B29" s="36" t="inlineStr">
        <is>
          <t>K-022</t>
        </is>
      </c>
      <c r="C29" s="36" t="inlineStr">
        <is>
          <t>K</t>
        </is>
      </c>
      <c r="D29" s="36" t="inlineStr">
        <is>
          <t>Phase-0 regression block</t>
        </is>
      </c>
      <c r="E29" s="36" t="inlineStr">
        <is>
          <t>N5Improvement Phase-0 regression block: Phase-0 Reading (54 passages)</t>
        </is>
      </c>
      <c r="F29" s="36" t="inlineStr">
        <is>
          <t>prompts/N5Improvement.txt; tools/check_content_integrity.py</t>
        </is>
      </c>
      <c r="G29" s="36" t="n"/>
      <c r="H29" s="36" t="inlineStr">
        <is>
          <t>Build engineer</t>
        </is>
      </c>
      <c r="I29" s="36" t="inlineStr">
        <is>
          <t>P2</t>
        </is>
      </c>
      <c r="J29" s="36" t="inlineStr">
        <is>
          <t>Major</t>
        </is>
      </c>
      <c r="K29" s="36" t="inlineStr">
        <is>
          <t>Auto</t>
        </is>
      </c>
      <c r="L29" s="36" t="inlineStr">
        <is>
          <t>10m</t>
        </is>
      </c>
      <c r="M29" s="36" t="inlineStr">
        <is>
          <t>100%</t>
        </is>
      </c>
      <c r="N29" s="36" t="inlineStr">
        <is>
          <t>PASS</t>
        </is>
      </c>
      <c r="O29" s="64" t="n">
        <v>46159</v>
      </c>
      <c r="P29" s="36" t="inlineStr">
        <is>
          <t>K. QA testing!row 26</t>
        </is>
      </c>
    </row>
    <row r="30" ht="29" customHeight="1" s="49">
      <c r="A30" s="36" t="n">
        <v>26</v>
      </c>
      <c r="B30" s="36" t="inlineStr">
        <is>
          <t>K-023</t>
        </is>
      </c>
      <c r="C30" s="36" t="inlineStr">
        <is>
          <t>K</t>
        </is>
      </c>
      <c r="D30" s="36" t="inlineStr">
        <is>
          <t>Phase-0 regression block</t>
        </is>
      </c>
      <c r="E30" s="36" t="inlineStr">
        <is>
          <t>N5Improvement Phase-0 regression block: Phase-0 Listening (50 items)</t>
        </is>
      </c>
      <c r="F30" s="36" t="inlineStr">
        <is>
          <t>prompts/N5Improvement.txt; tools/check_content_integrity.py</t>
        </is>
      </c>
      <c r="G30" s="36" t="n"/>
      <c r="H30" s="36" t="inlineStr">
        <is>
          <t>Build engineer</t>
        </is>
      </c>
      <c r="I30" s="36" t="inlineStr">
        <is>
          <t>P2</t>
        </is>
      </c>
      <c r="J30" s="36" t="inlineStr">
        <is>
          <t>Major</t>
        </is>
      </c>
      <c r="K30" s="36" t="inlineStr">
        <is>
          <t>Auto</t>
        </is>
      </c>
      <c r="L30" s="36" t="inlineStr">
        <is>
          <t>10m</t>
        </is>
      </c>
      <c r="M30" s="36" t="inlineStr">
        <is>
          <t>100%</t>
        </is>
      </c>
      <c r="N30" s="36" t="inlineStr">
        <is>
          <t>PASS</t>
        </is>
      </c>
      <c r="O30" s="64" t="n">
        <v>46159</v>
      </c>
      <c r="P30" s="36" t="inlineStr">
        <is>
          <t>K. QA testing!row 27</t>
        </is>
      </c>
    </row>
    <row r="31" ht="29" customHeight="1" s="49">
      <c r="A31" s="36" t="n">
        <v>27</v>
      </c>
      <c r="B31" s="36" t="inlineStr">
        <is>
          <t>K-024</t>
        </is>
      </c>
      <c r="C31" s="36" t="inlineStr">
        <is>
          <t>K</t>
        </is>
      </c>
      <c r="D31" s="36" t="inlineStr">
        <is>
          <t>Phase-0 regression block</t>
        </is>
      </c>
      <c r="E31" s="36" t="inlineStr">
        <is>
          <t>N5Improvement Phase-0 regression block: Phase-0 Density (interconnection — Sections 4 / Density-1..10)</t>
        </is>
      </c>
      <c r="F31" s="36" t="inlineStr">
        <is>
          <t>prompts/N5Improvement.txt; tools/check_content_integrity.py</t>
        </is>
      </c>
      <c r="G31" s="36" t="n"/>
      <c r="H31" s="36" t="inlineStr">
        <is>
          <t>Build engineer</t>
        </is>
      </c>
      <c r="I31" s="36" t="inlineStr">
        <is>
          <t>P2</t>
        </is>
      </c>
      <c r="J31" s="36" t="inlineStr">
        <is>
          <t>Major</t>
        </is>
      </c>
      <c r="K31" s="36" t="inlineStr">
        <is>
          <t>Auto</t>
        </is>
      </c>
      <c r="L31" s="36" t="inlineStr">
        <is>
          <t>10m</t>
        </is>
      </c>
      <c r="M31" s="36" t="inlineStr">
        <is>
          <t>100%</t>
        </is>
      </c>
      <c r="N31" s="36" t="inlineStr">
        <is>
          <t>PASS</t>
        </is>
      </c>
      <c r="O31" s="64" t="n">
        <v>46159</v>
      </c>
      <c r="P31" s="36" t="inlineStr">
        <is>
          <t>K. QA testing!row 28</t>
        </is>
      </c>
    </row>
    <row r="32" ht="29" customHeight="1" s="49">
      <c r="A32" s="36" t="n">
        <v>28</v>
      </c>
      <c r="B32" s="36" t="inlineStr">
        <is>
          <t>K-025</t>
        </is>
      </c>
      <c r="C32" s="36" t="inlineStr">
        <is>
          <t>K</t>
        </is>
      </c>
      <c r="D32" s="36" t="inlineStr">
        <is>
          <t>Phase-0 regression block</t>
        </is>
      </c>
      <c r="E32" s="36" t="inlineStr">
        <is>
          <t>N5Improvement Phase-0 regression block: Phase-0 Kanji content gaps (added 2026-05-15)</t>
        </is>
      </c>
      <c r="F32" s="36" t="inlineStr">
        <is>
          <t>prompts/N5Improvement.txt; tools/check_content_integrity.py</t>
        </is>
      </c>
      <c r="G32" s="36" t="n"/>
      <c r="H32" s="36" t="inlineStr">
        <is>
          <t>Build engineer</t>
        </is>
      </c>
      <c r="I32" s="36" t="inlineStr">
        <is>
          <t>P2</t>
        </is>
      </c>
      <c r="J32" s="36" t="inlineStr">
        <is>
          <t>Major</t>
        </is>
      </c>
      <c r="K32" s="36" t="inlineStr">
        <is>
          <t>Auto</t>
        </is>
      </c>
      <c r="L32" s="36" t="inlineStr">
        <is>
          <t>10m</t>
        </is>
      </c>
      <c r="M32" s="36" t="inlineStr">
        <is>
          <t>100%</t>
        </is>
      </c>
      <c r="N32" s="36" t="inlineStr">
        <is>
          <t>PASS</t>
        </is>
      </c>
      <c r="O32" s="64" t="n">
        <v>46159</v>
      </c>
      <c r="P32" s="36" t="inlineStr">
        <is>
          <t>K. QA testing!row 29</t>
        </is>
      </c>
    </row>
    <row r="33" ht="29" customHeight="1" s="49">
      <c r="A33" s="36" t="n">
        <v>29</v>
      </c>
      <c r="B33" s="36" t="inlineStr">
        <is>
          <t>K-026</t>
        </is>
      </c>
      <c r="C33" s="36" t="inlineStr">
        <is>
          <t>K</t>
        </is>
      </c>
      <c r="D33" s="36" t="inlineStr">
        <is>
          <t>Phase-0 regression block</t>
        </is>
      </c>
      <c r="E33" s="36" t="inlineStr">
        <is>
          <t>N5Improvement Phase-0 regression block: Phase-0 Dokkai / reading locale parity (added 2026-05-15)</t>
        </is>
      </c>
      <c r="F33" s="36" t="inlineStr">
        <is>
          <t>prompts/N5Improvement.txt; tools/check_content_integrity.py</t>
        </is>
      </c>
      <c r="G33" s="36" t="n"/>
      <c r="H33" s="36" t="inlineStr">
        <is>
          <t>Build engineer</t>
        </is>
      </c>
      <c r="I33" s="36" t="inlineStr">
        <is>
          <t>P2</t>
        </is>
      </c>
      <c r="J33" s="36" t="inlineStr">
        <is>
          <t>Major</t>
        </is>
      </c>
      <c r="K33" s="36" t="inlineStr">
        <is>
          <t>Auto</t>
        </is>
      </c>
      <c r="L33" s="36" t="inlineStr">
        <is>
          <t>10m</t>
        </is>
      </c>
      <c r="M33" s="36" t="inlineStr">
        <is>
          <t>100%</t>
        </is>
      </c>
      <c r="N33" s="36" t="inlineStr">
        <is>
          <t>PASS</t>
        </is>
      </c>
      <c r="O33" s="64" t="n">
        <v>46159</v>
      </c>
      <c r="P33" s="36" t="inlineStr">
        <is>
          <t>K. QA testing!row 30</t>
        </is>
      </c>
    </row>
    <row r="34" ht="29" customHeight="1" s="49">
      <c r="A34" s="36" t="n">
        <v>30</v>
      </c>
      <c r="B34" s="36" t="inlineStr">
        <is>
          <t>K-027</t>
        </is>
      </c>
      <c r="C34" s="36" t="inlineStr">
        <is>
          <t>K</t>
        </is>
      </c>
      <c r="D34" s="36" t="inlineStr">
        <is>
          <t>Phase-0 regression block</t>
        </is>
      </c>
      <c r="E34" s="36" t="inlineStr">
        <is>
          <t>N5Improvement Phase-0 regression block: Phase-0 Authentic + Questions locale (added 2026-05-15)</t>
        </is>
      </c>
      <c r="F34" s="36" t="inlineStr">
        <is>
          <t>prompts/N5Improvement.txt; tools/check_content_integrity.py</t>
        </is>
      </c>
      <c r="G34" s="36" t="n"/>
      <c r="H34" s="36" t="inlineStr">
        <is>
          <t>Build engineer</t>
        </is>
      </c>
      <c r="I34" s="36" t="inlineStr">
        <is>
          <t>P2</t>
        </is>
      </c>
      <c r="J34" s="36" t="inlineStr">
        <is>
          <t>Major</t>
        </is>
      </c>
      <c r="K34" s="36" t="inlineStr">
        <is>
          <t>Auto</t>
        </is>
      </c>
      <c r="L34" s="36" t="inlineStr">
        <is>
          <t>10m</t>
        </is>
      </c>
      <c r="M34" s="36" t="inlineStr">
        <is>
          <t>100%</t>
        </is>
      </c>
      <c r="N34" s="36" t="inlineStr">
        <is>
          <t>PASS</t>
        </is>
      </c>
      <c r="O34" s="64" t="n">
        <v>46159</v>
      </c>
      <c r="P34" s="36" t="inlineStr">
        <is>
          <t>K. QA testing!row 31</t>
        </is>
      </c>
    </row>
    <row r="35" ht="29" customHeight="1" s="49">
      <c r="A35" s="36" t="n">
        <v>31</v>
      </c>
      <c r="B35" s="36" t="inlineStr">
        <is>
          <t>K-028</t>
        </is>
      </c>
      <c r="C35" s="36" t="inlineStr">
        <is>
          <t>K</t>
        </is>
      </c>
      <c r="D35" s="36" t="inlineStr">
        <is>
          <t>Phase-0 regression block</t>
        </is>
      </c>
      <c r="E35" s="36" t="inlineStr">
        <is>
          <t>N5Improvement Phase-0 regression block: Phase-0 Cross-corpus consistency (added 2026-05-15 wave-1)</t>
        </is>
      </c>
      <c r="F35" s="36" t="inlineStr">
        <is>
          <t>prompts/N5Improvement.txt; tools/check_content_integrity.py</t>
        </is>
      </c>
      <c r="G35" s="36" t="n"/>
      <c r="H35" s="36" t="inlineStr">
        <is>
          <t>Build engineer</t>
        </is>
      </c>
      <c r="I35" s="36" t="inlineStr">
        <is>
          <t>P2</t>
        </is>
      </c>
      <c r="J35" s="36" t="inlineStr">
        <is>
          <t>Major</t>
        </is>
      </c>
      <c r="K35" s="36" t="inlineStr">
        <is>
          <t>Auto</t>
        </is>
      </c>
      <c r="L35" s="36" t="inlineStr">
        <is>
          <t>10m</t>
        </is>
      </c>
      <c r="M35" s="36" t="inlineStr">
        <is>
          <t>100%</t>
        </is>
      </c>
      <c r="N35" s="36" t="inlineStr">
        <is>
          <t>PASS</t>
        </is>
      </c>
      <c r="O35" s="64" t="n">
        <v>46159</v>
      </c>
      <c r="P35" s="36" t="inlineStr">
        <is>
          <t>K. QA testing!row 32</t>
        </is>
      </c>
    </row>
    <row r="36" ht="29" customHeight="1" s="49">
      <c r="A36" s="36" t="n">
        <v>32</v>
      </c>
      <c r="B36" s="36" t="inlineStr">
        <is>
          <t>K-029</t>
        </is>
      </c>
      <c r="C36" s="36" t="inlineStr">
        <is>
          <t>K</t>
        </is>
      </c>
      <c r="D36" s="36" t="inlineStr">
        <is>
          <t>Phase-0 regression block</t>
        </is>
      </c>
      <c r="E36" s="36" t="inlineStr">
        <is>
          <t>N5Improvement Phase-0 regression block: Phase-0 Particle-precision L2-error scan (added 2026-05-15 wave-2)</t>
        </is>
      </c>
      <c r="F36" s="36" t="inlineStr">
        <is>
          <t>prompts/N5Improvement.txt; tools/check_content_integrity.py</t>
        </is>
      </c>
      <c r="G36" s="36" t="n"/>
      <c r="H36" s="36" t="inlineStr">
        <is>
          <t>Build engineer</t>
        </is>
      </c>
      <c r="I36" s="36" t="inlineStr">
        <is>
          <t>P2</t>
        </is>
      </c>
      <c r="J36" s="36" t="inlineStr">
        <is>
          <t>Major</t>
        </is>
      </c>
      <c r="K36" s="36" t="inlineStr">
        <is>
          <t>Auto</t>
        </is>
      </c>
      <c r="L36" s="36" t="inlineStr">
        <is>
          <t>10m</t>
        </is>
      </c>
      <c r="M36" s="36" t="inlineStr">
        <is>
          <t>100%</t>
        </is>
      </c>
      <c r="N36" s="36" t="inlineStr">
        <is>
          <t>PASS</t>
        </is>
      </c>
      <c r="O36" s="64" t="n">
        <v>46159</v>
      </c>
      <c r="P36" s="36" t="inlineStr">
        <is>
          <t>K. QA testing!row 33</t>
        </is>
      </c>
    </row>
    <row r="37" ht="29" customHeight="1" s="49">
      <c r="A37" s="36" t="n">
        <v>33</v>
      </c>
      <c r="B37" s="36" t="inlineStr">
        <is>
          <t>K-030</t>
        </is>
      </c>
      <c r="C37" s="36" t="inlineStr">
        <is>
          <t>K</t>
        </is>
      </c>
      <c r="D37" s="36" t="inlineStr">
        <is>
          <t>Phase-0 regression block</t>
        </is>
      </c>
      <c r="E37" s="36" t="inlineStr">
        <is>
          <t>N5Improvement Phase-0 regression block: Phase-0 Audit-doc writing-discipline scan (added 2026-05-15)</t>
        </is>
      </c>
      <c r="F37" s="36" t="inlineStr">
        <is>
          <t>prompts/N5Improvement.txt; tools/check_content_integrity.py</t>
        </is>
      </c>
      <c r="G37" s="36" t="n"/>
      <c r="H37" s="36" t="inlineStr">
        <is>
          <t>Build engineer</t>
        </is>
      </c>
      <c r="I37" s="36" t="inlineStr">
        <is>
          <t>P2</t>
        </is>
      </c>
      <c r="J37" s="36" t="inlineStr">
        <is>
          <t>Major</t>
        </is>
      </c>
      <c r="K37" s="36" t="inlineStr">
        <is>
          <t>Auto</t>
        </is>
      </c>
      <c r="L37" s="36" t="inlineStr">
        <is>
          <t>10m</t>
        </is>
      </c>
      <c r="M37" s="36" t="inlineStr">
        <is>
          <t>100%</t>
        </is>
      </c>
      <c r="N37" s="36" t="inlineStr">
        <is>
          <t>PASS</t>
        </is>
      </c>
      <c r="O37" s="64" t="n">
        <v>46159</v>
      </c>
      <c r="P37" s="36" t="inlineStr">
        <is>
          <t>K. QA testing!row 34</t>
        </is>
      </c>
    </row>
    <row r="38" ht="29" customHeight="1" s="49">
      <c r="A38" s="36" t="n">
        <v>34</v>
      </c>
      <c r="B38" s="36" t="inlineStr">
        <is>
          <t>K-031</t>
        </is>
      </c>
      <c r="C38" s="36" t="inlineStr">
        <is>
          <t>K</t>
        </is>
      </c>
      <c r="D38" s="36" t="inlineStr">
        <is>
          <t>Phase-0 regression block</t>
        </is>
      </c>
      <c r="E38" s="36" t="inlineStr">
        <is>
          <t>N5Improvement Phase-0 regression block: Phase-0 Native-teacher bug-class regression block (added 2026-05-16)</t>
        </is>
      </c>
      <c r="F38" s="36" t="inlineStr">
        <is>
          <t>prompts/N5Improvement.txt; tools/check_content_integrity.py</t>
        </is>
      </c>
      <c r="G38" s="36" t="n"/>
      <c r="H38" s="36" t="inlineStr">
        <is>
          <t>Build engineer</t>
        </is>
      </c>
      <c r="I38" s="36" t="inlineStr">
        <is>
          <t>P2</t>
        </is>
      </c>
      <c r="J38" s="36" t="inlineStr">
        <is>
          <t>Major</t>
        </is>
      </c>
      <c r="K38" s="36" t="inlineStr">
        <is>
          <t>Auto</t>
        </is>
      </c>
      <c r="L38" s="36" t="inlineStr">
        <is>
          <t>10m</t>
        </is>
      </c>
      <c r="M38" s="36" t="inlineStr">
        <is>
          <t>100%</t>
        </is>
      </c>
      <c r="N38" s="36" t="inlineStr">
        <is>
          <t>PASS</t>
        </is>
      </c>
      <c r="O38" s="64" t="n">
        <v>46159</v>
      </c>
      <c r="P38" s="36" t="inlineStr">
        <is>
          <t>K. QA testing!row 35</t>
        </is>
      </c>
    </row>
    <row r="39" ht="29" customHeight="1" s="49">
      <c r="A39" s="36" t="n">
        <v>35</v>
      </c>
      <c r="B39" s="36" t="inlineStr">
        <is>
          <t>K-032</t>
        </is>
      </c>
      <c r="C39" s="36" t="inlineStr">
        <is>
          <t>K</t>
        </is>
      </c>
      <c r="D39" s="36" t="inlineStr">
        <is>
          <t>Phase-0 regression block</t>
        </is>
      </c>
      <c r="E39" s="36" t="inlineStr">
        <is>
          <t>N5Improvement Phase-0 regression block: Phase-0 Provenance-label disambiguation regression block (added 2026-05-16)</t>
        </is>
      </c>
      <c r="F39" s="36" t="inlineStr">
        <is>
          <t>prompts/N5Improvement.txt; tools/check_content_integrity.py</t>
        </is>
      </c>
      <c r="G39" s="36" t="n"/>
      <c r="H39" s="36" t="inlineStr">
        <is>
          <t>Build engineer</t>
        </is>
      </c>
      <c r="I39" s="36" t="inlineStr">
        <is>
          <t>P2</t>
        </is>
      </c>
      <c r="J39" s="36" t="inlineStr">
        <is>
          <t>Major</t>
        </is>
      </c>
      <c r="K39" s="36" t="inlineStr">
        <is>
          <t>Auto</t>
        </is>
      </c>
      <c r="L39" s="36" t="inlineStr">
        <is>
          <t>10m</t>
        </is>
      </c>
      <c r="M39" s="36" t="inlineStr">
        <is>
          <t>100%</t>
        </is>
      </c>
      <c r="N39" s="36" t="inlineStr">
        <is>
          <t>PASS</t>
        </is>
      </c>
      <c r="O39" s="64" t="n">
        <v>46159</v>
      </c>
      <c r="P39" s="36" t="inlineStr">
        <is>
          <t>K. QA testing!row 36</t>
        </is>
      </c>
    </row>
    <row r="40" ht="29" customHeight="1" s="49">
      <c r="A40" s="36" t="n">
        <v>36</v>
      </c>
      <c r="B40" s="36" t="inlineStr">
        <is>
          <t>K-033</t>
        </is>
      </c>
      <c r="C40" s="36" t="inlineStr">
        <is>
          <t>K</t>
        </is>
      </c>
      <c r="D40" s="36" t="inlineStr">
        <is>
          <t>Phase-0 regression block</t>
        </is>
      </c>
      <c r="E40" s="36" t="inlineStr">
        <is>
          <t>N5Improvement Phase-0 regression block: Phase-0 Register-variant kind-flag regression block (added 2026-05-16)</t>
        </is>
      </c>
      <c r="F40" s="36" t="inlineStr">
        <is>
          <t>prompts/N5Improvement.txt; tools/check_content_integrity.py</t>
        </is>
      </c>
      <c r="G40" s="36" t="n"/>
      <c r="H40" s="36" t="inlineStr">
        <is>
          <t>Build engineer</t>
        </is>
      </c>
      <c r="I40" s="36" t="inlineStr">
        <is>
          <t>P2</t>
        </is>
      </c>
      <c r="J40" s="36" t="inlineStr">
        <is>
          <t>Major</t>
        </is>
      </c>
      <c r="K40" s="36" t="inlineStr">
        <is>
          <t>Auto</t>
        </is>
      </c>
      <c r="L40" s="36" t="inlineStr">
        <is>
          <t>10m</t>
        </is>
      </c>
      <c r="M40" s="36" t="inlineStr">
        <is>
          <t>100%</t>
        </is>
      </c>
      <c r="N40" s="36" t="inlineStr">
        <is>
          <t>PASS</t>
        </is>
      </c>
      <c r="O40" s="64" t="n">
        <v>46159</v>
      </c>
      <c r="P40" s="36" t="inlineStr">
        <is>
          <t>K. QA testing!row 37</t>
        </is>
      </c>
    </row>
    <row r="41" ht="29" customHeight="1" s="49">
      <c r="A41" s="36" t="n">
        <v>37</v>
      </c>
      <c r="B41" s="36" t="inlineStr">
        <is>
          <t>K-034</t>
        </is>
      </c>
      <c r="C41" s="36" t="inlineStr">
        <is>
          <t>K</t>
        </is>
      </c>
      <c r="D41" s="36" t="inlineStr">
        <is>
          <t>Phase-0 regression block</t>
        </is>
      </c>
      <c r="E41" s="36" t="inlineStr">
        <is>
          <t>N5Improvement Phase-0 regression block: Phase-0 Static-mirror coverage regression block (added 2026-05-16)</t>
        </is>
      </c>
      <c r="F41" s="36" t="inlineStr">
        <is>
          <t>prompts/N5Improvement.txt; tools/check_content_integrity.py</t>
        </is>
      </c>
      <c r="G41" s="36" t="n"/>
      <c r="H41" s="36" t="inlineStr">
        <is>
          <t>Build engineer</t>
        </is>
      </c>
      <c r="I41" s="36" t="inlineStr">
        <is>
          <t>P2</t>
        </is>
      </c>
      <c r="J41" s="36" t="inlineStr">
        <is>
          <t>Major</t>
        </is>
      </c>
      <c r="K41" s="36" t="inlineStr">
        <is>
          <t>Auto</t>
        </is>
      </c>
      <c r="L41" s="36" t="inlineStr">
        <is>
          <t>10m</t>
        </is>
      </c>
      <c r="M41" s="36" t="inlineStr">
        <is>
          <t>100%</t>
        </is>
      </c>
      <c r="N41" s="36" t="inlineStr">
        <is>
          <t>PASS</t>
        </is>
      </c>
      <c r="O41" s="64" t="n">
        <v>46159</v>
      </c>
      <c r="P41" s="36" t="inlineStr">
        <is>
          <t>K. QA testing!row 38</t>
        </is>
      </c>
    </row>
    <row r="42" ht="29" customHeight="1" s="49">
      <c r="A42" s="36" t="n">
        <v>38</v>
      </c>
      <c r="B42" s="36" t="inlineStr">
        <is>
          <t>K-035</t>
        </is>
      </c>
      <c r="C42" s="36" t="inlineStr">
        <is>
          <t>K</t>
        </is>
      </c>
      <c r="D42" s="36" t="inlineStr">
        <is>
          <t>Phase-0 regression block</t>
        </is>
      </c>
      <c r="E42" s="36" t="inlineStr">
        <is>
          <t>N5Improvement Phase-0 regression block: Phase-0 Reading.json batch-drift regression block (added 2026-05-17)</t>
        </is>
      </c>
      <c r="F42" s="36" t="inlineStr">
        <is>
          <t>prompts/N5Improvement.txt; tools/check_content_integrity.py</t>
        </is>
      </c>
      <c r="G42" s="36" t="n"/>
      <c r="H42" s="36" t="inlineStr">
        <is>
          <t>Build engineer</t>
        </is>
      </c>
      <c r="I42" s="36" t="inlineStr">
        <is>
          <t>P2</t>
        </is>
      </c>
      <c r="J42" s="36" t="inlineStr">
        <is>
          <t>Major</t>
        </is>
      </c>
      <c r="K42" s="36" t="inlineStr">
        <is>
          <t>Auto</t>
        </is>
      </c>
      <c r="L42" s="36" t="inlineStr">
        <is>
          <t>10m</t>
        </is>
      </c>
      <c r="M42" s="36" t="inlineStr">
        <is>
          <t>100%</t>
        </is>
      </c>
      <c r="N42" s="36" t="inlineStr">
        <is>
          <t>PASS</t>
        </is>
      </c>
      <c r="O42" s="64" t="n">
        <v>46159</v>
      </c>
      <c r="P42" s="36" t="inlineStr">
        <is>
          <t>K. QA testing!row 39</t>
        </is>
      </c>
    </row>
    <row r="43" ht="29" customHeight="1" s="49">
      <c r="A43" s="36" t="n">
        <v>39</v>
      </c>
      <c r="B43" s="36" t="inlineStr">
        <is>
          <t>K-036</t>
        </is>
      </c>
      <c r="C43" s="36" t="inlineStr">
        <is>
          <t>K</t>
        </is>
      </c>
      <c r="D43" s="36" t="inlineStr">
        <is>
          <t>Phase-0 regression block</t>
        </is>
      </c>
      <c r="E43" s="36" t="inlineStr">
        <is>
          <t>N5Improvement Phase-0 regression block: Phase-0 Listening.json migration-drift regression block (added 2026-05-17)</t>
        </is>
      </c>
      <c r="F43" s="36" t="inlineStr">
        <is>
          <t>prompts/N5Improvement.txt; tools/check_content_integrity.py</t>
        </is>
      </c>
      <c r="G43" s="36" t="n"/>
      <c r="H43" s="36" t="inlineStr">
        <is>
          <t>Build engineer</t>
        </is>
      </c>
      <c r="I43" s="36" t="inlineStr">
        <is>
          <t>P2</t>
        </is>
      </c>
      <c r="J43" s="36" t="inlineStr">
        <is>
          <t>Major</t>
        </is>
      </c>
      <c r="K43" s="36" t="inlineStr">
        <is>
          <t>Auto</t>
        </is>
      </c>
      <c r="L43" s="36" t="inlineStr">
        <is>
          <t>10m</t>
        </is>
      </c>
      <c r="M43" s="36" t="inlineStr">
        <is>
          <t>100%</t>
        </is>
      </c>
      <c r="N43" s="36" t="inlineStr">
        <is>
          <t>PASS</t>
        </is>
      </c>
      <c r="O43" s="64" t="n">
        <v>46159</v>
      </c>
      <c r="P43" s="36" t="inlineStr">
        <is>
          <t>K. QA testing!row 40</t>
        </is>
      </c>
    </row>
    <row r="44">
      <c r="A44" s="37" t="n">
        <v>40</v>
      </c>
      <c r="B44" s="37" t="inlineStr">
        <is>
          <t>A-018</t>
        </is>
      </c>
      <c r="C44" s="37" t="inlineStr">
        <is>
          <t>A</t>
        </is>
      </c>
      <c r="D44" s="37" t="inlineStr">
        <is>
          <t>Kanji</t>
        </is>
      </c>
      <c r="E44" s="37" t="inlineStr">
        <is>
          <t>Stroke-count vs stroke-order data accuracy</t>
        </is>
      </c>
      <c r="F44" s="37" t="inlineStr">
        <is>
          <t>n/a — manual evaluation</t>
        </is>
      </c>
      <c r="G44" s="37" t="n"/>
      <c r="H44" s="37" t="inlineStr">
        <is>
          <t>Native Japanese teacher</t>
        </is>
      </c>
      <c r="I44" s="37" t="inlineStr">
        <is>
          <t>P3</t>
        </is>
      </c>
      <c r="J44" s="37" t="inlineStr">
        <is>
          <t>Major</t>
        </is>
      </c>
      <c r="K44" s="37" t="inlineStr">
        <is>
          <t>Auto</t>
        </is>
      </c>
      <c r="L44" s="37" t="inlineStr">
        <is>
          <t>1h</t>
        </is>
      </c>
      <c r="M44" s="37" t="inlineStr">
        <is>
          <t>0%</t>
        </is>
      </c>
      <c r="N44" s="37" t="inlineStr">
        <is>
          <t>Manual — deferred</t>
        </is>
      </c>
      <c r="O44" s="65" t="n">
        <v>46159</v>
      </c>
      <c r="P44" s="37" t="inlineStr">
        <is>
          <t>A. Japanese language!row 22</t>
        </is>
      </c>
    </row>
    <row r="45" ht="29" customHeight="1" s="49">
      <c r="A45" s="37" t="n">
        <v>41</v>
      </c>
      <c r="B45" s="37" t="inlineStr">
        <is>
          <t>A-032</t>
        </is>
      </c>
      <c r="C45" s="37" t="inlineStr">
        <is>
          <t>A</t>
        </is>
      </c>
      <c r="D45" s="37" t="inlineStr">
        <is>
          <t>Cross-pattern contamination</t>
        </is>
      </c>
      <c r="E45" s="37" t="inlineStr">
        <is>
          <t>Cross-pattern explanation_en uniqueness (Levenshtein) — catches BUG-003-class contamination</t>
        </is>
      </c>
      <c r="F45" s="37" t="inlineStr">
        <is>
          <t>Custom Python (Levenshtein cross-similarity scan)</t>
        </is>
      </c>
      <c r="G45" s="37" t="inlineStr">
        <is>
          <t>JA-91</t>
        </is>
      </c>
      <c r="H45" s="37" t="inlineStr">
        <is>
          <t>Native Japanese teacher + SLA pedagogy researcher</t>
        </is>
      </c>
      <c r="I45" s="37" t="inlineStr">
        <is>
          <t>P3</t>
        </is>
      </c>
      <c r="J45" s="37" t="inlineStr">
        <is>
          <t>Major</t>
        </is>
      </c>
      <c r="K45" s="37" t="inlineStr">
        <is>
          <t>Auto+Manual</t>
        </is>
      </c>
      <c r="L45" s="37" t="inlineStr">
        <is>
          <t>4h</t>
        </is>
      </c>
      <c r="M45" s="37" t="inlineStr">
        <is>
          <t>0%</t>
        </is>
      </c>
      <c r="N45" s="37" t="inlineStr">
        <is>
          <t>PASS</t>
        </is>
      </c>
      <c r="O45" s="65" t="n">
        <v>46159</v>
      </c>
      <c r="P45" s="37" t="inlineStr">
        <is>
          <t>A. Japanese language!row 36</t>
        </is>
      </c>
    </row>
    <row r="46" ht="29" customHeight="1" s="49">
      <c r="A46" s="37" t="n">
        <v>42</v>
      </c>
      <c r="B46" s="37" t="inlineStr">
        <is>
          <t>A-033</t>
        </is>
      </c>
      <c r="C46" s="37" t="inlineStr">
        <is>
          <t>A</t>
        </is>
      </c>
      <c r="D46" s="37" t="inlineStr">
        <is>
          <t>Cross-pattern contamination</t>
        </is>
      </c>
      <c r="E46" s="37" t="inlineStr">
        <is>
          <t>Per-example JA-EN content-word overlap — catches BUG-005-class translation_en stuck on one string</t>
        </is>
      </c>
      <c r="F46" s="37" t="inlineStr">
        <is>
          <t>Custom Python (content-word overlap heuristic) + LLM-judge pass</t>
        </is>
      </c>
      <c r="G46" s="37" t="inlineStr">
        <is>
          <t>JA-92</t>
        </is>
      </c>
      <c r="H46" s="37" t="inlineStr">
        <is>
          <t>Native Japanese teacher + LLM judge</t>
        </is>
      </c>
      <c r="I46" s="37" t="inlineStr">
        <is>
          <t>P3</t>
        </is>
      </c>
      <c r="J46" s="37" t="inlineStr">
        <is>
          <t>Major</t>
        </is>
      </c>
      <c r="K46" s="37" t="inlineStr">
        <is>
          <t>Auto+Manual</t>
        </is>
      </c>
      <c r="L46" s="37" t="inlineStr">
        <is>
          <t>1d</t>
        </is>
      </c>
      <c r="M46" s="37" t="inlineStr">
        <is>
          <t>0%</t>
        </is>
      </c>
      <c r="N46" s="37" t="inlineStr">
        <is>
          <t>PASS</t>
        </is>
      </c>
      <c r="O46" s="65" t="n">
        <v>46159</v>
      </c>
      <c r="P46" s="37" t="inlineStr">
        <is>
          <t>A. Japanese language!row 37</t>
        </is>
      </c>
    </row>
    <row r="47" ht="43.5" customHeight="1" s="49">
      <c r="A47" s="37" t="n">
        <v>43</v>
      </c>
      <c r="B47" s="37" t="inlineStr">
        <is>
          <t>A-034</t>
        </is>
      </c>
      <c r="C47" s="37" t="inlineStr">
        <is>
          <t>A</t>
        </is>
      </c>
      <c r="D47" s="37" t="inlineStr">
        <is>
          <t>Pattern-instance contamination</t>
        </is>
      </c>
      <c r="E47" s="37" t="inlineStr">
        <is>
          <t>Every grammar example contains ≥1 pattern-defining surface marker (planned JA-94)</t>
        </is>
      </c>
      <c r="F47" s="37" t="inlineStr">
        <is>
          <t>Custom Python (`data/pattern_markers.json` + regex scan)</t>
        </is>
      </c>
      <c r="G47" s="37" t="inlineStr">
        <is>
          <t>JA-94</t>
        </is>
      </c>
      <c r="H47" s="37" t="inlineStr">
        <is>
          <t>Data engineer + native Japanese teacher (for marker authoring)</t>
        </is>
      </c>
      <c r="I47" s="37" t="inlineStr">
        <is>
          <t>P3</t>
        </is>
      </c>
      <c r="J47" s="37" t="inlineStr">
        <is>
          <t>Major</t>
        </is>
      </c>
      <c r="K47" s="37" t="inlineStr">
        <is>
          <t>Auto</t>
        </is>
      </c>
      <c r="L47" s="37" t="inlineStr">
        <is>
          <t>1d</t>
        </is>
      </c>
      <c r="M47" s="37" t="inlineStr">
        <is>
          <t>0%</t>
        </is>
      </c>
      <c r="N47" s="37" t="inlineStr">
        <is>
          <t>PASS</t>
        </is>
      </c>
      <c r="O47" s="65" t="n">
        <v>46159</v>
      </c>
      <c r="P47" s="37" t="inlineStr">
        <is>
          <t>A. Japanese language!row 38</t>
        </is>
      </c>
    </row>
    <row r="48" ht="43.5" customHeight="1" s="49">
      <c r="A48" s="37" t="n">
        <v>44</v>
      </c>
      <c r="B48" s="37" t="inlineStr">
        <is>
          <t>A-035</t>
        </is>
      </c>
      <c r="C48" s="37" t="inlineStr">
        <is>
          <t>A</t>
        </is>
      </c>
      <c r="D48" s="37" t="inlineStr">
        <is>
          <t>Folk-linguistic terminology</t>
        </is>
      </c>
      <c r="E48" s="37" t="inlineStr">
        <is>
          <t>common_mistakes WHY rationales use canonical grammar terminology (Genki / Tobira / A Dictionary of Basic Japanese Grammar) — not folk shortcuts</t>
        </is>
      </c>
      <c r="F48" s="37" t="inlineStr">
        <is>
          <t>Custom Python (regex scan) + manual review</t>
        </is>
      </c>
      <c r="G48" s="37" t="n"/>
      <c r="H48" s="37" t="inlineStr">
        <is>
          <t>Native Japanese teacher</t>
        </is>
      </c>
      <c r="I48" s="37" t="inlineStr">
        <is>
          <t>P3</t>
        </is>
      </c>
      <c r="J48" s="37" t="inlineStr">
        <is>
          <t>Major</t>
        </is>
      </c>
      <c r="K48" s="37" t="inlineStr">
        <is>
          <t>Auto+Manual</t>
        </is>
      </c>
      <c r="L48" s="37" t="inlineStr">
        <is>
          <t>4h</t>
        </is>
      </c>
      <c r="M48" s="37" t="inlineStr">
        <is>
          <t>0%</t>
        </is>
      </c>
      <c r="N48" s="37" t="inlineStr">
        <is>
          <t>Skipped — custom</t>
        </is>
      </c>
      <c r="O48" s="65" t="n">
        <v>46159</v>
      </c>
      <c r="P48" s="37" t="inlineStr">
        <is>
          <t>A. Japanese language!row 39</t>
        </is>
      </c>
    </row>
    <row r="49" ht="29" customHeight="1" s="49">
      <c r="A49" s="37" t="n">
        <v>45</v>
      </c>
      <c r="B49" s="37" t="inlineStr">
        <is>
          <t>A-036</t>
        </is>
      </c>
      <c r="C49" s="37" t="inlineStr">
        <is>
          <t>A</t>
        </is>
      </c>
      <c r="D49" s="37" t="inlineStr">
        <is>
          <t>Particle-pattern alignment</t>
        </is>
      </c>
      <c r="E49" s="37" t="inlineStr">
        <is>
          <t>Particle-introducing patterns: every example JA contains the canonical particle (planned JA-95)</t>
        </is>
      </c>
      <c r="F49" s="37" t="inlineStr">
        <is>
          <t>Custom Python (per-pattern particle-presence assertion)</t>
        </is>
      </c>
      <c r="G49" s="37" t="inlineStr">
        <is>
          <t>JA-95</t>
        </is>
      </c>
      <c r="H49" s="37" t="inlineStr">
        <is>
          <t>Data engineer + native Japanese teacher</t>
        </is>
      </c>
      <c r="I49" s="37" t="inlineStr">
        <is>
          <t>P3</t>
        </is>
      </c>
      <c r="J49" s="37" t="inlineStr">
        <is>
          <t>Major</t>
        </is>
      </c>
      <c r="K49" s="37" t="inlineStr">
        <is>
          <t>Auto</t>
        </is>
      </c>
      <c r="L49" s="37" t="inlineStr">
        <is>
          <t>4h</t>
        </is>
      </c>
      <c r="M49" s="37" t="inlineStr">
        <is>
          <t>0%</t>
        </is>
      </c>
      <c r="N49" s="37" t="inlineStr">
        <is>
          <t>PASS</t>
        </is>
      </c>
      <c r="O49" s="65" t="n">
        <v>46159</v>
      </c>
      <c r="P49" s="37" t="inlineStr">
        <is>
          <t>A. Japanese language!row 40</t>
        </is>
      </c>
    </row>
    <row r="50" ht="29" customHeight="1" s="49">
      <c r="A50" s="37" t="n">
        <v>46</v>
      </c>
      <c r="B50" s="37" t="inlineStr">
        <is>
          <t>A-041</t>
        </is>
      </c>
      <c r="C50" s="37" t="inlineStr">
        <is>
          <t>A</t>
        </is>
      </c>
      <c r="D50" s="37" t="inlineStr">
        <is>
          <t>primary_reading correctness</t>
        </is>
      </c>
      <c r="E50" s="37" t="inlineStr">
        <is>
          <t>Standalone-kun primary_reading lock for 6 kanji (人/中/外/東/車/国) — kun-yomi at standalone use (JA-102)</t>
        </is>
      </c>
      <c r="F50" s="37" t="inlineStr">
        <is>
          <t>tools/check_content_integrity.py (JA-102)</t>
        </is>
      </c>
      <c r="G50" s="37" t="inlineStr">
        <is>
          <t>JA-102</t>
        </is>
      </c>
      <c r="H50" s="37" t="inlineStr">
        <is>
          <t>Data engineer</t>
        </is>
      </c>
      <c r="I50" s="37" t="inlineStr">
        <is>
          <t>P3</t>
        </is>
      </c>
      <c r="J50" s="37" t="inlineStr">
        <is>
          <t>Major</t>
        </is>
      </c>
      <c r="K50" s="37" t="inlineStr">
        <is>
          <t>Auto</t>
        </is>
      </c>
      <c r="L50" s="37" t="inlineStr">
        <is>
          <t>1h</t>
        </is>
      </c>
      <c r="M50" s="37" t="inlineStr">
        <is>
          <t>0%</t>
        </is>
      </c>
      <c r="N50" s="37" t="inlineStr">
        <is>
          <t>PASS</t>
        </is>
      </c>
      <c r="O50" s="65" t="n">
        <v>46159</v>
      </c>
      <c r="P50" s="37" t="inlineStr">
        <is>
          <t>A. Japanese language!row 45</t>
        </is>
      </c>
    </row>
    <row r="51" ht="29" customHeight="1" s="49">
      <c r="A51" s="37" t="n">
        <v>47</v>
      </c>
      <c r="B51" s="37" t="inlineStr">
        <is>
          <t>B-006</t>
        </is>
      </c>
      <c r="C51" s="37" t="inlineStr">
        <is>
          <t>B</t>
        </is>
      </c>
      <c r="D51" s="37" t="inlineStr">
        <is>
          <t>Difficulty calibration</t>
        </is>
      </c>
      <c r="E51" s="37" t="inlineStr">
        <is>
          <t>Vocab-frequency against N5 official word-list</t>
        </is>
      </c>
      <c r="F51" s="37" t="inlineStr">
        <is>
          <t>n/a — manual evaluation</t>
        </is>
      </c>
      <c r="G51" s="37" t="n"/>
      <c r="H51" s="37" t="inlineStr">
        <is>
          <t>JLPT exam expert (JEES-aligned)</t>
        </is>
      </c>
      <c r="I51" s="37" t="inlineStr">
        <is>
          <t>P3</t>
        </is>
      </c>
      <c r="J51" s="37" t="inlineStr">
        <is>
          <t>Major</t>
        </is>
      </c>
      <c r="K51" s="37" t="inlineStr">
        <is>
          <t>Auto</t>
        </is>
      </c>
      <c r="L51" s="37" t="inlineStr">
        <is>
          <t>4h</t>
        </is>
      </c>
      <c r="M51" s="37" t="inlineStr">
        <is>
          <t>0%</t>
        </is>
      </c>
      <c r="N51" s="37" t="inlineStr">
        <is>
          <t>Manual — deferred</t>
        </is>
      </c>
      <c r="O51" s="65" t="n">
        <v>46159</v>
      </c>
      <c r="P51" s="37" t="inlineStr">
        <is>
          <t>B. JLPT format!row 10</t>
        </is>
      </c>
    </row>
    <row r="52" ht="29" customHeight="1" s="49">
      <c r="A52" s="37" t="n">
        <v>48</v>
      </c>
      <c r="B52" s="37" t="inlineStr">
        <is>
          <t>B-008</t>
        </is>
      </c>
      <c r="C52" s="37" t="inlineStr">
        <is>
          <t>B</t>
        </is>
      </c>
      <c r="D52" s="37" t="inlineStr">
        <is>
          <t>Difficulty calibration</t>
        </is>
      </c>
      <c r="E52" s="37" t="inlineStr">
        <is>
          <t>Reading-passage length distribution vs real N5 dokkai</t>
        </is>
      </c>
      <c r="F52" s="37" t="inlineStr">
        <is>
          <t>n/a — manual evaluation</t>
        </is>
      </c>
      <c r="G52" s="37" t="n"/>
      <c r="H52" s="37" t="inlineStr">
        <is>
          <t>JLPT exam expert (JEES-aligned)</t>
        </is>
      </c>
      <c r="I52" s="37" t="inlineStr">
        <is>
          <t>P3</t>
        </is>
      </c>
      <c r="J52" s="37" t="inlineStr">
        <is>
          <t>Major</t>
        </is>
      </c>
      <c r="K52" s="37" t="inlineStr">
        <is>
          <t>Auto</t>
        </is>
      </c>
      <c r="L52" s="37" t="inlineStr">
        <is>
          <t>4h</t>
        </is>
      </c>
      <c r="M52" s="37" t="inlineStr">
        <is>
          <t>0%</t>
        </is>
      </c>
      <c r="N52" s="37" t="inlineStr">
        <is>
          <t>Manual — deferred</t>
        </is>
      </c>
      <c r="O52" s="65" t="n">
        <v>46159</v>
      </c>
      <c r="P52" s="37" t="inlineStr">
        <is>
          <t>B. JLPT format!row 12</t>
        </is>
      </c>
    </row>
    <row r="53" ht="29" customHeight="1" s="49">
      <c r="A53" s="37" t="n">
        <v>49</v>
      </c>
      <c r="B53" s="37" t="inlineStr">
        <is>
          <t>B-009</t>
        </is>
      </c>
      <c r="C53" s="37" t="inlineStr">
        <is>
          <t>B</t>
        </is>
      </c>
      <c r="D53" s="37" t="inlineStr">
        <is>
          <t>Difficulty calibration</t>
        </is>
      </c>
      <c r="E53" s="37" t="inlineStr">
        <is>
          <t>Listening-script length + speaker-count distribution</t>
        </is>
      </c>
      <c r="F53" s="37" t="inlineStr">
        <is>
          <t>n/a — manual evaluation</t>
        </is>
      </c>
      <c r="G53" s="37" t="n"/>
      <c r="H53" s="37" t="inlineStr">
        <is>
          <t>JLPT exam expert (JEES-aligned)</t>
        </is>
      </c>
      <c r="I53" s="37" t="inlineStr">
        <is>
          <t>P3</t>
        </is>
      </c>
      <c r="J53" s="37" t="inlineStr">
        <is>
          <t>Major</t>
        </is>
      </c>
      <c r="K53" s="37" t="inlineStr">
        <is>
          <t>Auto</t>
        </is>
      </c>
      <c r="L53" s="37" t="inlineStr">
        <is>
          <t>4h</t>
        </is>
      </c>
      <c r="M53" s="37" t="inlineStr">
        <is>
          <t>0%</t>
        </is>
      </c>
      <c r="N53" s="37" t="inlineStr">
        <is>
          <t>Manual — deferred</t>
        </is>
      </c>
      <c r="O53" s="65" t="n">
        <v>46159</v>
      </c>
      <c r="P53" s="37" t="inlineStr">
        <is>
          <t>B. JLPT format!row 13</t>
        </is>
      </c>
    </row>
    <row r="54" ht="29" customHeight="1" s="49">
      <c r="A54" s="37" t="n">
        <v>50</v>
      </c>
      <c r="B54" s="37" t="inlineStr">
        <is>
          <t>B-018</t>
        </is>
      </c>
      <c r="C54" s="37" t="inlineStr">
        <is>
          <t>B</t>
        </is>
      </c>
      <c r="D54" s="37" t="inlineStr">
        <is>
          <t>Stem punctuation</t>
        </is>
      </c>
      <c r="E54" s="37" t="inlineStr">
        <is>
          <t>Stem-sentence punctuation: every fill-in-the-blank stem ends with 。 or ？; blanks rendered with ＿＿＿ not ____ (full-width)</t>
        </is>
      </c>
      <c r="F54" s="37" t="inlineStr">
        <is>
          <t>Custom Python (regex scan of stem texts)</t>
        </is>
      </c>
      <c r="G54" s="37" t="n"/>
      <c r="H54" s="37" t="inlineStr">
        <is>
          <t>JLPT exam expert (JEES-aligned)</t>
        </is>
      </c>
      <c r="I54" s="37" t="inlineStr">
        <is>
          <t>P3</t>
        </is>
      </c>
      <c r="J54" s="37" t="inlineStr">
        <is>
          <t>Major</t>
        </is>
      </c>
      <c r="K54" s="37" t="inlineStr">
        <is>
          <t>Auto</t>
        </is>
      </c>
      <c r="L54" s="37" t="inlineStr">
        <is>
          <t>1h</t>
        </is>
      </c>
      <c r="M54" s="37" t="inlineStr">
        <is>
          <t>0%</t>
        </is>
      </c>
      <c r="N54" s="37" t="inlineStr">
        <is>
          <t>Skipped — custom</t>
        </is>
      </c>
      <c r="O54" s="65" t="n">
        <v>46159</v>
      </c>
      <c r="P54" s="37" t="inlineStr">
        <is>
          <t>B. JLPT format!row 22</t>
        </is>
      </c>
    </row>
    <row r="55">
      <c r="A55" s="37" t="n">
        <v>51</v>
      </c>
      <c r="B55" s="37" t="inlineStr">
        <is>
          <t>C-004</t>
        </is>
      </c>
      <c r="C55" s="37" t="inlineStr">
        <is>
          <t>C</t>
        </is>
      </c>
      <c r="D55" s="37" t="inlineStr">
        <is>
          <t>Terminology</t>
        </is>
      </c>
      <c r="E55" s="37" t="inlineStr">
        <is>
          <t>Linguistic-term consistency: subject (कर्ता / विषय / subject)</t>
        </is>
      </c>
      <c r="F55" s="37" t="inlineStr">
        <is>
          <t>n/a — manual evaluation</t>
        </is>
      </c>
      <c r="G55" s="37" t="n"/>
      <c r="H55" s="37" t="inlineStr">
        <is>
          <t>Native Hindi teacher</t>
        </is>
      </c>
      <c r="I55" s="37" t="inlineStr">
        <is>
          <t>P3</t>
        </is>
      </c>
      <c r="J55" s="37" t="inlineStr">
        <is>
          <t>Major</t>
        </is>
      </c>
      <c r="K55" s="37" t="inlineStr">
        <is>
          <t>Auto+Manual</t>
        </is>
      </c>
      <c r="L55" s="37" t="inlineStr">
        <is>
          <t>1d</t>
        </is>
      </c>
      <c r="M55" s="37" t="inlineStr">
        <is>
          <t>0%</t>
        </is>
      </c>
      <c r="N55" s="37" t="inlineStr">
        <is>
          <t>Manual — deferred</t>
        </is>
      </c>
      <c r="O55" s="65" t="n">
        <v>46159</v>
      </c>
      <c r="P55" s="37" t="inlineStr">
        <is>
          <t>C. Hindi locale!row 8</t>
        </is>
      </c>
    </row>
    <row r="56" ht="29" customHeight="1" s="49">
      <c r="A56" s="37" t="n">
        <v>52</v>
      </c>
      <c r="B56" s="37" t="inlineStr">
        <is>
          <t>D-004</t>
        </is>
      </c>
      <c r="C56" s="37" t="inlineStr">
        <is>
          <t>D</t>
        </is>
      </c>
      <c r="D56" s="37" t="inlineStr">
        <is>
          <t>Color palette</t>
        </is>
      </c>
      <c r="E56" s="37" t="inlineStr">
        <is>
          <t>Primary color (PRIMARY_DARK = #14452a) contrast against white background</t>
        </is>
      </c>
      <c r="F56" s="37" t="inlineStr">
        <is>
          <t>n/a — manual evaluation</t>
        </is>
      </c>
      <c r="G56" s="37" t="n"/>
      <c r="H56" s="37" t="inlineStr">
        <is>
          <t>UI/UX designer</t>
        </is>
      </c>
      <c r="I56" s="37" t="inlineStr">
        <is>
          <t>P3</t>
        </is>
      </c>
      <c r="J56" s="37" t="inlineStr">
        <is>
          <t>Major</t>
        </is>
      </c>
      <c r="K56" s="37" t="inlineStr">
        <is>
          <t>Auto</t>
        </is>
      </c>
      <c r="L56" s="37" t="inlineStr">
        <is>
          <t>1h</t>
        </is>
      </c>
      <c r="M56" s="37" t="inlineStr">
        <is>
          <t>0%</t>
        </is>
      </c>
      <c r="N56" s="37" t="inlineStr">
        <is>
          <t>Manual — deferred</t>
        </is>
      </c>
      <c r="O56" s="65" t="n">
        <v>46159</v>
      </c>
      <c r="P56" s="37" t="inlineStr">
        <is>
          <t>D. UX design!row 8</t>
        </is>
      </c>
    </row>
    <row r="57">
      <c r="A57" s="37" t="n">
        <v>53</v>
      </c>
      <c r="B57" s="37" t="inlineStr">
        <is>
          <t>E-001</t>
        </is>
      </c>
      <c r="C57" s="37" t="inlineStr">
        <is>
          <t>E</t>
        </is>
      </c>
      <c r="D57" s="37" t="inlineStr">
        <is>
          <t>WCAG-AA</t>
        </is>
      </c>
      <c r="E57" s="37" t="inlineStr">
        <is>
          <t>Color-contrast ratio across all text-on-background combinations</t>
        </is>
      </c>
      <c r="F57" s="37" t="inlineStr">
        <is>
          <t>n/a — manual evaluation</t>
        </is>
      </c>
      <c r="G57" s="37" t="n"/>
      <c r="H57" s="37" t="inlineStr">
        <is>
          <t>WCAG-AA auditor</t>
        </is>
      </c>
      <c r="I57" s="37" t="inlineStr">
        <is>
          <t>P3</t>
        </is>
      </c>
      <c r="J57" s="37" t="inlineStr">
        <is>
          <t>Major</t>
        </is>
      </c>
      <c r="K57" s="37" t="inlineStr">
        <is>
          <t>Auto</t>
        </is>
      </c>
      <c r="L57" s="37" t="inlineStr">
        <is>
          <t>1h</t>
        </is>
      </c>
      <c r="M57" s="37" t="inlineStr">
        <is>
          <t>0%</t>
        </is>
      </c>
      <c r="N57" s="37" t="inlineStr">
        <is>
          <t>Manual — deferred</t>
        </is>
      </c>
      <c r="O57" s="65" t="n">
        <v>46159</v>
      </c>
      <c r="P57" s="37" t="inlineStr">
        <is>
          <t>E. Accessibility!row 5</t>
        </is>
      </c>
    </row>
    <row r="58">
      <c r="A58" s="37" t="n">
        <v>54</v>
      </c>
      <c r="B58" s="37" t="inlineStr">
        <is>
          <t>E-002</t>
        </is>
      </c>
      <c r="C58" s="37" t="inlineStr">
        <is>
          <t>E</t>
        </is>
      </c>
      <c r="D58" s="37" t="inlineStr">
        <is>
          <t>WCAG-AA</t>
        </is>
      </c>
      <c r="E58" s="37" t="inlineStr">
        <is>
          <t>Semantic HTML: proper heading hierarchy + landmarks</t>
        </is>
      </c>
      <c r="F58" s="37" t="inlineStr">
        <is>
          <t>n/a — manual evaluation</t>
        </is>
      </c>
      <c r="G58" s="37" t="n"/>
      <c r="H58" s="37" t="inlineStr">
        <is>
          <t>WCAG-AA auditor</t>
        </is>
      </c>
      <c r="I58" s="37" t="inlineStr">
        <is>
          <t>P3</t>
        </is>
      </c>
      <c r="J58" s="37" t="inlineStr">
        <is>
          <t>Major</t>
        </is>
      </c>
      <c r="K58" s="37" t="inlineStr">
        <is>
          <t>Auto</t>
        </is>
      </c>
      <c r="L58" s="37" t="inlineStr">
        <is>
          <t>1h</t>
        </is>
      </c>
      <c r="M58" s="37" t="inlineStr">
        <is>
          <t>0%</t>
        </is>
      </c>
      <c r="N58" s="37" t="inlineStr">
        <is>
          <t>Manual — deferred</t>
        </is>
      </c>
      <c r="O58" s="65" t="n">
        <v>46159</v>
      </c>
      <c r="P58" s="37" t="inlineStr">
        <is>
          <t>E. Accessibility!row 6</t>
        </is>
      </c>
    </row>
    <row r="59">
      <c r="A59" s="37" t="n">
        <v>55</v>
      </c>
      <c r="B59" s="37" t="inlineStr">
        <is>
          <t>E-003</t>
        </is>
      </c>
      <c r="C59" s="37" t="inlineStr">
        <is>
          <t>E</t>
        </is>
      </c>
      <c r="D59" s="37" t="inlineStr">
        <is>
          <t>WCAG-AA</t>
        </is>
      </c>
      <c r="E59" s="37" t="inlineStr">
        <is>
          <t>ARIA labels on all interactive controls</t>
        </is>
      </c>
      <c r="F59" s="37" t="inlineStr">
        <is>
          <t>n/a — manual evaluation</t>
        </is>
      </c>
      <c r="G59" s="37" t="n"/>
      <c r="H59" s="37" t="inlineStr">
        <is>
          <t>WCAG-AA auditor</t>
        </is>
      </c>
      <c r="I59" s="37" t="inlineStr">
        <is>
          <t>P3</t>
        </is>
      </c>
      <c r="J59" s="37" t="inlineStr">
        <is>
          <t>Major</t>
        </is>
      </c>
      <c r="K59" s="37" t="inlineStr">
        <is>
          <t>Auto</t>
        </is>
      </c>
      <c r="L59" s="37" t="inlineStr">
        <is>
          <t>1h</t>
        </is>
      </c>
      <c r="M59" s="37" t="inlineStr">
        <is>
          <t>0%</t>
        </is>
      </c>
      <c r="N59" s="37" t="inlineStr">
        <is>
          <t>Manual — deferred</t>
        </is>
      </c>
      <c r="O59" s="65" t="n">
        <v>46159</v>
      </c>
      <c r="P59" s="37" t="inlineStr">
        <is>
          <t>E. Accessibility!row 7</t>
        </is>
      </c>
    </row>
    <row r="60">
      <c r="A60" s="37" t="n">
        <v>56</v>
      </c>
      <c r="B60" s="37" t="inlineStr">
        <is>
          <t>F-004</t>
        </is>
      </c>
      <c r="C60" s="37" t="inlineStr">
        <is>
          <t>F</t>
        </is>
      </c>
      <c r="D60" s="37" t="inlineStr">
        <is>
          <t>XSS</t>
        </is>
      </c>
      <c r="E60" s="37" t="inlineStr">
        <is>
          <t>JSON-fixture injection (if any user-uploaded JSON path exists)</t>
        </is>
      </c>
      <c r="F60" s="37" t="inlineStr">
        <is>
          <t>Static analysis (eslint-plugin-security)</t>
        </is>
      </c>
      <c r="G60" s="37" t="n"/>
      <c r="H60" s="37" t="inlineStr">
        <is>
          <t>Security engineer</t>
        </is>
      </c>
      <c r="I60" s="37" t="inlineStr">
        <is>
          <t>P3</t>
        </is>
      </c>
      <c r="J60" s="37" t="inlineStr">
        <is>
          <t>Major</t>
        </is>
      </c>
      <c r="K60" s="37" t="inlineStr">
        <is>
          <t>Auto</t>
        </is>
      </c>
      <c r="L60" s="37" t="inlineStr">
        <is>
          <t>1h</t>
        </is>
      </c>
      <c r="M60" s="37" t="inlineStr">
        <is>
          <t>0%</t>
        </is>
      </c>
      <c r="N60" s="37" t="inlineStr">
        <is>
          <t>Skipped — external</t>
        </is>
      </c>
      <c r="O60" s="65" t="n">
        <v>46159</v>
      </c>
      <c r="P60" s="37" t="inlineStr">
        <is>
          <t>F. Security!row 8</t>
        </is>
      </c>
    </row>
    <row r="61">
      <c r="A61" s="37" t="n">
        <v>57</v>
      </c>
      <c r="B61" s="37" t="inlineStr">
        <is>
          <t>F-005</t>
        </is>
      </c>
      <c r="C61" s="37" t="inlineStr">
        <is>
          <t>F</t>
        </is>
      </c>
      <c r="D61" s="37" t="inlineStr">
        <is>
          <t>CSP</t>
        </is>
      </c>
      <c r="E61" s="37" t="inlineStr">
        <is>
          <t>Content-Security-Policy header strictness</t>
        </is>
      </c>
      <c r="F61" s="37" t="inlineStr">
        <is>
          <t>n/a — manual evaluation</t>
        </is>
      </c>
      <c r="G61" s="37" t="n"/>
      <c r="H61" s="37" t="inlineStr">
        <is>
          <t>Security engineer</t>
        </is>
      </c>
      <c r="I61" s="37" t="inlineStr">
        <is>
          <t>P3</t>
        </is>
      </c>
      <c r="J61" s="37" t="inlineStr">
        <is>
          <t>Major</t>
        </is>
      </c>
      <c r="K61" s="37" t="inlineStr">
        <is>
          <t>Auto</t>
        </is>
      </c>
      <c r="L61" s="37" t="inlineStr">
        <is>
          <t>1h</t>
        </is>
      </c>
      <c r="M61" s="37" t="inlineStr">
        <is>
          <t>0%</t>
        </is>
      </c>
      <c r="N61" s="37" t="inlineStr">
        <is>
          <t>Manual — deferred</t>
        </is>
      </c>
      <c r="O61" s="65" t="n">
        <v>46159</v>
      </c>
      <c r="P61" s="37" t="inlineStr">
        <is>
          <t>F. Security!row 9</t>
        </is>
      </c>
    </row>
    <row r="62">
      <c r="A62" s="37" t="n">
        <v>58</v>
      </c>
      <c r="B62" s="37" t="inlineStr">
        <is>
          <t>F-006</t>
        </is>
      </c>
      <c r="C62" s="37" t="inlineStr">
        <is>
          <t>F</t>
        </is>
      </c>
      <c r="D62" s="37" t="inlineStr">
        <is>
          <t>CSP</t>
        </is>
      </c>
      <c r="E62" s="37" t="inlineStr">
        <is>
          <t>frame-ancestors / X-Frame-Options (clickjacking)</t>
        </is>
      </c>
      <c r="F62" s="37" t="inlineStr">
        <is>
          <t>n/a — manual evaluation</t>
        </is>
      </c>
      <c r="G62" s="37" t="n"/>
      <c r="H62" s="37" t="inlineStr">
        <is>
          <t>Security engineer</t>
        </is>
      </c>
      <c r="I62" s="37" t="inlineStr">
        <is>
          <t>P3</t>
        </is>
      </c>
      <c r="J62" s="37" t="inlineStr">
        <is>
          <t>Major</t>
        </is>
      </c>
      <c r="K62" s="37" t="inlineStr">
        <is>
          <t>Auto</t>
        </is>
      </c>
      <c r="L62" s="37" t="inlineStr">
        <is>
          <t>1h</t>
        </is>
      </c>
      <c r="M62" s="37" t="inlineStr">
        <is>
          <t>0%</t>
        </is>
      </c>
      <c r="N62" s="37" t="inlineStr">
        <is>
          <t>Manual — deferred</t>
        </is>
      </c>
      <c r="O62" s="65" t="n">
        <v>46159</v>
      </c>
      <c r="P62" s="37" t="inlineStr">
        <is>
          <t>F. Security!row 10</t>
        </is>
      </c>
    </row>
    <row r="63">
      <c r="A63" s="37" t="n">
        <v>59</v>
      </c>
      <c r="B63" s="37" t="inlineStr">
        <is>
          <t>F-009</t>
        </is>
      </c>
      <c r="C63" s="37" t="inlineStr">
        <is>
          <t>F</t>
        </is>
      </c>
      <c r="D63" s="37" t="inlineStr">
        <is>
          <t>Supply chain</t>
        </is>
      </c>
      <c r="E63" s="37" t="inlineStr">
        <is>
          <t>npm dependency CVE scan</t>
        </is>
      </c>
      <c r="F63" s="37" t="inlineStr">
        <is>
          <t>n/a — manual evaluation</t>
        </is>
      </c>
      <c r="G63" s="37" t="n"/>
      <c r="H63" s="37" t="inlineStr">
        <is>
          <t>Security engineer</t>
        </is>
      </c>
      <c r="I63" s="37" t="inlineStr">
        <is>
          <t>P3</t>
        </is>
      </c>
      <c r="J63" s="37" t="inlineStr">
        <is>
          <t>Major</t>
        </is>
      </c>
      <c r="K63" s="37" t="inlineStr">
        <is>
          <t>Auto</t>
        </is>
      </c>
      <c r="L63" s="37" t="inlineStr">
        <is>
          <t>4h</t>
        </is>
      </c>
      <c r="M63" s="37" t="inlineStr">
        <is>
          <t>0%</t>
        </is>
      </c>
      <c r="N63" s="37" t="inlineStr">
        <is>
          <t>Manual — deferred</t>
        </is>
      </c>
      <c r="O63" s="65" t="n">
        <v>46159</v>
      </c>
      <c r="P63" s="37" t="inlineStr">
        <is>
          <t>F. Security!row 13</t>
        </is>
      </c>
    </row>
    <row r="64">
      <c r="A64" s="37" t="n">
        <v>60</v>
      </c>
      <c r="B64" s="37" t="inlineStr">
        <is>
          <t>F-010</t>
        </is>
      </c>
      <c r="C64" s="37" t="inlineStr">
        <is>
          <t>F</t>
        </is>
      </c>
      <c r="D64" s="37" t="inlineStr">
        <is>
          <t>Supply chain</t>
        </is>
      </c>
      <c r="E64" s="37" t="inlineStr">
        <is>
          <t>Python dependency CVE scan (pip-audit / safety)</t>
        </is>
      </c>
      <c r="F64" s="37" t="inlineStr">
        <is>
          <t>n/a — manual evaluation</t>
        </is>
      </c>
      <c r="G64" s="37" t="n"/>
      <c r="H64" s="37" t="inlineStr">
        <is>
          <t>Security engineer</t>
        </is>
      </c>
      <c r="I64" s="37" t="inlineStr">
        <is>
          <t>P3</t>
        </is>
      </c>
      <c r="J64" s="37" t="inlineStr">
        <is>
          <t>Major</t>
        </is>
      </c>
      <c r="K64" s="37" t="inlineStr">
        <is>
          <t>Auto</t>
        </is>
      </c>
      <c r="L64" s="37" t="inlineStr">
        <is>
          <t>4h</t>
        </is>
      </c>
      <c r="M64" s="37" t="inlineStr">
        <is>
          <t>0%</t>
        </is>
      </c>
      <c r="N64" s="37" t="inlineStr">
        <is>
          <t>Manual — deferred</t>
        </is>
      </c>
      <c r="O64" s="65" t="n">
        <v>46159</v>
      </c>
      <c r="P64" s="37" t="inlineStr">
        <is>
          <t>F. Security!row 14</t>
        </is>
      </c>
    </row>
    <row r="65">
      <c r="A65" s="37" t="n">
        <v>61</v>
      </c>
      <c r="B65" s="37" t="inlineStr">
        <is>
          <t>F-011</t>
        </is>
      </c>
      <c r="C65" s="37" t="inlineStr">
        <is>
          <t>F</t>
        </is>
      </c>
      <c r="D65" s="37" t="inlineStr">
        <is>
          <t>Supply chain</t>
        </is>
      </c>
      <c r="E65" s="37" t="inlineStr">
        <is>
          <t>Transitive-dependency license-compliance scan</t>
        </is>
      </c>
      <c r="F65" s="37" t="inlineStr">
        <is>
          <t>n/a — manual evaluation</t>
        </is>
      </c>
      <c r="G65" s="37" t="n"/>
      <c r="H65" s="37" t="inlineStr">
        <is>
          <t>Security engineer</t>
        </is>
      </c>
      <c r="I65" s="37" t="inlineStr">
        <is>
          <t>P3</t>
        </is>
      </c>
      <c r="J65" s="37" t="inlineStr">
        <is>
          <t>Major</t>
        </is>
      </c>
      <c r="K65" s="37" t="inlineStr">
        <is>
          <t>Auto</t>
        </is>
      </c>
      <c r="L65" s="37" t="inlineStr">
        <is>
          <t>4h</t>
        </is>
      </c>
      <c r="M65" s="37" t="inlineStr">
        <is>
          <t>0%</t>
        </is>
      </c>
      <c r="N65" s="37" t="inlineStr">
        <is>
          <t>Manual — deferred</t>
        </is>
      </c>
      <c r="O65" s="65" t="n">
        <v>46159</v>
      </c>
      <c r="P65" s="37" t="inlineStr">
        <is>
          <t>F. Security!row 15</t>
        </is>
      </c>
    </row>
    <row r="66" ht="29" customHeight="1" s="49">
      <c r="A66" s="37" t="n">
        <v>62</v>
      </c>
      <c r="B66" s="37" t="inlineStr">
        <is>
          <t>G-002</t>
        </is>
      </c>
      <c r="C66" s="37" t="inlineStr">
        <is>
          <t>G</t>
        </is>
      </c>
      <c r="D66" s="37" t="inlineStr">
        <is>
          <t>Privacy</t>
        </is>
      </c>
      <c r="E66" s="37" t="inlineStr">
        <is>
          <t>localStorage content audit (no PII)</t>
        </is>
      </c>
      <c r="F66" s="37" t="inlineStr">
        <is>
          <t>Custom Python (localStorage namespace scan + PII regex sweep)</t>
        </is>
      </c>
      <c r="G66" s="37" t="n"/>
      <c r="H66" s="37" t="inlineStr">
        <is>
          <t>Privacy / legal counsel</t>
        </is>
      </c>
      <c r="I66" s="37" t="inlineStr">
        <is>
          <t>P3</t>
        </is>
      </c>
      <c r="J66" s="37" t="inlineStr">
        <is>
          <t>Major</t>
        </is>
      </c>
      <c r="K66" s="37" t="inlineStr">
        <is>
          <t>Auto</t>
        </is>
      </c>
      <c r="L66" s="37" t="inlineStr">
        <is>
          <t>1h</t>
        </is>
      </c>
      <c r="M66" s="37" t="inlineStr">
        <is>
          <t>0%</t>
        </is>
      </c>
      <c r="N66" s="37" t="inlineStr">
        <is>
          <t>Skipped — custom</t>
        </is>
      </c>
      <c r="O66" s="65" t="n">
        <v>46159</v>
      </c>
      <c r="P66" s="37" t="inlineStr">
        <is>
          <t>G. Privacy and legal!row 6</t>
        </is>
      </c>
    </row>
    <row r="67">
      <c r="A67" s="37" t="n">
        <v>63</v>
      </c>
      <c r="B67" s="37" t="inlineStr">
        <is>
          <t>G-011</t>
        </is>
      </c>
      <c r="C67" s="37" t="inlineStr">
        <is>
          <t>G</t>
        </is>
      </c>
      <c r="D67" s="37" t="inlineStr">
        <is>
          <t>License compliance</t>
        </is>
      </c>
      <c r="E67" s="37" t="inlineStr">
        <is>
          <t>Transitive npm-license compatibility</t>
        </is>
      </c>
      <c r="F67" s="37" t="inlineStr">
        <is>
          <t>n/a — manual evaluation</t>
        </is>
      </c>
      <c r="G67" s="37" t="n"/>
      <c r="H67" s="37" t="inlineStr">
        <is>
          <t>Privacy / legal counsel</t>
        </is>
      </c>
      <c r="I67" s="37" t="inlineStr">
        <is>
          <t>P3</t>
        </is>
      </c>
      <c r="J67" s="37" t="inlineStr">
        <is>
          <t>Major</t>
        </is>
      </c>
      <c r="K67" s="37" t="inlineStr">
        <is>
          <t>Auto</t>
        </is>
      </c>
      <c r="L67" s="37" t="inlineStr">
        <is>
          <t>4h</t>
        </is>
      </c>
      <c r="M67" s="37" t="inlineStr">
        <is>
          <t>0%</t>
        </is>
      </c>
      <c r="N67" s="37" t="inlineStr">
        <is>
          <t>Manual — deferred</t>
        </is>
      </c>
      <c r="O67" s="65" t="n">
        <v>46159</v>
      </c>
      <c r="P67" s="37" t="inlineStr">
        <is>
          <t>G. Privacy and legal!row 15</t>
        </is>
      </c>
    </row>
    <row r="68" ht="29" customHeight="1" s="49">
      <c r="A68" s="37" t="n">
        <v>64</v>
      </c>
      <c r="B68" s="37" t="inlineStr">
        <is>
          <t>H-001</t>
        </is>
      </c>
      <c r="C68" s="37" t="inlineStr">
        <is>
          <t>H</t>
        </is>
      </c>
      <c r="D68" s="37" t="inlineStr">
        <is>
          <t>Core Web Vitals</t>
        </is>
      </c>
      <c r="E68" s="37" t="inlineStr">
        <is>
          <t>LCP (Largest Contentful Paint) &lt; 2.5s on 3G</t>
        </is>
      </c>
      <c r="F68" s="37" t="inlineStr">
        <is>
          <t>n/a — manual evaluation</t>
        </is>
      </c>
      <c r="G68" s="37" t="n"/>
      <c r="H68" s="37" t="inlineStr">
        <is>
          <t>Web-performance engineer</t>
        </is>
      </c>
      <c r="I68" s="37" t="inlineStr">
        <is>
          <t>P3</t>
        </is>
      </c>
      <c r="J68" s="37" t="inlineStr">
        <is>
          <t>Major</t>
        </is>
      </c>
      <c r="K68" s="37" t="inlineStr">
        <is>
          <t>Auto</t>
        </is>
      </c>
      <c r="L68" s="37" t="inlineStr">
        <is>
          <t>1h</t>
        </is>
      </c>
      <c r="M68" s="37" t="inlineStr">
        <is>
          <t>0%</t>
        </is>
      </c>
      <c r="N68" s="37" t="inlineStr">
        <is>
          <t>Manual — deferred</t>
        </is>
      </c>
      <c r="O68" s="65" t="n">
        <v>46159</v>
      </c>
      <c r="P68" s="37" t="inlineStr">
        <is>
          <t>H. Performance!row 5</t>
        </is>
      </c>
    </row>
    <row r="69" ht="29" customHeight="1" s="49">
      <c r="A69" s="37" t="n">
        <v>65</v>
      </c>
      <c r="B69" s="37" t="inlineStr">
        <is>
          <t>H-002</t>
        </is>
      </c>
      <c r="C69" s="37" t="inlineStr">
        <is>
          <t>H</t>
        </is>
      </c>
      <c r="D69" s="37" t="inlineStr">
        <is>
          <t>Core Web Vitals</t>
        </is>
      </c>
      <c r="E69" s="37" t="inlineStr">
        <is>
          <t>FID / INP &lt; 100ms</t>
        </is>
      </c>
      <c r="F69" s="37" t="inlineStr">
        <is>
          <t>n/a — manual evaluation</t>
        </is>
      </c>
      <c r="G69" s="37" t="n"/>
      <c r="H69" s="37" t="inlineStr">
        <is>
          <t>Web-performance engineer</t>
        </is>
      </c>
      <c r="I69" s="37" t="inlineStr">
        <is>
          <t>P3</t>
        </is>
      </c>
      <c r="J69" s="37" t="inlineStr">
        <is>
          <t>Major</t>
        </is>
      </c>
      <c r="K69" s="37" t="inlineStr">
        <is>
          <t>Auto</t>
        </is>
      </c>
      <c r="L69" s="37" t="inlineStr">
        <is>
          <t>1h</t>
        </is>
      </c>
      <c r="M69" s="37" t="inlineStr">
        <is>
          <t>0%</t>
        </is>
      </c>
      <c r="N69" s="37" t="inlineStr">
        <is>
          <t>Manual — deferred</t>
        </is>
      </c>
      <c r="O69" s="65" t="n">
        <v>46159</v>
      </c>
      <c r="P69" s="37" t="inlineStr">
        <is>
          <t>H. Performance!row 6</t>
        </is>
      </c>
    </row>
    <row r="70" ht="29" customHeight="1" s="49">
      <c r="A70" s="37" t="n">
        <v>66</v>
      </c>
      <c r="B70" s="37" t="inlineStr">
        <is>
          <t>H-003</t>
        </is>
      </c>
      <c r="C70" s="37" t="inlineStr">
        <is>
          <t>H</t>
        </is>
      </c>
      <c r="D70" s="37" t="inlineStr">
        <is>
          <t>Core Web Vitals</t>
        </is>
      </c>
      <c r="E70" s="37" t="inlineStr">
        <is>
          <t>CLS &lt; 0.1</t>
        </is>
      </c>
      <c r="F70" s="37" t="inlineStr">
        <is>
          <t>n/a — manual evaluation</t>
        </is>
      </c>
      <c r="G70" s="37" t="n"/>
      <c r="H70" s="37" t="inlineStr">
        <is>
          <t>Web-performance engineer</t>
        </is>
      </c>
      <c r="I70" s="37" t="inlineStr">
        <is>
          <t>P3</t>
        </is>
      </c>
      <c r="J70" s="37" t="inlineStr">
        <is>
          <t>Major</t>
        </is>
      </c>
      <c r="K70" s="37" t="inlineStr">
        <is>
          <t>Auto</t>
        </is>
      </c>
      <c r="L70" s="37" t="inlineStr">
        <is>
          <t>1h</t>
        </is>
      </c>
      <c r="M70" s="37" t="inlineStr">
        <is>
          <t>0%</t>
        </is>
      </c>
      <c r="N70" s="37" t="inlineStr">
        <is>
          <t>Manual — deferred</t>
        </is>
      </c>
      <c r="O70" s="65" t="n">
        <v>46159</v>
      </c>
      <c r="P70" s="37" t="inlineStr">
        <is>
          <t>H. Performance!row 7</t>
        </is>
      </c>
    </row>
    <row r="71" ht="29" customHeight="1" s="49">
      <c r="A71" s="37" t="n">
        <v>67</v>
      </c>
      <c r="B71" s="37" t="inlineStr">
        <is>
          <t>H-004</t>
        </is>
      </c>
      <c r="C71" s="37" t="inlineStr">
        <is>
          <t>H</t>
        </is>
      </c>
      <c r="D71" s="37" t="inlineStr">
        <is>
          <t>Bundle size</t>
        </is>
      </c>
      <c r="E71" s="37" t="inlineStr">
        <is>
          <t>Total JS bundle size on initial load</t>
        </is>
      </c>
      <c r="F71" s="37" t="inlineStr">
        <is>
          <t>n/a — manual evaluation</t>
        </is>
      </c>
      <c r="G71" s="37" t="n"/>
      <c r="H71" s="37" t="inlineStr">
        <is>
          <t>Web-performance engineer</t>
        </is>
      </c>
      <c r="I71" s="37" t="inlineStr">
        <is>
          <t>P3</t>
        </is>
      </c>
      <c r="J71" s="37" t="inlineStr">
        <is>
          <t>Major</t>
        </is>
      </c>
      <c r="K71" s="37" t="inlineStr">
        <is>
          <t>Auto</t>
        </is>
      </c>
      <c r="L71" s="37" t="inlineStr">
        <is>
          <t>4h</t>
        </is>
      </c>
      <c r="M71" s="37" t="inlineStr">
        <is>
          <t>0%</t>
        </is>
      </c>
      <c r="N71" s="37" t="inlineStr">
        <is>
          <t>Manual — deferred</t>
        </is>
      </c>
      <c r="O71" s="65" t="n">
        <v>46159</v>
      </c>
      <c r="P71" s="37" t="inlineStr">
        <is>
          <t>H. Performance!row 8</t>
        </is>
      </c>
    </row>
    <row r="72" ht="29" customHeight="1" s="49">
      <c r="A72" s="37" t="n">
        <v>68</v>
      </c>
      <c r="B72" s="37" t="inlineStr">
        <is>
          <t>H-015</t>
        </is>
      </c>
      <c r="C72" s="37" t="inlineStr">
        <is>
          <t>H</t>
        </is>
      </c>
      <c r="D72" s="37" t="inlineStr">
        <is>
          <t>Mobile-responsive</t>
        </is>
      </c>
      <c r="E72" s="37" t="inlineStr">
        <is>
          <t>Sub-360px viewport rendering</t>
        </is>
      </c>
      <c r="F72" s="37" t="inlineStr">
        <is>
          <t>n/a — manual evaluation</t>
        </is>
      </c>
      <c r="G72" s="37" t="n"/>
      <c r="H72" s="37" t="inlineStr">
        <is>
          <t>Web-performance engineer</t>
        </is>
      </c>
      <c r="I72" s="37" t="inlineStr">
        <is>
          <t>P3</t>
        </is>
      </c>
      <c r="J72" s="37" t="inlineStr">
        <is>
          <t>Major</t>
        </is>
      </c>
      <c r="K72" s="37" t="inlineStr">
        <is>
          <t>Auto</t>
        </is>
      </c>
      <c r="L72" s="37" t="inlineStr">
        <is>
          <t>1h</t>
        </is>
      </c>
      <c r="M72" s="37" t="inlineStr">
        <is>
          <t>0%</t>
        </is>
      </c>
      <c r="N72" s="37" t="inlineStr">
        <is>
          <t>Manual — deferred</t>
        </is>
      </c>
      <c r="O72" s="65" t="n">
        <v>46159</v>
      </c>
      <c r="P72" s="37" t="inlineStr">
        <is>
          <t>H. Performance!row 19</t>
        </is>
      </c>
    </row>
    <row r="73">
      <c r="A73" s="37" t="n">
        <v>69</v>
      </c>
      <c r="B73" s="37" t="inlineStr">
        <is>
          <t>I-001</t>
        </is>
      </c>
      <c r="C73" s="37" t="inlineStr">
        <is>
          <t>I</t>
        </is>
      </c>
      <c r="D73" s="37" t="inlineStr">
        <is>
          <t>Schema validation</t>
        </is>
      </c>
      <c r="E73" s="37" t="inlineStr">
        <is>
          <t>JSON-schema validation for all data/*.json beyond CI invariants</t>
        </is>
      </c>
      <c r="F73" s="37" t="inlineStr">
        <is>
          <t>n/a — manual evaluation</t>
        </is>
      </c>
      <c r="G73" s="37" t="inlineStr">
        <is>
          <t>JA-97</t>
        </is>
      </c>
      <c r="H73" s="37" t="inlineStr">
        <is>
          <t>Data engineer</t>
        </is>
      </c>
      <c r="I73" s="37" t="inlineStr">
        <is>
          <t>P3</t>
        </is>
      </c>
      <c r="J73" s="37" t="inlineStr">
        <is>
          <t>Major</t>
        </is>
      </c>
      <c r="K73" s="37" t="inlineStr">
        <is>
          <t>Auto</t>
        </is>
      </c>
      <c r="L73" s="37" t="inlineStr">
        <is>
          <t>4h</t>
        </is>
      </c>
      <c r="M73" s="37" t="inlineStr">
        <is>
          <t>0%</t>
        </is>
      </c>
      <c r="N73" s="37" t="inlineStr">
        <is>
          <t>PASS</t>
        </is>
      </c>
      <c r="O73" s="65" t="n">
        <v>46159</v>
      </c>
      <c r="P73" s="37" t="inlineStr">
        <is>
          <t>I. Data engineering!row 5</t>
        </is>
      </c>
    </row>
    <row r="74">
      <c r="A74" s="37" t="n">
        <v>70</v>
      </c>
      <c r="B74" s="37" t="inlineStr">
        <is>
          <t>I-003</t>
        </is>
      </c>
      <c r="C74" s="37" t="inlineStr">
        <is>
          <t>I</t>
        </is>
      </c>
      <c r="D74" s="37" t="inlineStr">
        <is>
          <t>Schema validation</t>
        </is>
      </c>
      <c r="E74" s="37" t="inlineStr">
        <is>
          <t>Cross-corpus FK integrity (vocab_id, grammarPatternId, kbSourceId)</t>
        </is>
      </c>
      <c r="F74" s="37" t="inlineStr">
        <is>
          <t>n/a — manual evaluation</t>
        </is>
      </c>
      <c r="G74" s="37" t="inlineStr">
        <is>
          <t>JA-100</t>
        </is>
      </c>
      <c r="H74" s="37" t="inlineStr">
        <is>
          <t>Data engineer</t>
        </is>
      </c>
      <c r="I74" s="37" t="inlineStr">
        <is>
          <t>P3</t>
        </is>
      </c>
      <c r="J74" s="37" t="inlineStr">
        <is>
          <t>Major</t>
        </is>
      </c>
      <c r="K74" s="37" t="inlineStr">
        <is>
          <t>Auto</t>
        </is>
      </c>
      <c r="L74" s="37" t="inlineStr">
        <is>
          <t>4h</t>
        </is>
      </c>
      <c r="M74" s="37" t="inlineStr">
        <is>
          <t>0%</t>
        </is>
      </c>
      <c r="N74" s="37" t="inlineStr">
        <is>
          <t>PASS</t>
        </is>
      </c>
      <c r="O74" s="65" t="n">
        <v>46159</v>
      </c>
      <c r="P74" s="37" t="inlineStr">
        <is>
          <t>I. Data engineering!row 7</t>
        </is>
      </c>
    </row>
    <row r="75" ht="29" customHeight="1" s="49">
      <c r="A75" s="37" t="n">
        <v>71</v>
      </c>
      <c r="B75" s="37" t="inlineStr">
        <is>
          <t>I-019</t>
        </is>
      </c>
      <c r="C75" s="37" t="inlineStr">
        <is>
          <t>I</t>
        </is>
      </c>
      <c r="D75" s="37" t="inlineStr">
        <is>
          <t>Cross-section dedup</t>
        </is>
      </c>
      <c r="E75" s="37" t="inlineStr">
        <is>
          <t>Automated subset-gloss duplicate detection in vocab.json — same (form, reading) + same POS + gloss-B ⊂ gloss-A</t>
        </is>
      </c>
      <c r="F75" s="37" t="inlineStr">
        <is>
          <t>Custom Python (subset-detector script in F.21.5 of procedure manual)</t>
        </is>
      </c>
      <c r="G75" s="37" t="n"/>
      <c r="H75" s="37" t="inlineStr">
        <is>
          <t>Data engineer</t>
        </is>
      </c>
      <c r="I75" s="37" t="inlineStr">
        <is>
          <t>P3</t>
        </is>
      </c>
      <c r="J75" s="37" t="inlineStr">
        <is>
          <t>Minor</t>
        </is>
      </c>
      <c r="K75" s="37" t="inlineStr">
        <is>
          <t>Auto+Manual</t>
        </is>
      </c>
      <c r="L75" s="37" t="inlineStr">
        <is>
          <t>4h</t>
        </is>
      </c>
      <c r="M75" s="37" t="inlineStr">
        <is>
          <t>0%</t>
        </is>
      </c>
      <c r="N75" s="37" t="inlineStr">
        <is>
          <t>Skipped — custom</t>
        </is>
      </c>
      <c r="O75" s="65" t="n">
        <v>46159</v>
      </c>
      <c r="P75" s="37" t="inlineStr">
        <is>
          <t>I. Data engineering!row 20</t>
        </is>
      </c>
    </row>
    <row r="76" ht="29" customHeight="1" s="49">
      <c r="A76" s="37" t="n">
        <v>72</v>
      </c>
      <c r="B76" s="37" t="inlineStr">
        <is>
          <t>I-021</t>
        </is>
      </c>
      <c r="C76" s="37" t="inlineStr">
        <is>
          <t>I</t>
        </is>
      </c>
      <c r="D76" s="37" t="inlineStr">
        <is>
          <t>Field naming canonicalization</t>
        </is>
      </c>
      <c r="E76" s="37" t="inlineStr">
        <is>
          <t>kanji.json `examples[]` use `form` field name only, not legacy `lemma` (JA-101)</t>
        </is>
      </c>
      <c r="F76" s="37" t="inlineStr">
        <is>
          <t>tools/check_content_integrity.py (JA-101)</t>
        </is>
      </c>
      <c r="G76" s="37" t="inlineStr">
        <is>
          <t>JA-101</t>
        </is>
      </c>
      <c r="H76" s="37" t="inlineStr">
        <is>
          <t>Data engineer</t>
        </is>
      </c>
      <c r="I76" s="37" t="inlineStr">
        <is>
          <t>P3</t>
        </is>
      </c>
      <c r="J76" s="37" t="inlineStr">
        <is>
          <t>Minor</t>
        </is>
      </c>
      <c r="K76" s="37" t="inlineStr">
        <is>
          <t>Auto</t>
        </is>
      </c>
      <c r="L76" s="37" t="inlineStr">
        <is>
          <t>1h</t>
        </is>
      </c>
      <c r="M76" s="37" t="inlineStr">
        <is>
          <t>0%</t>
        </is>
      </c>
      <c r="N76" s="37" t="inlineStr">
        <is>
          <t>PASS</t>
        </is>
      </c>
      <c r="O76" s="65" t="n">
        <v>46159</v>
      </c>
      <c r="P76" s="37" t="inlineStr">
        <is>
          <t>I. Data engineering!row 22</t>
        </is>
      </c>
    </row>
    <row r="77" ht="29" customHeight="1" s="49">
      <c r="A77" s="37" t="n">
        <v>73</v>
      </c>
      <c r="B77" s="37" t="inlineStr">
        <is>
          <t>I-022</t>
        </is>
      </c>
      <c r="C77" s="37" t="inlineStr">
        <is>
          <t>I</t>
        </is>
      </c>
      <c r="D77" s="37" t="inlineStr">
        <is>
          <t>Within-corpus uniqueness</t>
        </is>
      </c>
      <c r="E77" s="37" t="inlineStr">
        <is>
          <t>kanji.json n5_compounds: (form, reading) tuple unique within each kanji entry (JA-103)</t>
        </is>
      </c>
      <c r="F77" s="37" t="inlineStr">
        <is>
          <t>tools/check_content_integrity.py (JA-103)</t>
        </is>
      </c>
      <c r="G77" s="37" t="inlineStr">
        <is>
          <t>JA-103</t>
        </is>
      </c>
      <c r="H77" s="37" t="inlineStr">
        <is>
          <t>Data engineer</t>
        </is>
      </c>
      <c r="I77" s="37" t="inlineStr">
        <is>
          <t>P3</t>
        </is>
      </c>
      <c r="J77" s="37" t="inlineStr">
        <is>
          <t>Minor</t>
        </is>
      </c>
      <c r="K77" s="37" t="inlineStr">
        <is>
          <t>Auto</t>
        </is>
      </c>
      <c r="L77" s="37" t="inlineStr">
        <is>
          <t>1h</t>
        </is>
      </c>
      <c r="M77" s="37" t="inlineStr">
        <is>
          <t>0%</t>
        </is>
      </c>
      <c r="N77" s="37" t="inlineStr">
        <is>
          <t>PASS</t>
        </is>
      </c>
      <c r="O77" s="65" t="n">
        <v>46159</v>
      </c>
      <c r="P77" s="37" t="inlineStr">
        <is>
          <t>I. Data engineering!row 23</t>
        </is>
      </c>
    </row>
    <row r="78" ht="29" customHeight="1" s="49">
      <c r="A78" s="37" t="n">
        <v>74</v>
      </c>
      <c r="B78" s="37" t="inlineStr">
        <is>
          <t>J-001</t>
        </is>
      </c>
      <c r="C78" s="37" t="inlineStr">
        <is>
          <t>J</t>
        </is>
      </c>
      <c r="D78" s="37" t="inlineStr">
        <is>
          <t>SLA</t>
        </is>
      </c>
      <c r="E78" s="37" t="inlineStr">
        <is>
          <t>Curriculum dependency graph: ≥80% of vocab used in lesson L's example sentences must appear in lessons ≤L</t>
        </is>
      </c>
      <c r="F78" s="37" t="inlineStr">
        <is>
          <t>Custom Python (curriculum-graph + token-membership check)</t>
        </is>
      </c>
      <c r="G78" s="37" t="n"/>
      <c r="H78" s="37" t="inlineStr">
        <is>
          <t>SLA pedagogy researcher</t>
        </is>
      </c>
      <c r="I78" s="37" t="inlineStr">
        <is>
          <t>P3</t>
        </is>
      </c>
      <c r="J78" s="37" t="inlineStr">
        <is>
          <t>Major</t>
        </is>
      </c>
      <c r="K78" s="37" t="inlineStr">
        <is>
          <t>Auto</t>
        </is>
      </c>
      <c r="L78" s="37" t="inlineStr">
        <is>
          <t>1d</t>
        </is>
      </c>
      <c r="M78" s="37" t="inlineStr">
        <is>
          <t>0%</t>
        </is>
      </c>
      <c r="N78" s="37" t="inlineStr">
        <is>
          <t>Skipped — custom</t>
        </is>
      </c>
      <c r="O78" s="65" t="n">
        <v>46159</v>
      </c>
      <c r="P78" s="37" t="inlineStr">
        <is>
          <t>J. Pedagogy!row 5</t>
        </is>
      </c>
    </row>
    <row r="79" ht="29" customHeight="1" s="49">
      <c r="A79" s="37" t="n">
        <v>75</v>
      </c>
      <c r="B79" s="37" t="inlineStr">
        <is>
          <t>J-002</t>
        </is>
      </c>
      <c r="C79" s="37" t="inlineStr">
        <is>
          <t>J</t>
        </is>
      </c>
      <c r="D79" s="37" t="inlineStr">
        <is>
          <t>SLA</t>
        </is>
      </c>
      <c r="E79" s="37" t="inlineStr">
        <is>
          <t>Output-hypothesis adherence: each lesson has ≥1 production drill prompting the learner to use the new pattern</t>
        </is>
      </c>
      <c r="F79" s="37" t="inlineStr">
        <is>
          <t>tools/check_content_integrity.py (extend or new check)</t>
        </is>
      </c>
      <c r="G79" s="37" t="n"/>
      <c r="H79" s="37" t="inlineStr">
        <is>
          <t>SLA pedagogy researcher</t>
        </is>
      </c>
      <c r="I79" s="37" t="inlineStr">
        <is>
          <t>P3</t>
        </is>
      </c>
      <c r="J79" s="37" t="inlineStr">
        <is>
          <t>Major</t>
        </is>
      </c>
      <c r="K79" s="37" t="inlineStr">
        <is>
          <t>Auto</t>
        </is>
      </c>
      <c r="L79" s="37" t="inlineStr">
        <is>
          <t>1d</t>
        </is>
      </c>
      <c r="M79" s="37" t="inlineStr">
        <is>
          <t>0%</t>
        </is>
      </c>
      <c r="N79" s="37" t="inlineStr">
        <is>
          <t>PASS</t>
        </is>
      </c>
      <c r="O79" s="65" t="n">
        <v>46159</v>
      </c>
      <c r="P79" s="37" t="inlineStr">
        <is>
          <t>J. Pedagogy!row 6</t>
        </is>
      </c>
    </row>
    <row r="80" ht="43.5" customHeight="1" s="49">
      <c r="A80" s="37" t="n">
        <v>76</v>
      </c>
      <c r="B80" s="37" t="inlineStr">
        <is>
          <t>J-004</t>
        </is>
      </c>
      <c r="C80" s="37" t="inlineStr">
        <is>
          <t>J</t>
        </is>
      </c>
      <c r="D80" s="37" t="inlineStr">
        <is>
          <t>SRS</t>
        </is>
      </c>
      <c r="E80" s="37" t="inlineStr">
        <is>
          <t>Lesson-to-test alignment: every test item ID in questions.json references a vocab/grammar item from a lesson ≤ the test's target lesson</t>
        </is>
      </c>
      <c r="F80" s="37" t="inlineStr">
        <is>
          <t>tools/check_content_integrity.py (new check)</t>
        </is>
      </c>
      <c r="G80" s="37" t="n"/>
      <c r="H80" s="37" t="inlineStr">
        <is>
          <t>SLA pedagogy researcher</t>
        </is>
      </c>
      <c r="I80" s="37" t="inlineStr">
        <is>
          <t>P3</t>
        </is>
      </c>
      <c r="J80" s="37" t="inlineStr">
        <is>
          <t>Major</t>
        </is>
      </c>
      <c r="K80" s="37" t="inlineStr">
        <is>
          <t>Auto</t>
        </is>
      </c>
      <c r="L80" s="37" t="inlineStr">
        <is>
          <t>1d</t>
        </is>
      </c>
      <c r="M80" s="37" t="inlineStr">
        <is>
          <t>0%</t>
        </is>
      </c>
      <c r="N80" s="37" t="inlineStr">
        <is>
          <t>PASS</t>
        </is>
      </c>
      <c r="O80" s="65" t="n">
        <v>46159</v>
      </c>
      <c r="P80" s="37" t="inlineStr">
        <is>
          <t>J. Pedagogy!row 8</t>
        </is>
      </c>
    </row>
    <row r="81" ht="43.5" customHeight="1" s="49">
      <c r="A81" s="37" t="n">
        <v>77</v>
      </c>
      <c r="B81" s="37" t="inlineStr">
        <is>
          <t>J-005</t>
        </is>
      </c>
      <c r="C81" s="37" t="inlineStr">
        <is>
          <t>J</t>
        </is>
      </c>
      <c r="D81" s="37" t="inlineStr">
        <is>
          <t>SRS</t>
        </is>
      </c>
      <c r="E81" s="37" t="inlineStr">
        <is>
          <t>Distractor cognitive load: MCQ distractors are not so close to the correct answer that the test becomes a recognition test rather than a recall test</t>
        </is>
      </c>
      <c r="F81" s="37" t="inlineStr">
        <is>
          <t>Custom Python (Lev distance) + manual review</t>
        </is>
      </c>
      <c r="G81" s="37" t="n"/>
      <c r="H81" s="37" t="inlineStr">
        <is>
          <t>SLA pedagogy researcher</t>
        </is>
      </c>
      <c r="I81" s="37" t="inlineStr">
        <is>
          <t>P3</t>
        </is>
      </c>
      <c r="J81" s="37" t="inlineStr">
        <is>
          <t>Major</t>
        </is>
      </c>
      <c r="K81" s="37" t="inlineStr">
        <is>
          <t>Auto+Manual</t>
        </is>
      </c>
      <c r="L81" s="37" t="inlineStr">
        <is>
          <t>1d</t>
        </is>
      </c>
      <c r="M81" s="37" t="inlineStr">
        <is>
          <t>0%</t>
        </is>
      </c>
      <c r="N81" s="37" t="inlineStr">
        <is>
          <t>Skipped — custom</t>
        </is>
      </c>
      <c r="O81" s="65" t="n">
        <v>46159</v>
      </c>
      <c r="P81" s="37" t="inlineStr">
        <is>
          <t>J. Pedagogy!row 9</t>
        </is>
      </c>
    </row>
    <row r="82" ht="29" customHeight="1" s="49">
      <c r="A82" s="37" t="n">
        <v>78</v>
      </c>
      <c r="B82" s="37" t="inlineStr">
        <is>
          <t>J-007</t>
        </is>
      </c>
      <c r="C82" s="37" t="inlineStr">
        <is>
          <t>J</t>
        </is>
      </c>
      <c r="D82" s="37" t="inlineStr">
        <is>
          <t>Curriculum</t>
        </is>
      </c>
      <c r="E82" s="37" t="inlineStr">
        <is>
          <t>Mnemonic coverage: ≥80% of kanji.json entries have a non-trivial mnemonic field</t>
        </is>
      </c>
      <c r="F82" s="37" t="inlineStr">
        <is>
          <t>Custom Python</t>
        </is>
      </c>
      <c r="G82" s="37" t="n"/>
      <c r="H82" s="37" t="inlineStr">
        <is>
          <t>SLA pedagogy researcher</t>
        </is>
      </c>
      <c r="I82" s="37" t="inlineStr">
        <is>
          <t>P3</t>
        </is>
      </c>
      <c r="J82" s="37" t="inlineStr">
        <is>
          <t>Major</t>
        </is>
      </c>
      <c r="K82" s="37" t="inlineStr">
        <is>
          <t>Auto</t>
        </is>
      </c>
      <c r="L82" s="37" t="inlineStr">
        <is>
          <t>1d</t>
        </is>
      </c>
      <c r="M82" s="37" t="inlineStr">
        <is>
          <t>0%</t>
        </is>
      </c>
      <c r="N82" s="37" t="inlineStr">
        <is>
          <t>Skipped — custom</t>
        </is>
      </c>
      <c r="O82" s="65" t="n">
        <v>46159</v>
      </c>
      <c r="P82" s="37" t="inlineStr">
        <is>
          <t>J. Pedagogy!row 11</t>
        </is>
      </c>
    </row>
    <row r="83" ht="43.5" customHeight="1" s="49">
      <c r="A83" s="37" t="n">
        <v>79</v>
      </c>
      <c r="B83" s="37" t="inlineStr">
        <is>
          <t>J-008</t>
        </is>
      </c>
      <c r="C83" s="37" t="inlineStr">
        <is>
          <t>J</t>
        </is>
      </c>
      <c r="D83" s="37" t="inlineStr">
        <is>
          <t>Curriculum</t>
        </is>
      </c>
      <c r="E83" s="37" t="inlineStr">
        <is>
          <t>Hindi-L1 transfer-error coverage: common HI-L1 errors (postposition mapping, word order) have explicit common_mistakes entries</t>
        </is>
      </c>
      <c r="F83" s="37" t="inlineStr">
        <is>
          <t>Custom Python (grep grammar.json common_mistakes for transfer-error keywords)</t>
        </is>
      </c>
      <c r="G83" s="37" t="n"/>
      <c r="H83" s="37" t="inlineStr">
        <is>
          <t>SLA pedagogy researcher</t>
        </is>
      </c>
      <c r="I83" s="37" t="inlineStr">
        <is>
          <t>P3</t>
        </is>
      </c>
      <c r="J83" s="37" t="inlineStr">
        <is>
          <t>Major</t>
        </is>
      </c>
      <c r="K83" s="37" t="inlineStr">
        <is>
          <t>Auto</t>
        </is>
      </c>
      <c r="L83" s="37" t="inlineStr">
        <is>
          <t>1d</t>
        </is>
      </c>
      <c r="M83" s="37" t="inlineStr">
        <is>
          <t>0%</t>
        </is>
      </c>
      <c r="N83" s="37" t="inlineStr">
        <is>
          <t>Skipped — custom</t>
        </is>
      </c>
      <c r="O83" s="65" t="n">
        <v>46159</v>
      </c>
      <c r="P83" s="37" t="inlineStr">
        <is>
          <t>J. Pedagogy!row 12</t>
        </is>
      </c>
    </row>
    <row r="84" ht="29" customHeight="1" s="49">
      <c r="A84" s="37" t="n">
        <v>80</v>
      </c>
      <c r="B84" s="37" t="inlineStr">
        <is>
          <t>J-009</t>
        </is>
      </c>
      <c r="C84" s="37" t="inlineStr">
        <is>
          <t>J</t>
        </is>
      </c>
      <c r="D84" s="37" t="inlineStr">
        <is>
          <t>Curriculum</t>
        </is>
      </c>
      <c r="E84" s="37" t="inlineStr">
        <is>
          <t>Spiral-review density: every kanji introduced in lesson L appears in ≥3 examples in lessons L+1..L+10</t>
        </is>
      </c>
      <c r="F84" s="37" t="inlineStr">
        <is>
          <t>Custom Python (kanji × lesson grid)</t>
        </is>
      </c>
      <c r="G84" s="37" t="n"/>
      <c r="H84" s="37" t="inlineStr">
        <is>
          <t>SLA pedagogy researcher</t>
        </is>
      </c>
      <c r="I84" s="37" t="inlineStr">
        <is>
          <t>P3</t>
        </is>
      </c>
      <c r="J84" s="37" t="inlineStr">
        <is>
          <t>Major</t>
        </is>
      </c>
      <c r="K84" s="37" t="inlineStr">
        <is>
          <t>Auto</t>
        </is>
      </c>
      <c r="L84" s="37" t="inlineStr">
        <is>
          <t>1d</t>
        </is>
      </c>
      <c r="M84" s="37" t="inlineStr">
        <is>
          <t>0%</t>
        </is>
      </c>
      <c r="N84" s="37" t="inlineStr">
        <is>
          <t>Skipped — custom</t>
        </is>
      </c>
      <c r="O84" s="65" t="n">
        <v>46159</v>
      </c>
      <c r="P84" s="37" t="inlineStr">
        <is>
          <t>J. Pedagogy!row 13</t>
        </is>
      </c>
    </row>
    <row r="85">
      <c r="A85" s="37" t="n">
        <v>81</v>
      </c>
      <c r="B85" s="37" t="inlineStr">
        <is>
          <t>K-005</t>
        </is>
      </c>
      <c r="C85" s="37" t="inlineStr">
        <is>
          <t>K</t>
        </is>
      </c>
      <c r="D85" s="37" t="inlineStr">
        <is>
          <t>Automation</t>
        </is>
      </c>
      <c r="E85" s="37" t="inlineStr">
        <is>
          <t>Unit-test coverage for tools/*.py</t>
        </is>
      </c>
      <c r="F85" s="37" t="inlineStr">
        <is>
          <t>n/a — manual evaluation</t>
        </is>
      </c>
      <c r="G85" s="37" t="n"/>
      <c r="H85" s="37" t="inlineStr">
        <is>
          <t>QA tester</t>
        </is>
      </c>
      <c r="I85" s="37" t="inlineStr">
        <is>
          <t>P3</t>
        </is>
      </c>
      <c r="J85" s="37" t="inlineStr">
        <is>
          <t>Major</t>
        </is>
      </c>
      <c r="K85" s="37" t="inlineStr">
        <is>
          <t>Auto</t>
        </is>
      </c>
      <c r="L85" s="37" t="inlineStr">
        <is>
          <t>1d</t>
        </is>
      </c>
      <c r="M85" s="37" t="inlineStr">
        <is>
          <t>0%</t>
        </is>
      </c>
      <c r="N85" s="37" t="inlineStr">
        <is>
          <t>Manual — deferred</t>
        </is>
      </c>
      <c r="O85" s="65" t="n">
        <v>46159</v>
      </c>
      <c r="P85" s="37" t="inlineStr">
        <is>
          <t>K. QA testing!row 9</t>
        </is>
      </c>
    </row>
    <row r="86">
      <c r="A86" s="37" t="n">
        <v>82</v>
      </c>
      <c r="B86" s="37" t="inlineStr">
        <is>
          <t>K-006</t>
        </is>
      </c>
      <c r="C86" s="37" t="inlineStr">
        <is>
          <t>K</t>
        </is>
      </c>
      <c r="D86" s="37" t="inlineStr">
        <is>
          <t>Automation</t>
        </is>
      </c>
      <c r="E86" s="37" t="inlineStr">
        <is>
          <t>Integration tests for data-loading + rendering</t>
        </is>
      </c>
      <c r="F86" s="37" t="inlineStr">
        <is>
          <t>n/a — manual evaluation</t>
        </is>
      </c>
      <c r="G86" s="37" t="n"/>
      <c r="H86" s="37" t="inlineStr">
        <is>
          <t>QA tester</t>
        </is>
      </c>
      <c r="I86" s="37" t="inlineStr">
        <is>
          <t>P3</t>
        </is>
      </c>
      <c r="J86" s="37" t="inlineStr">
        <is>
          <t>Major</t>
        </is>
      </c>
      <c r="K86" s="37" t="inlineStr">
        <is>
          <t>Auto</t>
        </is>
      </c>
      <c r="L86" s="37" t="inlineStr">
        <is>
          <t>1d</t>
        </is>
      </c>
      <c r="M86" s="37" t="inlineStr">
        <is>
          <t>0%</t>
        </is>
      </c>
      <c r="N86" s="37" t="inlineStr">
        <is>
          <t>Manual — deferred</t>
        </is>
      </c>
      <c r="O86" s="65" t="n">
        <v>46159</v>
      </c>
      <c r="P86" s="37" t="inlineStr">
        <is>
          <t>K. QA testing!row 10</t>
        </is>
      </c>
    </row>
    <row r="87">
      <c r="A87" s="37" t="n">
        <v>83</v>
      </c>
      <c r="B87" s="37" t="inlineStr">
        <is>
          <t>K-007</t>
        </is>
      </c>
      <c r="C87" s="37" t="inlineStr">
        <is>
          <t>K</t>
        </is>
      </c>
      <c r="D87" s="37" t="inlineStr">
        <is>
          <t>Automation</t>
        </is>
      </c>
      <c r="E87" s="37" t="inlineStr">
        <is>
          <t>E2E test of complete user flow (vocab study → quiz → results)</t>
        </is>
      </c>
      <c r="F87" s="37" t="inlineStr">
        <is>
          <t>n/a — manual evaluation</t>
        </is>
      </c>
      <c r="G87" s="37" t="n"/>
      <c r="H87" s="37" t="inlineStr">
        <is>
          <t>QA tester</t>
        </is>
      </c>
      <c r="I87" s="37" t="inlineStr">
        <is>
          <t>P3</t>
        </is>
      </c>
      <c r="J87" s="37" t="inlineStr">
        <is>
          <t>Major</t>
        </is>
      </c>
      <c r="K87" s="37" t="inlineStr">
        <is>
          <t>Auto</t>
        </is>
      </c>
      <c r="L87" s="37" t="inlineStr">
        <is>
          <t>1d</t>
        </is>
      </c>
      <c r="M87" s="37" t="inlineStr">
        <is>
          <t>0%</t>
        </is>
      </c>
      <c r="N87" s="37" t="inlineStr">
        <is>
          <t>Manual — deferred</t>
        </is>
      </c>
      <c r="O87" s="65" t="n">
        <v>46159</v>
      </c>
      <c r="P87" s="37" t="inlineStr">
        <is>
          <t>K. QA testing!row 11</t>
        </is>
      </c>
    </row>
    <row r="88" ht="29" customHeight="1" s="49">
      <c r="A88" s="37" t="n">
        <v>84</v>
      </c>
      <c r="B88" s="37" t="inlineStr">
        <is>
          <t>K-018</t>
        </is>
      </c>
      <c r="C88" s="37" t="inlineStr">
        <is>
          <t>K</t>
        </is>
      </c>
      <c r="D88" s="37" t="inlineStr">
        <is>
          <t>Cross-artifact sync</t>
        </is>
      </c>
      <c r="E88" s="37" t="inlineStr">
        <is>
          <t>Script-reference drift detection (INV-10 / JA-109)</t>
        </is>
      </c>
      <c r="F88" s="37" t="inlineStr">
        <is>
          <t>tools/check_content_integrity.py, tools/cross_artifact_sync_report.py</t>
        </is>
      </c>
      <c r="G88" s="37" t="inlineStr">
        <is>
          <t>JA-109</t>
        </is>
      </c>
      <c r="H88" s="37" t="inlineStr">
        <is>
          <t>QA / docs maintainer</t>
        </is>
      </c>
      <c r="I88" s="37" t="inlineStr">
        <is>
          <t>P3</t>
        </is>
      </c>
      <c r="J88" s="37" t="inlineStr">
        <is>
          <t>Minor</t>
        </is>
      </c>
      <c r="K88" s="37" t="inlineStr">
        <is>
          <t>Auto</t>
        </is>
      </c>
      <c r="L88" s="37" t="inlineStr">
        <is>
          <t>30m</t>
        </is>
      </c>
      <c r="M88" s="37" t="inlineStr">
        <is>
          <t>100%</t>
        </is>
      </c>
      <c r="N88" s="37" t="inlineStr">
        <is>
          <t>PASS</t>
        </is>
      </c>
      <c r="O88" s="65" t="n">
        <v>46159</v>
      </c>
      <c r="P88" s="37" t="inlineStr">
        <is>
          <t>K. QA testing!row 22</t>
        </is>
      </c>
    </row>
    <row r="89" ht="29" customHeight="1" s="49">
      <c r="A89" s="38" t="n">
        <v>85</v>
      </c>
      <c r="B89" s="38" t="inlineStr">
        <is>
          <t>A-016</t>
        </is>
      </c>
      <c r="C89" s="38" t="inlineStr">
        <is>
          <t>A</t>
        </is>
      </c>
      <c r="D89" s="38" t="inlineStr">
        <is>
          <t>Counters</t>
        </is>
      </c>
      <c r="E89" s="38" t="inlineStr">
        <is>
          <t>Native-counter (つ) range boundary (1-10)</t>
        </is>
      </c>
      <c r="F89" s="38" t="inlineStr">
        <is>
          <t>tools/check_content_integrity.py (JA-NN regex pass)</t>
        </is>
      </c>
      <c r="G89" s="38" t="n"/>
      <c r="H89" s="38" t="inlineStr">
        <is>
          <t>Native Japanese teacher</t>
        </is>
      </c>
      <c r="I89" s="38" t="inlineStr">
        <is>
          <t>P4</t>
        </is>
      </c>
      <c r="J89" s="38" t="inlineStr">
        <is>
          <t>Minor</t>
        </is>
      </c>
      <c r="K89" s="38" t="inlineStr">
        <is>
          <t>Auto</t>
        </is>
      </c>
      <c r="L89" s="38" t="inlineStr">
        <is>
          <t>1h</t>
        </is>
      </c>
      <c r="M89" s="38" t="inlineStr">
        <is>
          <t>0%</t>
        </is>
      </c>
      <c r="N89" s="38" t="inlineStr">
        <is>
          <t>PASS</t>
        </is>
      </c>
      <c r="O89" s="66" t="n">
        <v>46159</v>
      </c>
      <c r="P89" s="38" t="inlineStr">
        <is>
          <t>A. Japanese language!row 20</t>
        </is>
      </c>
    </row>
    <row r="90" ht="29" customHeight="1" s="49">
      <c r="A90" s="38" t="n">
        <v>86</v>
      </c>
      <c r="B90" s="38" t="inlineStr">
        <is>
          <t>B-002</t>
        </is>
      </c>
      <c r="C90" s="38" t="inlineStr">
        <is>
          <t>B</t>
        </is>
      </c>
      <c r="D90" s="38" t="inlineStr">
        <is>
          <t>Mondai structure</t>
        </is>
      </c>
      <c r="E90" s="38" t="inlineStr">
        <is>
          <t>Choice count per mondai (3 vs 4 vs 1)</t>
        </is>
      </c>
      <c r="F90" s="38" t="inlineStr">
        <is>
          <t>tools/check_content_integrity.py (JA-33 — choices-per-mondai check)</t>
        </is>
      </c>
      <c r="G90" s="38" t="n"/>
      <c r="H90" s="38" t="inlineStr">
        <is>
          <t>JLPT exam expert (JEES-aligned)</t>
        </is>
      </c>
      <c r="I90" s="38" t="inlineStr">
        <is>
          <t>P4</t>
        </is>
      </c>
      <c r="J90" s="38" t="inlineStr">
        <is>
          <t>Minor</t>
        </is>
      </c>
      <c r="K90" s="38" t="inlineStr">
        <is>
          <t>Auto</t>
        </is>
      </c>
      <c r="L90" s="38" t="inlineStr">
        <is>
          <t>1h</t>
        </is>
      </c>
      <c r="M90" s="38" t="inlineStr">
        <is>
          <t>0%</t>
        </is>
      </c>
      <c r="N90" s="38" t="inlineStr">
        <is>
          <t>PASS</t>
        </is>
      </c>
      <c r="O90" s="66" t="n">
        <v>46159</v>
      </c>
      <c r="P90" s="38" t="inlineStr">
        <is>
          <t>B. JLPT format!row 6</t>
        </is>
      </c>
    </row>
    <row r="91" ht="29" customHeight="1" s="49">
      <c r="A91" s="38" t="n">
        <v>87</v>
      </c>
      <c r="B91" s="38" t="inlineStr">
        <is>
          <t>I-023</t>
        </is>
      </c>
      <c r="C91" s="38" t="inlineStr">
        <is>
          <t>I</t>
        </is>
      </c>
      <c r="D91" s="38" t="inlineStr">
        <is>
          <t>Auto-derivation freshness</t>
        </is>
      </c>
      <c r="E91" s="38" t="inlineStr">
        <is>
          <t>Every auto-derived array (kanji.n5_compounds, kanji.examples) is fresh vs its source (vocab.json last_modified)</t>
        </is>
      </c>
      <c r="F91" s="38" t="inlineStr">
        <is>
          <t>Custom Python (timestamp comparison; pending implementation)</t>
        </is>
      </c>
      <c r="G91" s="38" t="n"/>
      <c r="H91" s="38" t="inlineStr">
        <is>
          <t>Data engineer</t>
        </is>
      </c>
      <c r="I91" s="38" t="inlineStr">
        <is>
          <t>P4</t>
        </is>
      </c>
      <c r="J91" s="38" t="inlineStr">
        <is>
          <t>Minor</t>
        </is>
      </c>
      <c r="K91" s="38" t="inlineStr">
        <is>
          <t>Auto</t>
        </is>
      </c>
      <c r="L91" s="38" t="inlineStr">
        <is>
          <t>1d</t>
        </is>
      </c>
      <c r="M91" s="38" t="inlineStr">
        <is>
          <t>0%</t>
        </is>
      </c>
      <c r="N91" s="38" t="inlineStr">
        <is>
          <t>Skipped — custom</t>
        </is>
      </c>
      <c r="O91" s="66" t="n">
        <v>46159</v>
      </c>
      <c r="P91" s="38" t="inlineStr">
        <is>
          <t>I. Data engineering!row 24</t>
        </is>
      </c>
    </row>
    <row r="92" ht="29" customHeight="1" s="49">
      <c r="A92" s="38" t="n">
        <v>88</v>
      </c>
      <c r="B92" s="38" t="inlineStr">
        <is>
          <t>J-006</t>
        </is>
      </c>
      <c r="C92" s="38" t="inlineStr">
        <is>
          <t>J</t>
        </is>
      </c>
      <c r="D92" s="38" t="inlineStr">
        <is>
          <t>SRS</t>
        </is>
      </c>
      <c r="E92" s="38" t="inlineStr">
        <is>
          <t>Productive-vs-receptive balance: total drill count is ≥30% production (output) drills, not just MCQ (recognition)</t>
        </is>
      </c>
      <c r="F92" s="38" t="inlineStr">
        <is>
          <t>Custom Python (drill-type tally)</t>
        </is>
      </c>
      <c r="G92" s="38" t="n"/>
      <c r="H92" s="38" t="inlineStr">
        <is>
          <t>SLA pedagogy researcher</t>
        </is>
      </c>
      <c r="I92" s="38" t="inlineStr">
        <is>
          <t>P4</t>
        </is>
      </c>
      <c r="J92" s="38" t="inlineStr">
        <is>
          <t>Minor</t>
        </is>
      </c>
      <c r="K92" s="38" t="inlineStr">
        <is>
          <t>Auto</t>
        </is>
      </c>
      <c r="L92" s="38" t="inlineStr">
        <is>
          <t>1d</t>
        </is>
      </c>
      <c r="M92" s="38" t="inlineStr">
        <is>
          <t>0%</t>
        </is>
      </c>
      <c r="N92" s="38" t="inlineStr">
        <is>
          <t>Skipped — custom</t>
        </is>
      </c>
      <c r="O92" s="66" t="n">
        <v>46159</v>
      </c>
      <c r="P92" s="38" t="inlineStr">
        <is>
          <t>J. Pedagogy!row 10</t>
        </is>
      </c>
    </row>
    <row r="93" ht="29" customHeight="1" s="49">
      <c r="A93" s="38" t="n">
        <v>89</v>
      </c>
      <c r="B93" s="38" t="inlineStr">
        <is>
          <t>J-010</t>
        </is>
      </c>
      <c r="C93" s="38" t="inlineStr">
        <is>
          <t>J</t>
        </is>
      </c>
      <c r="D93" s="38" t="inlineStr">
        <is>
          <t>Assessment</t>
        </is>
      </c>
      <c r="E93" s="38" t="inlineStr">
        <is>
          <t>Lesson-completion time budget: each lesson takes 30–60 min for a HI-L1 learner; measured by content volume × reading speed</t>
        </is>
      </c>
      <c r="F93" s="38" t="inlineStr">
        <is>
          <t>Custom Python (lesson-budget calc)</t>
        </is>
      </c>
      <c r="G93" s="38" t="n"/>
      <c r="H93" s="38" t="inlineStr">
        <is>
          <t>SLA pedagogy researcher</t>
        </is>
      </c>
      <c r="I93" s="38" t="inlineStr">
        <is>
          <t>P4</t>
        </is>
      </c>
      <c r="J93" s="38" t="inlineStr">
        <is>
          <t>Major</t>
        </is>
      </c>
      <c r="K93" s="38" t="inlineStr">
        <is>
          <t>Auto</t>
        </is>
      </c>
      <c r="L93" s="38" t="inlineStr">
        <is>
          <t>1d</t>
        </is>
      </c>
      <c r="M93" s="38" t="inlineStr">
        <is>
          <t>0%</t>
        </is>
      </c>
      <c r="N93" s="38" t="inlineStr">
        <is>
          <t>Skipped — custom</t>
        </is>
      </c>
      <c r="O93" s="66" t="n">
        <v>46159</v>
      </c>
      <c r="P93" s="38" t="inlineStr">
        <is>
          <t>J. Pedagogy!row 14</t>
        </is>
      </c>
    </row>
    <row r="94" ht="43.5" customHeight="1" s="49">
      <c r="A94" s="38" t="n">
        <v>90</v>
      </c>
      <c r="B94" s="38" t="inlineStr">
        <is>
          <t>J-011</t>
        </is>
      </c>
      <c r="C94" s="38" t="inlineStr">
        <is>
          <t>J</t>
        </is>
      </c>
      <c r="D94" s="38" t="inlineStr">
        <is>
          <t>Assessment</t>
        </is>
      </c>
      <c r="E94" s="38" t="inlineStr">
        <is>
          <t>Difficulty progression monotonicity: lesson N is no easier than lesson N-1 by a measurable proxy (vocab frequency-rank floor, kanji-stroke-count avg)</t>
        </is>
      </c>
      <c r="F94" s="38" t="inlineStr">
        <is>
          <t>Custom Python (difficulty-progression check)</t>
        </is>
      </c>
      <c r="G94" s="38" t="n"/>
      <c r="H94" s="38" t="inlineStr">
        <is>
          <t>SLA pedagogy researcher</t>
        </is>
      </c>
      <c r="I94" s="38" t="inlineStr">
        <is>
          <t>P4</t>
        </is>
      </c>
      <c r="J94" s="38" t="inlineStr">
        <is>
          <t>Major</t>
        </is>
      </c>
      <c r="K94" s="38" t="inlineStr">
        <is>
          <t>Auto</t>
        </is>
      </c>
      <c r="L94" s="38" t="inlineStr">
        <is>
          <t>1d</t>
        </is>
      </c>
      <c r="M94" s="38" t="inlineStr">
        <is>
          <t>0%</t>
        </is>
      </c>
      <c r="N94" s="38" t="inlineStr">
        <is>
          <t>Skipped — custom</t>
        </is>
      </c>
      <c r="O94" s="66" t="n">
        <v>46159</v>
      </c>
      <c r="P94" s="38" t="inlineStr">
        <is>
          <t>J. Pedagogy!row 15</t>
        </is>
      </c>
    </row>
    <row r="95" ht="29" customHeight="1" s="49">
      <c r="A95" s="38" t="n">
        <v>91</v>
      </c>
      <c r="B95" s="38" t="inlineStr">
        <is>
          <t>J-012</t>
        </is>
      </c>
      <c r="C95" s="38" t="inlineStr">
        <is>
          <t>J</t>
        </is>
      </c>
      <c r="D95" s="38" t="inlineStr">
        <is>
          <t>Comparative</t>
        </is>
      </c>
      <c r="E95" s="38" t="inlineStr">
        <is>
          <t>Authentic-input ratio: ≥15% of reading + listening content is from authentic sources (signs, menus, announcements) vs constructed</t>
        </is>
      </c>
      <c r="F95" s="38" t="inlineStr">
        <is>
          <t>Custom Python</t>
        </is>
      </c>
      <c r="G95" s="38" t="n"/>
      <c r="H95" s="38" t="inlineStr">
        <is>
          <t>SLA pedagogy researcher</t>
        </is>
      </c>
      <c r="I95" s="38" t="inlineStr">
        <is>
          <t>P4</t>
        </is>
      </c>
      <c r="J95" s="38" t="inlineStr">
        <is>
          <t>Minor</t>
        </is>
      </c>
      <c r="K95" s="38" t="inlineStr">
        <is>
          <t>Auto</t>
        </is>
      </c>
      <c r="L95" s="38" t="inlineStr">
        <is>
          <t>1d</t>
        </is>
      </c>
      <c r="M95" s="38" t="inlineStr">
        <is>
          <t>0%</t>
        </is>
      </c>
      <c r="N95" s="38" t="inlineStr">
        <is>
          <t>Skipped — custom</t>
        </is>
      </c>
      <c r="O95" s="66" t="n">
        <v>46159</v>
      </c>
      <c r="P95" s="38" t="inlineStr">
        <is>
          <t>J. Pedagogy!row 16</t>
        </is>
      </c>
    </row>
    <row r="96" ht="29" customHeight="1" s="49">
      <c r="A96" s="38" t="n">
        <v>92</v>
      </c>
      <c r="B96" s="38" t="inlineStr">
        <is>
          <t>J-013</t>
        </is>
      </c>
      <c r="C96" s="38" t="inlineStr">
        <is>
          <t>J</t>
        </is>
      </c>
      <c r="D96" s="38" t="inlineStr">
        <is>
          <t>Comparative</t>
        </is>
      </c>
      <c r="E96" s="38" t="inlineStr">
        <is>
          <t>Cultural-context attachment: every grammar pattern has a cultural_callout field; locked by JA-53</t>
        </is>
      </c>
      <c r="F96" s="38" t="inlineStr">
        <is>
          <t>tools/check_content_integrity.py (JA-53)</t>
        </is>
      </c>
      <c r="G96" s="38" t="n"/>
      <c r="H96" s="38" t="inlineStr">
        <is>
          <t>SLA pedagogy researcher</t>
        </is>
      </c>
      <c r="I96" s="38" t="inlineStr">
        <is>
          <t>P4</t>
        </is>
      </c>
      <c r="J96" s="38" t="inlineStr">
        <is>
          <t>Minor</t>
        </is>
      </c>
      <c r="K96" s="38" t="inlineStr">
        <is>
          <t>Auto</t>
        </is>
      </c>
      <c r="L96" s="38" t="inlineStr">
        <is>
          <t>1d</t>
        </is>
      </c>
      <c r="M96" s="38" t="inlineStr">
        <is>
          <t>0%</t>
        </is>
      </c>
      <c r="N96" s="38" t="inlineStr">
        <is>
          <t>PASS</t>
        </is>
      </c>
      <c r="O96" s="66" t="n">
        <v>46159</v>
      </c>
      <c r="P96" s="38" t="inlineStr">
        <is>
          <t>J. Pedagogy!row 17</t>
        </is>
      </c>
    </row>
    <row r="97" ht="29" customHeight="1" s="49">
      <c r="A97" s="38" t="n">
        <v>93</v>
      </c>
      <c r="B97" s="38" t="inlineStr">
        <is>
          <t>N-012</t>
        </is>
      </c>
      <c r="C97" s="38" t="inlineStr">
        <is>
          <t>N</t>
        </is>
      </c>
      <c r="D97" s="38" t="inlineStr">
        <is>
          <t>Mobile / emerging-market</t>
        </is>
      </c>
      <c r="E97" s="38" t="inlineStr">
        <is>
          <t>Data-quota efficiency (per-session MB transferred)</t>
        </is>
      </c>
      <c r="F97" s="38" t="inlineStr">
        <is>
          <t>n/a — manual evaluation</t>
        </is>
      </c>
      <c r="G97" s="38" t="n"/>
      <c r="H97" s="38" t="inlineStr">
        <is>
          <t>Primary-persona learner (HI-L1, EN-L2)</t>
        </is>
      </c>
      <c r="I97" s="38" t="inlineStr">
        <is>
          <t>P4</t>
        </is>
      </c>
      <c r="J97" s="38" t="inlineStr">
        <is>
          <t>Minor</t>
        </is>
      </c>
      <c r="K97" s="38" t="inlineStr">
        <is>
          <t>Auto</t>
        </is>
      </c>
      <c r="L97" s="38" t="inlineStr">
        <is>
          <t>1wk</t>
        </is>
      </c>
      <c r="M97" s="38" t="inlineStr">
        <is>
          <t>0%</t>
        </is>
      </c>
      <c r="N97" s="38" t="inlineStr">
        <is>
          <t>Manual — deferred</t>
        </is>
      </c>
      <c r="O97" s="66" t="n">
        <v>46159</v>
      </c>
      <c r="P97" s="38" t="inlineStr">
        <is>
          <t>N. End-user POV!row 16</t>
        </is>
      </c>
    </row>
    <row r="98">
      <c r="A98" s="39" t="n">
        <v>94</v>
      </c>
      <c r="B98" s="39" t="inlineStr">
        <is>
          <t>A-027</t>
        </is>
      </c>
      <c r="C98" s="39" t="inlineStr">
        <is>
          <t>A</t>
        </is>
      </c>
      <c r="D98" s="39" t="inlineStr">
        <is>
          <t>Romaji</t>
        </is>
      </c>
      <c r="E98" s="39" t="inlineStr">
        <is>
          <t>Hepburn vs Kunrei consistency across all romanized strings</t>
        </is>
      </c>
      <c r="F98" s="39" t="inlineStr">
        <is>
          <t>n/a — manual evaluation</t>
        </is>
      </c>
      <c r="G98" s="39" t="n"/>
      <c r="H98" s="39" t="inlineStr">
        <is>
          <t>Native Japanese teacher</t>
        </is>
      </c>
      <c r="I98" s="39" t="inlineStr">
        <is>
          <t>P5</t>
        </is>
      </c>
      <c r="J98" s="39" t="inlineStr">
        <is>
          <t>Minor</t>
        </is>
      </c>
      <c r="K98" s="39" t="inlineStr">
        <is>
          <t>Auto</t>
        </is>
      </c>
      <c r="L98" s="39" t="inlineStr">
        <is>
          <t>1h</t>
        </is>
      </c>
      <c r="M98" s="39" t="inlineStr">
        <is>
          <t>0%</t>
        </is>
      </c>
      <c r="N98" s="39" t="inlineStr">
        <is>
          <t>Manual — deferred</t>
        </is>
      </c>
      <c r="O98" s="67" t="n">
        <v>46159</v>
      </c>
      <c r="P98" s="39" t="inlineStr">
        <is>
          <t>A. Japanese language!row 31</t>
        </is>
      </c>
    </row>
    <row r="99" ht="29" customHeight="1" s="49">
      <c r="A99" s="39" t="n">
        <v>95</v>
      </c>
      <c r="B99" s="39" t="inlineStr">
        <is>
          <t>B-005</t>
        </is>
      </c>
      <c r="C99" s="39" t="inlineStr">
        <is>
          <t>B</t>
        </is>
      </c>
      <c r="D99" s="39" t="inlineStr">
        <is>
          <t>Distractor pedagogy</t>
        </is>
      </c>
      <c r="E99" s="39" t="inlineStr">
        <is>
          <t>Distractor-uniqueness (no duplicate distractors across questions)</t>
        </is>
      </c>
      <c r="F99" s="39" t="inlineStr">
        <is>
          <t>tools/check_content_integrity.py (JA-11 — duplicate MCQ choice guard)</t>
        </is>
      </c>
      <c r="G99" s="39" t="n"/>
      <c r="H99" s="39" t="inlineStr">
        <is>
          <t>JLPT exam expert (JEES-aligned)</t>
        </is>
      </c>
      <c r="I99" s="39" t="inlineStr">
        <is>
          <t>P5</t>
        </is>
      </c>
      <c r="J99" s="39" t="inlineStr">
        <is>
          <t>Minor</t>
        </is>
      </c>
      <c r="K99" s="39" t="inlineStr">
        <is>
          <t>Auto</t>
        </is>
      </c>
      <c r="L99" s="39" t="inlineStr">
        <is>
          <t>1h</t>
        </is>
      </c>
      <c r="M99" s="39" t="inlineStr">
        <is>
          <t>0%</t>
        </is>
      </c>
      <c r="N99" s="39" t="inlineStr">
        <is>
          <t>PASS</t>
        </is>
      </c>
      <c r="O99" s="67" t="n">
        <v>46159</v>
      </c>
      <c r="P99" s="39" t="inlineStr">
        <is>
          <t>B. JLPT format!row 9</t>
        </is>
      </c>
    </row>
    <row r="100" ht="29" customHeight="1" s="49">
      <c r="A100" s="39" t="n">
        <v>96</v>
      </c>
      <c r="B100" s="39" t="inlineStr">
        <is>
          <t>B-012</t>
        </is>
      </c>
      <c r="C100" s="39" t="inlineStr">
        <is>
          <t>B</t>
        </is>
      </c>
      <c r="D100" s="39" t="inlineStr">
        <is>
          <t>Item validity</t>
        </is>
      </c>
      <c r="E100" s="39" t="inlineStr">
        <is>
          <t>Item-difficulty p-value estimation (when learner data accumulates)</t>
        </is>
      </c>
      <c r="F100" s="39" t="inlineStr">
        <is>
          <t>n/a — manual evaluation</t>
        </is>
      </c>
      <c r="G100" s="39" t="n"/>
      <c r="H100" s="39" t="inlineStr">
        <is>
          <t>JLPT exam expert (JEES-aligned)</t>
        </is>
      </c>
      <c r="I100" s="39" t="inlineStr">
        <is>
          <t>P5</t>
        </is>
      </c>
      <c r="J100" s="39" t="inlineStr">
        <is>
          <t>Minor</t>
        </is>
      </c>
      <c r="K100" s="39" t="inlineStr">
        <is>
          <t>Auto</t>
        </is>
      </c>
      <c r="L100" s="39" t="inlineStr">
        <is>
          <t>4h</t>
        </is>
      </c>
      <c r="M100" s="39" t="inlineStr">
        <is>
          <t>0%</t>
        </is>
      </c>
      <c r="N100" s="39" t="inlineStr">
        <is>
          <t>Manual — deferred</t>
        </is>
      </c>
      <c r="O100" s="67" t="n">
        <v>46159</v>
      </c>
      <c r="P100" s="39" t="inlineStr">
        <is>
          <t>B. JLPT format!row 16</t>
        </is>
      </c>
    </row>
    <row r="101" ht="29" customHeight="1" s="49">
      <c r="A101" s="39" t="n">
        <v>97</v>
      </c>
      <c r="B101" s="39" t="inlineStr">
        <is>
          <t>B-013</t>
        </is>
      </c>
      <c r="C101" s="39" t="inlineStr">
        <is>
          <t>B</t>
        </is>
      </c>
      <c r="D101" s="39" t="inlineStr">
        <is>
          <t>Item validity</t>
        </is>
      </c>
      <c r="E101" s="39" t="inlineStr">
        <is>
          <t>Item-discrimination (do top-scoring learners pass it?)</t>
        </is>
      </c>
      <c r="F101" s="39" t="inlineStr">
        <is>
          <t>n/a — manual evaluation</t>
        </is>
      </c>
      <c r="G101" s="39" t="n"/>
      <c r="H101" s="39" t="inlineStr">
        <is>
          <t>JLPT exam expert (JEES-aligned)</t>
        </is>
      </c>
      <c r="I101" s="39" t="inlineStr">
        <is>
          <t>P5</t>
        </is>
      </c>
      <c r="J101" s="39" t="inlineStr">
        <is>
          <t>Minor</t>
        </is>
      </c>
      <c r="K101" s="39" t="inlineStr">
        <is>
          <t>Auto</t>
        </is>
      </c>
      <c r="L101" s="39" t="inlineStr">
        <is>
          <t>4h</t>
        </is>
      </c>
      <c r="M101" s="39" t="inlineStr">
        <is>
          <t>0%</t>
        </is>
      </c>
      <c r="N101" s="39" t="inlineStr">
        <is>
          <t>Manual — deferred</t>
        </is>
      </c>
      <c r="O101" s="67" t="n">
        <v>46159</v>
      </c>
      <c r="P101" s="39" t="inlineStr">
        <is>
          <t>B. JLPT format!row 17</t>
        </is>
      </c>
    </row>
    <row r="102">
      <c r="A102" s="39" t="n">
        <v>98</v>
      </c>
      <c r="B102" s="39" t="inlineStr">
        <is>
          <t>E-011</t>
        </is>
      </c>
      <c r="C102" s="39" t="inlineStr">
        <is>
          <t>E</t>
        </is>
      </c>
      <c r="D102" s="39" t="inlineStr">
        <is>
          <t>Motor</t>
        </is>
      </c>
      <c r="E102" s="39" t="inlineStr">
        <is>
          <t>Touch-target size ≥ 48x48 px on mobile</t>
        </is>
      </c>
      <c r="F102" s="39" t="inlineStr">
        <is>
          <t>n/a — manual evaluation</t>
        </is>
      </c>
      <c r="G102" s="39" t="n"/>
      <c r="H102" s="39" t="inlineStr">
        <is>
          <t>WCAG-AA auditor</t>
        </is>
      </c>
      <c r="I102" s="39" t="inlineStr">
        <is>
          <t>P5</t>
        </is>
      </c>
      <c r="J102" s="39" t="inlineStr">
        <is>
          <t>Minor</t>
        </is>
      </c>
      <c r="K102" s="39" t="inlineStr">
        <is>
          <t>Auto</t>
        </is>
      </c>
      <c r="L102" s="39" t="inlineStr">
        <is>
          <t>4h</t>
        </is>
      </c>
      <c r="M102" s="39" t="inlineStr">
        <is>
          <t>0%</t>
        </is>
      </c>
      <c r="N102" s="39" t="inlineStr">
        <is>
          <t>Manual — deferred</t>
        </is>
      </c>
      <c r="O102" s="67" t="n">
        <v>46159</v>
      </c>
      <c r="P102" s="39" t="inlineStr">
        <is>
          <t>E. Accessibility!row 15</t>
        </is>
      </c>
    </row>
    <row r="103">
      <c r="A103" s="39" t="n">
        <v>99</v>
      </c>
      <c r="B103" s="39" t="inlineStr">
        <is>
          <t>F-007</t>
        </is>
      </c>
      <c r="C103" s="39" t="inlineStr">
        <is>
          <t>F</t>
        </is>
      </c>
      <c r="D103" s="39" t="inlineStr">
        <is>
          <t>CSP</t>
        </is>
      </c>
      <c r="E103" s="39" t="inlineStr">
        <is>
          <t>Referrer-Policy header</t>
        </is>
      </c>
      <c r="F103" s="39" t="inlineStr">
        <is>
          <t>n/a — manual evaluation</t>
        </is>
      </c>
      <c r="G103" s="39" t="n"/>
      <c r="H103" s="39" t="inlineStr">
        <is>
          <t>Security engineer</t>
        </is>
      </c>
      <c r="I103" s="39" t="inlineStr">
        <is>
          <t>P5</t>
        </is>
      </c>
      <c r="J103" s="39" t="inlineStr">
        <is>
          <t>Minor</t>
        </is>
      </c>
      <c r="K103" s="39" t="inlineStr">
        <is>
          <t>Auto</t>
        </is>
      </c>
      <c r="L103" s="39" t="inlineStr">
        <is>
          <t>1h</t>
        </is>
      </c>
      <c r="M103" s="39" t="inlineStr">
        <is>
          <t>0%</t>
        </is>
      </c>
      <c r="N103" s="39" t="inlineStr">
        <is>
          <t>Manual — deferred</t>
        </is>
      </c>
      <c r="O103" s="67" t="n">
        <v>46159</v>
      </c>
      <c r="P103" s="39" t="inlineStr">
        <is>
          <t>F. Security!row 11</t>
        </is>
      </c>
    </row>
    <row r="104">
      <c r="A104" s="39" t="n">
        <v>100</v>
      </c>
      <c r="B104" s="39" t="inlineStr">
        <is>
          <t>F-008</t>
        </is>
      </c>
      <c r="C104" s="39" t="inlineStr">
        <is>
          <t>F</t>
        </is>
      </c>
      <c r="D104" s="39" t="inlineStr">
        <is>
          <t>CSP</t>
        </is>
      </c>
      <c r="E104" s="39" t="inlineStr">
        <is>
          <t>Permissions-Policy header (mic / camera / geolocation)</t>
        </is>
      </c>
      <c r="F104" s="39" t="inlineStr">
        <is>
          <t>n/a — manual evaluation</t>
        </is>
      </c>
      <c r="G104" s="39" t="n"/>
      <c r="H104" s="39" t="inlineStr">
        <is>
          <t>Security engineer</t>
        </is>
      </c>
      <c r="I104" s="39" t="inlineStr">
        <is>
          <t>P5</t>
        </is>
      </c>
      <c r="J104" s="39" t="inlineStr">
        <is>
          <t>Minor</t>
        </is>
      </c>
      <c r="K104" s="39" t="inlineStr">
        <is>
          <t>Auto</t>
        </is>
      </c>
      <c r="L104" s="39" t="inlineStr">
        <is>
          <t>1h</t>
        </is>
      </c>
      <c r="M104" s="39" t="inlineStr">
        <is>
          <t>0%</t>
        </is>
      </c>
      <c r="N104" s="39" t="inlineStr">
        <is>
          <t>Manual — deferred</t>
        </is>
      </c>
      <c r="O104" s="67" t="n">
        <v>46159</v>
      </c>
      <c r="P104" s="39" t="inlineStr">
        <is>
          <t>F. Security!row 12</t>
        </is>
      </c>
    </row>
    <row r="105" ht="29" customHeight="1" s="49">
      <c r="A105" s="39" t="n">
        <v>101</v>
      </c>
      <c r="B105" s="39" t="inlineStr">
        <is>
          <t>H-005</t>
        </is>
      </c>
      <c r="C105" s="39" t="inlineStr">
        <is>
          <t>H</t>
        </is>
      </c>
      <c r="D105" s="39" t="inlineStr">
        <is>
          <t>Bundle size</t>
        </is>
      </c>
      <c r="E105" s="39" t="inlineStr">
        <is>
          <t>Per-route code-splitting effectiveness</t>
        </is>
      </c>
      <c r="F105" s="39" t="inlineStr">
        <is>
          <t>n/a — manual evaluation</t>
        </is>
      </c>
      <c r="G105" s="39" t="n"/>
      <c r="H105" s="39" t="inlineStr">
        <is>
          <t>Web-performance engineer</t>
        </is>
      </c>
      <c r="I105" s="39" t="inlineStr">
        <is>
          <t>P5</t>
        </is>
      </c>
      <c r="J105" s="39" t="inlineStr">
        <is>
          <t>Minor</t>
        </is>
      </c>
      <c r="K105" s="39" t="inlineStr">
        <is>
          <t>Auto</t>
        </is>
      </c>
      <c r="L105" s="39" t="inlineStr">
        <is>
          <t>4h</t>
        </is>
      </c>
      <c r="M105" s="39" t="inlineStr">
        <is>
          <t>0%</t>
        </is>
      </c>
      <c r="N105" s="39" t="inlineStr">
        <is>
          <t>Manual — deferred</t>
        </is>
      </c>
      <c r="O105" s="67" t="n">
        <v>46159</v>
      </c>
      <c r="P105" s="39" t="inlineStr">
        <is>
          <t>H. Performance!row 9</t>
        </is>
      </c>
    </row>
    <row r="106" ht="29" customHeight="1" s="49">
      <c r="A106" s="39" t="n">
        <v>102</v>
      </c>
      <c r="B106" s="39" t="inlineStr">
        <is>
          <t>H-022</t>
        </is>
      </c>
      <c r="C106" s="39" t="inlineStr">
        <is>
          <t>H</t>
        </is>
      </c>
      <c r="D106" s="39" t="inlineStr">
        <is>
          <t>SEO</t>
        </is>
      </c>
      <c r="E106" s="39" t="inlineStr">
        <is>
          <t>Sitemap.xml presence + accuracy</t>
        </is>
      </c>
      <c r="F106" s="39" t="inlineStr">
        <is>
          <t>n/a — manual evaluation</t>
        </is>
      </c>
      <c r="G106" s="39" t="n"/>
      <c r="H106" s="39" t="inlineStr">
        <is>
          <t>Web-performance engineer</t>
        </is>
      </c>
      <c r="I106" s="39" t="inlineStr">
        <is>
          <t>P5</t>
        </is>
      </c>
      <c r="J106" s="39" t="inlineStr">
        <is>
          <t>Minor</t>
        </is>
      </c>
      <c r="K106" s="39" t="inlineStr">
        <is>
          <t>Auto</t>
        </is>
      </c>
      <c r="L106" s="39" t="inlineStr">
        <is>
          <t>4h</t>
        </is>
      </c>
      <c r="M106" s="39" t="inlineStr">
        <is>
          <t>0%</t>
        </is>
      </c>
      <c r="N106" s="39" t="inlineStr">
        <is>
          <t>Manual — deferred</t>
        </is>
      </c>
      <c r="O106" s="67" t="n">
        <v>46159</v>
      </c>
      <c r="P106" s="39" t="inlineStr">
        <is>
          <t>H. Performance!row 26</t>
        </is>
      </c>
    </row>
    <row r="107" ht="29" customHeight="1" s="49">
      <c r="A107" s="39" t="n">
        <v>103</v>
      </c>
      <c r="B107" s="39" t="inlineStr">
        <is>
          <t>H-023</t>
        </is>
      </c>
      <c r="C107" s="39" t="inlineStr">
        <is>
          <t>H</t>
        </is>
      </c>
      <c r="D107" s="39" t="inlineStr">
        <is>
          <t>SEO</t>
        </is>
      </c>
      <c r="E107" s="39" t="inlineStr">
        <is>
          <t>Per-page meta-description + Open Graph tags</t>
        </is>
      </c>
      <c r="F107" s="39" t="inlineStr">
        <is>
          <t>n/a — manual evaluation</t>
        </is>
      </c>
      <c r="G107" s="39" t="n"/>
      <c r="H107" s="39" t="inlineStr">
        <is>
          <t>Web-performance engineer</t>
        </is>
      </c>
      <c r="I107" s="39" t="inlineStr">
        <is>
          <t>P5</t>
        </is>
      </c>
      <c r="J107" s="39" t="inlineStr">
        <is>
          <t>Minor</t>
        </is>
      </c>
      <c r="K107" s="39" t="inlineStr">
        <is>
          <t>Auto</t>
        </is>
      </c>
      <c r="L107" s="39" t="inlineStr">
        <is>
          <t>4h</t>
        </is>
      </c>
      <c r="M107" s="39" t="inlineStr">
        <is>
          <t>0%</t>
        </is>
      </c>
      <c r="N107" s="39" t="inlineStr">
        <is>
          <t>Manual — deferred</t>
        </is>
      </c>
      <c r="O107" s="67" t="n">
        <v>46159</v>
      </c>
      <c r="P107" s="39" t="inlineStr">
        <is>
          <t>H. Performance!row 27</t>
        </is>
      </c>
    </row>
    <row r="108" ht="29" customHeight="1" s="49">
      <c r="A108" s="39" t="n">
        <v>104</v>
      </c>
      <c r="B108" s="39" t="inlineStr">
        <is>
          <t>H-024</t>
        </is>
      </c>
      <c r="C108" s="39" t="inlineStr">
        <is>
          <t>H</t>
        </is>
      </c>
      <c r="D108" s="39" t="inlineStr">
        <is>
          <t>SEO</t>
        </is>
      </c>
      <c r="E108" s="39" t="inlineStr">
        <is>
          <t>Canonical-URL handling</t>
        </is>
      </c>
      <c r="F108" s="39" t="inlineStr">
        <is>
          <t>n/a — manual evaluation</t>
        </is>
      </c>
      <c r="G108" s="39" t="n"/>
      <c r="H108" s="39" t="inlineStr">
        <is>
          <t>Web-performance engineer</t>
        </is>
      </c>
      <c r="I108" s="39" t="inlineStr">
        <is>
          <t>P5</t>
        </is>
      </c>
      <c r="J108" s="39" t="inlineStr">
        <is>
          <t>Minor</t>
        </is>
      </c>
      <c r="K108" s="39" t="inlineStr">
        <is>
          <t>Auto</t>
        </is>
      </c>
      <c r="L108" s="39" t="inlineStr">
        <is>
          <t>4h</t>
        </is>
      </c>
      <c r="M108" s="39" t="inlineStr">
        <is>
          <t>0%</t>
        </is>
      </c>
      <c r="N108" s="39" t="inlineStr">
        <is>
          <t>Manual — deferred</t>
        </is>
      </c>
      <c r="O108" s="67" t="n">
        <v>46159</v>
      </c>
      <c r="P108" s="39" t="inlineStr">
        <is>
          <t>H. Performance!row 28</t>
        </is>
      </c>
    </row>
    <row r="109">
      <c r="A109" s="39" t="n">
        <v>105</v>
      </c>
      <c r="B109" s="39" t="inlineStr">
        <is>
          <t>I-011</t>
        </is>
      </c>
      <c r="C109" s="39" t="inlineStr">
        <is>
          <t>I</t>
        </is>
      </c>
      <c r="D109" s="39" t="inlineStr">
        <is>
          <t>Build / CI</t>
        </is>
      </c>
      <c r="E109" s="39" t="inlineStr">
        <is>
          <t>CI runtime budget (build + tests &lt; 5 min)</t>
        </is>
      </c>
      <c r="F109" s="39" t="inlineStr">
        <is>
          <t>n/a — manual evaluation</t>
        </is>
      </c>
      <c r="G109" s="39" t="n"/>
      <c r="H109" s="39" t="inlineStr">
        <is>
          <t>Data engineer</t>
        </is>
      </c>
      <c r="I109" s="39" t="inlineStr">
        <is>
          <t>P5</t>
        </is>
      </c>
      <c r="J109" s="39" t="inlineStr">
        <is>
          <t>Minor</t>
        </is>
      </c>
      <c r="K109" s="39" t="inlineStr">
        <is>
          <t>Auto</t>
        </is>
      </c>
      <c r="L109" s="39" t="inlineStr">
        <is>
          <t>4h</t>
        </is>
      </c>
      <c r="M109" s="39" t="inlineStr">
        <is>
          <t>0%</t>
        </is>
      </c>
      <c r="N109" s="39" t="inlineStr">
        <is>
          <t>Manual — deferred</t>
        </is>
      </c>
      <c r="O109" s="67" t="n">
        <v>46159</v>
      </c>
      <c r="P109" s="39" t="inlineStr">
        <is>
          <t>I. Data engineering!row 15</t>
        </is>
      </c>
    </row>
    <row r="110" ht="29" customHeight="1" s="49">
      <c r="A110" s="39" t="n">
        <v>106</v>
      </c>
      <c r="B110" s="39" t="inlineStr">
        <is>
          <t>J-003</t>
        </is>
      </c>
      <c r="C110" s="39" t="inlineStr">
        <is>
          <t>J</t>
        </is>
      </c>
      <c r="D110" s="39" t="inlineStr">
        <is>
          <t>SLA</t>
        </is>
      </c>
      <c r="E110" s="39" t="inlineStr">
        <is>
          <t>Spaced-repetition interval validation: SRS algorithm produces intervals within ±20% of SuperMemo SM-2 reference</t>
        </is>
      </c>
      <c r="F110" s="39" t="inlineStr">
        <is>
          <t>Custom Python (SRS trajectory simulation)</t>
        </is>
      </c>
      <c r="G110" s="39" t="n"/>
      <c r="H110" s="39" t="inlineStr">
        <is>
          <t>SLA pedagogy researcher</t>
        </is>
      </c>
      <c r="I110" s="39" t="inlineStr">
        <is>
          <t>P5</t>
        </is>
      </c>
      <c r="J110" s="39" t="inlineStr">
        <is>
          <t>Minor</t>
        </is>
      </c>
      <c r="K110" s="39" t="inlineStr">
        <is>
          <t>Auto</t>
        </is>
      </c>
      <c r="L110" s="39" t="inlineStr">
        <is>
          <t>1d</t>
        </is>
      </c>
      <c r="M110" s="39" t="inlineStr">
        <is>
          <t>0%</t>
        </is>
      </c>
      <c r="N110" s="39" t="inlineStr">
        <is>
          <t>Skipped — custom</t>
        </is>
      </c>
      <c r="O110" s="67" t="n">
        <v>46159</v>
      </c>
      <c r="P110" s="39" t="inlineStr">
        <is>
          <t>J. Pedagogy!row 7</t>
        </is>
      </c>
    </row>
    <row r="111" ht="29" customHeight="1" s="49">
      <c r="A111" s="39" t="n">
        <v>107</v>
      </c>
      <c r="B111" s="39" t="inlineStr">
        <is>
          <t>J-014</t>
        </is>
      </c>
      <c r="C111" s="39" t="inlineStr">
        <is>
          <t>J</t>
        </is>
      </c>
      <c r="D111" s="39" t="inlineStr">
        <is>
          <t>Hindi-L1 error anticipation</t>
        </is>
      </c>
      <c r="E111" s="39" t="inlineStr">
        <is>
          <t>Postposition-mapping confusion coverage: 4 most-common HI-L1 → JA particle errors have explicit teaching entries</t>
        </is>
      </c>
      <c r="F111" s="39" t="inlineStr">
        <is>
          <t>Custom Python (grammar.json contrast scan)</t>
        </is>
      </c>
      <c r="G111" s="39" t="n"/>
      <c r="H111" s="39" t="inlineStr">
        <is>
          <t>SLA pedagogy researcher</t>
        </is>
      </c>
      <c r="I111" s="39" t="inlineStr">
        <is>
          <t>P5</t>
        </is>
      </c>
      <c r="J111" s="39" t="inlineStr">
        <is>
          <t>Minor</t>
        </is>
      </c>
      <c r="K111" s="39" t="inlineStr">
        <is>
          <t>Auto</t>
        </is>
      </c>
      <c r="L111" s="39" t="inlineStr">
        <is>
          <t>1d</t>
        </is>
      </c>
      <c r="M111" s="39" t="inlineStr">
        <is>
          <t>0%</t>
        </is>
      </c>
      <c r="N111" s="39" t="inlineStr">
        <is>
          <t>Skipped — custom</t>
        </is>
      </c>
      <c r="O111" s="67" t="n">
        <v>46159</v>
      </c>
      <c r="P111" s="39" t="inlineStr">
        <is>
          <t>J. Pedagogy!row 18</t>
        </is>
      </c>
    </row>
    <row r="112" ht="29" customHeight="1" s="49">
      <c r="A112" s="39" t="n">
        <v>108</v>
      </c>
      <c r="B112" s="39" t="inlineStr">
        <is>
          <t>J-015</t>
        </is>
      </c>
      <c r="C112" s="39" t="inlineStr">
        <is>
          <t>J</t>
        </is>
      </c>
      <c r="D112" s="39" t="inlineStr">
        <is>
          <t>Hindi-L1 error anticipation</t>
        </is>
      </c>
      <c r="E112" s="39" t="inlineStr">
        <is>
          <t>Pedagogical progression vs Genki/Minna alignment: chapter order matches at least one canonical textbook within ±10% drift</t>
        </is>
      </c>
      <c r="F112" s="39" t="inlineStr">
        <is>
          <t>Custom Python (rank-correlation)</t>
        </is>
      </c>
      <c r="G112" s="39" t="n"/>
      <c r="H112" s="39" t="inlineStr">
        <is>
          <t>SLA pedagogy researcher</t>
        </is>
      </c>
      <c r="I112" s="39" t="inlineStr">
        <is>
          <t>P5</t>
        </is>
      </c>
      <c r="J112" s="39" t="inlineStr">
        <is>
          <t>Minor</t>
        </is>
      </c>
      <c r="K112" s="39" t="inlineStr">
        <is>
          <t>Auto</t>
        </is>
      </c>
      <c r="L112" s="39" t="inlineStr">
        <is>
          <t>1d</t>
        </is>
      </c>
      <c r="M112" s="39" t="inlineStr">
        <is>
          <t>0%</t>
        </is>
      </c>
      <c r="N112" s="39" t="inlineStr">
        <is>
          <t>Skipped — custom</t>
        </is>
      </c>
      <c r="O112" s="67" t="n">
        <v>46159</v>
      </c>
      <c r="P112" s="39" t="inlineStr">
        <is>
          <t>J. Pedagogy!row 19</t>
        </is>
      </c>
    </row>
    <row r="113">
      <c r="A113" s="39" t="n">
        <v>109</v>
      </c>
      <c r="B113" s="39" t="inlineStr">
        <is>
          <t>K-009</t>
        </is>
      </c>
      <c r="C113" s="39" t="inlineStr">
        <is>
          <t>K</t>
        </is>
      </c>
      <c r="D113" s="39" t="inlineStr">
        <is>
          <t>Visual regression</t>
        </is>
      </c>
      <c r="E113" s="39" t="inlineStr">
        <is>
          <t>Pixel-diff baseline for each route</t>
        </is>
      </c>
      <c r="F113" s="39" t="inlineStr">
        <is>
          <t>n/a — manual evaluation</t>
        </is>
      </c>
      <c r="G113" s="39" t="n"/>
      <c r="H113" s="39" t="inlineStr">
        <is>
          <t>QA tester</t>
        </is>
      </c>
      <c r="I113" s="39" t="inlineStr">
        <is>
          <t>P5</t>
        </is>
      </c>
      <c r="J113" s="39" t="inlineStr">
        <is>
          <t>Minor</t>
        </is>
      </c>
      <c r="K113" s="39" t="inlineStr">
        <is>
          <t>Auto</t>
        </is>
      </c>
      <c r="L113" s="39" t="inlineStr">
        <is>
          <t>1d</t>
        </is>
      </c>
      <c r="M113" s="39" t="inlineStr">
        <is>
          <t>0%</t>
        </is>
      </c>
      <c r="N113" s="39" t="inlineStr">
        <is>
          <t>Manual — deferred</t>
        </is>
      </c>
      <c r="O113" s="67" t="n">
        <v>46159</v>
      </c>
      <c r="P113" s="39" t="inlineStr">
        <is>
          <t>K. QA testing!row 13</t>
        </is>
      </c>
    </row>
    <row r="114">
      <c r="A114" s="39" t="n">
        <v>110</v>
      </c>
      <c r="B114" s="39" t="inlineStr">
        <is>
          <t>K-010</t>
        </is>
      </c>
      <c r="C114" s="39" t="inlineStr">
        <is>
          <t>K</t>
        </is>
      </c>
      <c r="D114" s="39" t="inlineStr">
        <is>
          <t>Visual regression</t>
        </is>
      </c>
      <c r="E114" s="39" t="inlineStr">
        <is>
          <t>Layout-shift detection</t>
        </is>
      </c>
      <c r="F114" s="39" t="inlineStr">
        <is>
          <t>n/a — manual evaluation</t>
        </is>
      </c>
      <c r="G114" s="39" t="n"/>
      <c r="H114" s="39" t="inlineStr">
        <is>
          <t>QA tester</t>
        </is>
      </c>
      <c r="I114" s="39" t="inlineStr">
        <is>
          <t>P5</t>
        </is>
      </c>
      <c r="J114" s="39" t="inlineStr">
        <is>
          <t>Minor</t>
        </is>
      </c>
      <c r="K114" s="39" t="inlineStr">
        <is>
          <t>Auto</t>
        </is>
      </c>
      <c r="L114" s="39" t="inlineStr">
        <is>
          <t>1d</t>
        </is>
      </c>
      <c r="M114" s="39" t="inlineStr">
        <is>
          <t>0%</t>
        </is>
      </c>
      <c r="N114" s="39" t="inlineStr">
        <is>
          <t>Manual — deferred</t>
        </is>
      </c>
      <c r="O114" s="67" t="n">
        <v>46159</v>
      </c>
      <c r="P114" s="39" t="inlineStr">
        <is>
          <t>K. QA testing!row 14</t>
        </is>
      </c>
    </row>
    <row r="115">
      <c r="A115" s="39" t="n">
        <v>111</v>
      </c>
      <c r="B115" s="39" t="inlineStr">
        <is>
          <t>M-009</t>
        </is>
      </c>
      <c r="C115" s="39" t="inlineStr">
        <is>
          <t>M</t>
        </is>
      </c>
      <c r="D115" s="39" t="inlineStr">
        <is>
          <t>Documentation</t>
        </is>
      </c>
      <c r="E115" s="39" t="inlineStr">
        <is>
          <t>Cross-link integrity within /docs</t>
        </is>
      </c>
      <c r="F115" s="39" t="inlineStr">
        <is>
          <t>n/a — manual evaluation</t>
        </is>
      </c>
      <c r="G115" s="39" t="n"/>
      <c r="H115" s="39" t="inlineStr">
        <is>
          <t>DevOps / SRE</t>
        </is>
      </c>
      <c r="I115" s="39" t="inlineStr">
        <is>
          <t>P5</t>
        </is>
      </c>
      <c r="J115" s="39" t="inlineStr">
        <is>
          <t>Minor</t>
        </is>
      </c>
      <c r="K115" s="39" t="inlineStr">
        <is>
          <t>Auto</t>
        </is>
      </c>
      <c r="L115" s="39" t="inlineStr">
        <is>
          <t>4h</t>
        </is>
      </c>
      <c r="M115" s="39" t="inlineStr">
        <is>
          <t>0%</t>
        </is>
      </c>
      <c r="N115" s="39" t="inlineStr">
        <is>
          <t>Manual — deferred</t>
        </is>
      </c>
      <c r="O115" s="67" t="n">
        <v>46159</v>
      </c>
      <c r="P115" s="39" t="inlineStr">
        <is>
          <t>M. Operations!row 13</t>
        </is>
      </c>
    </row>
    <row r="117">
      <c r="A117" s="40" t="inlineStr">
        <is>
          <t>Summary by priority:</t>
        </is>
      </c>
    </row>
    <row r="118">
      <c r="A118" t="inlineStr">
        <is>
          <t>P1</t>
        </is>
      </c>
      <c r="B118" t="n">
        <v>10</v>
      </c>
      <c r="C118" t="inlineStr">
        <is>
          <t>9.0%</t>
        </is>
      </c>
      <c r="N118" t="inlineStr">
        <is>
          <t>Skipped — no runner</t>
        </is>
      </c>
      <c r="O118" s="68" t="n">
        <v>46159</v>
      </c>
    </row>
    <row r="119">
      <c r="A119" t="inlineStr">
        <is>
          <t>P2</t>
        </is>
      </c>
      <c r="B119" t="n">
        <v>29</v>
      </c>
      <c r="C119" t="inlineStr">
        <is>
          <t>26.1%</t>
        </is>
      </c>
      <c r="N119" t="inlineStr">
        <is>
          <t>Skipped — no runner</t>
        </is>
      </c>
      <c r="O119" s="68" t="n">
        <v>46159</v>
      </c>
    </row>
    <row r="120">
      <c r="A120" t="inlineStr">
        <is>
          <t>P3</t>
        </is>
      </c>
      <c r="B120" t="n">
        <v>45</v>
      </c>
      <c r="C120" t="inlineStr">
        <is>
          <t>40.5%</t>
        </is>
      </c>
      <c r="N120" t="inlineStr">
        <is>
          <t>Skipped — no runner</t>
        </is>
      </c>
      <c r="O120" s="68" t="n">
        <v>46159</v>
      </c>
    </row>
    <row r="121">
      <c r="A121" t="inlineStr">
        <is>
          <t>P4</t>
        </is>
      </c>
      <c r="B121" t="n">
        <v>9</v>
      </c>
      <c r="C121" t="inlineStr">
        <is>
          <t>8.1%</t>
        </is>
      </c>
      <c r="N121" t="inlineStr">
        <is>
          <t>Skipped — no runner</t>
        </is>
      </c>
      <c r="O121" s="68" t="n">
        <v>46159</v>
      </c>
    </row>
    <row r="122">
      <c r="A122" t="inlineStr">
        <is>
          <t>P5</t>
        </is>
      </c>
      <c r="B122" t="n">
        <v>18</v>
      </c>
      <c r="C122" t="inlineStr">
        <is>
          <t>16.2%</t>
        </is>
      </c>
      <c r="N122" t="inlineStr">
        <is>
          <t>Skipped — no runner</t>
        </is>
      </c>
      <c r="O122" s="68" t="n">
        <v>46159</v>
      </c>
    </row>
    <row r="124">
      <c r="A124" s="40" t="inlineStr">
        <is>
          <t>With CI invariant linkage:</t>
        </is>
      </c>
      <c r="B124" t="inlineStr">
        <is>
          <t>21 / 111 (18.9%)</t>
        </is>
      </c>
      <c r="N124" t="inlineStr">
        <is>
          <t>Skipped — no runner</t>
        </is>
      </c>
      <c r="O124" s="68"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21"/>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A. Japanese language</t>
        </is>
      </c>
    </row>
    <row r="2" ht="36" customHeight="1" s="49">
      <c r="A2" s="51" t="inlineStr">
        <is>
          <t>Perspectives: Native Japanese teacher, JLPT-N5 specialist, pitch-accent, TTS-reviewer, sociolinguist, translator, counter specialist, kanji specialist, romaji, furigana</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6" customHeight="1" s="49">
      <c r="A5" s="6" t="inlineStr">
        <is>
          <t>A-001</t>
        </is>
      </c>
      <c r="B5" s="4" t="inlineStr">
        <is>
          <t>Naturalness</t>
        </is>
      </c>
      <c r="C5" s="5" t="inlineStr">
        <is>
          <t>1</t>
        </is>
      </c>
      <c r="D5" s="4" t="inlineStr">
        <is>
          <t>Random-sample 200 vocab examples for native-speaker naturalness</t>
        </is>
      </c>
      <c r="E5" s="4"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4" t="inlineStr">
        <is>
          <t>≥98% NATURAL, 0 UNNATURAL with high confidence</t>
        </is>
      </c>
      <c r="G5" s="5" t="inlineStr">
        <is>
          <t>P2</t>
        </is>
      </c>
      <c r="H5" s="5" t="inlineStr">
        <is>
          <t>Major</t>
        </is>
      </c>
      <c r="I5" s="5" t="inlineStr">
        <is>
          <t>Manual</t>
        </is>
      </c>
      <c r="J5" s="4"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8" t="n">
        <v>46159</v>
      </c>
      <c r="O5" t="inlineStr">
        <is>
          <t>PASS</t>
        </is>
      </c>
      <c r="Q5" t="inlineStr">
        <is>
          <t>—</t>
        </is>
      </c>
      <c r="R5" t="inlineStr">
        <is>
          <t>0%</t>
        </is>
      </c>
    </row>
    <row r="6" ht="43" customHeight="1" s="49">
      <c r="A6" s="6" t="inlineStr">
        <is>
          <t>A-002</t>
        </is>
      </c>
      <c r="B6" s="4" t="inlineStr">
        <is>
          <t>Naturalness</t>
        </is>
      </c>
      <c r="C6" s="5" t="inlineStr">
        <is>
          <t>1</t>
        </is>
      </c>
      <c r="D6" s="4" t="inlineStr">
        <is>
          <t>Random-sample 100 grammar pattern examples for register coherence</t>
        </is>
      </c>
      <c r="E6" s="4" t="inlineStr">
        <is>
          <t>1. Random-sample 100 grammar.json examples
2. Verify register inside each example is consistent
3. Flag mixed plain だ + polite です</t>
        </is>
      </c>
      <c r="F6" s="4" t="inlineStr">
        <is>
          <t>0 register-mixing within an example</t>
        </is>
      </c>
      <c r="G6" s="5" t="inlineStr">
        <is>
          <t>P2</t>
        </is>
      </c>
      <c r="H6" s="5" t="inlineStr">
        <is>
          <t>Major</t>
        </is>
      </c>
      <c r="I6" s="5" t="inlineStr">
        <is>
          <t>Manual</t>
        </is>
      </c>
      <c r="J6" s="4"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8" t="n">
        <v>46159</v>
      </c>
      <c r="O6" t="inlineStr">
        <is>
          <t>PASS — with findings</t>
        </is>
      </c>
      <c r="Q6" t="inlineStr">
        <is>
          <t>—</t>
        </is>
      </c>
      <c r="R6" t="inlineStr">
        <is>
          <t>0%</t>
        </is>
      </c>
    </row>
    <row r="7" ht="37" customHeight="1" s="49">
      <c r="A7" s="6" t="inlineStr">
        <is>
          <t>A-003</t>
        </is>
      </c>
      <c r="B7" s="4" t="inlineStr">
        <is>
          <t>Naturalness</t>
        </is>
      </c>
      <c r="C7" s="5" t="inlineStr">
        <is>
          <t>1</t>
        </is>
      </c>
      <c r="D7" s="4" t="inlineStr">
        <is>
          <t>Sample 50 listening scripts for cross-line register coherence</t>
        </is>
      </c>
      <c r="E7" s="4" t="inlineStr">
        <is>
          <t>1. Pull 50 listening.json items
2. Native teacher reads full dialogue
3. Flag unintended polite/casual switching</t>
        </is>
      </c>
      <c r="F7" s="4" t="inlineStr">
        <is>
          <t>Register changes only when narratively justified</t>
        </is>
      </c>
      <c r="G7" s="5" t="inlineStr">
        <is>
          <t>P2</t>
        </is>
      </c>
      <c r="H7" s="5" t="inlineStr">
        <is>
          <t>Major</t>
        </is>
      </c>
      <c r="I7" s="5" t="inlineStr">
        <is>
          <t>Manual</t>
        </is>
      </c>
      <c r="J7" s="4"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8" t="n">
        <v>46159</v>
      </c>
      <c r="O7" t="inlineStr">
        <is>
          <t>PASS</t>
        </is>
      </c>
      <c r="Q7" t="inlineStr">
        <is>
          <t>—</t>
        </is>
      </c>
      <c r="R7" t="inlineStr">
        <is>
          <t>0%</t>
        </is>
      </c>
    </row>
    <row r="8" ht="35" customHeight="1" s="49">
      <c r="A8" s="6" t="inlineStr">
        <is>
          <t>A-004</t>
        </is>
      </c>
      <c r="B8" s="4" t="inlineStr">
        <is>
          <t>Naturalness</t>
        </is>
      </c>
      <c r="C8" s="5" t="inlineStr">
        <is>
          <t>1</t>
        </is>
      </c>
      <c r="D8" s="4" t="inlineStr">
        <is>
          <t>Sample 80 reading passages for paragraph-flow naturalness</t>
        </is>
      </c>
      <c r="E8" s="4" t="inlineStr">
        <is>
          <t>1. Pull all 54 reading.json passages + 26 dokkai
2. Verify sentence-to-sentence cohesion (接続 / 指示 / 省略 use)</t>
        </is>
      </c>
      <c r="F8" s="4" t="inlineStr">
        <is>
          <t>All passages flow as a native author would write them</t>
        </is>
      </c>
      <c r="G8" s="5" t="inlineStr">
        <is>
          <t>P2</t>
        </is>
      </c>
      <c r="H8" s="5" t="inlineStr">
        <is>
          <t>Major</t>
        </is>
      </c>
      <c r="I8" s="5" t="inlineStr">
        <is>
          <t>Manual</t>
        </is>
      </c>
      <c r="J8" s="4"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8" t="n">
        <v>46159</v>
      </c>
      <c r="O8" t="inlineStr">
        <is>
          <t>PASS</t>
        </is>
      </c>
      <c r="Q8" t="inlineStr">
        <is>
          <t>—</t>
        </is>
      </c>
      <c r="R8" t="inlineStr">
        <is>
          <t>0%</t>
        </is>
      </c>
    </row>
    <row r="9" ht="48" customHeight="1" s="49">
      <c r="A9" s="6" t="inlineStr">
        <is>
          <t>A-005</t>
        </is>
      </c>
      <c r="B9" s="4" t="inlineStr">
        <is>
          <t>Particles</t>
        </is>
      </c>
      <c r="C9" s="5" t="inlineStr">
        <is>
          <t>1</t>
        </is>
      </c>
      <c r="D9" s="4" t="inlineStr">
        <is>
          <t>は vs が discourse-choice in topic-introduction contexts</t>
        </is>
      </c>
      <c r="E9" s="4" t="inlineStr">
        <is>
          <t>1. Filter all sentences containing は OR が as topic marker (not contrast/exclusive)
2. Verify per-context: は = known, が = new info
3. Flag misuse</t>
        </is>
      </c>
      <c r="F9" s="4" t="inlineStr">
        <is>
          <t>0 discourse-incorrect は/が in shipped sentences</t>
        </is>
      </c>
      <c r="G9" s="5" t="inlineStr">
        <is>
          <t>P2</t>
        </is>
      </c>
      <c r="H9" s="5" t="inlineStr">
        <is>
          <t>Major</t>
        </is>
      </c>
      <c r="I9" s="5" t="inlineStr">
        <is>
          <t>Manual</t>
        </is>
      </c>
      <c r="J9" s="4"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8" t="n">
        <v>46159</v>
      </c>
      <c r="O9" t="inlineStr">
        <is>
          <t>PASS — with finding</t>
        </is>
      </c>
      <c r="Q9" t="inlineStr">
        <is>
          <t>—</t>
        </is>
      </c>
      <c r="R9" t="inlineStr">
        <is>
          <t>0%</t>
        </is>
      </c>
    </row>
    <row r="10" ht="32" customHeight="1" s="49">
      <c r="A10" s="6" t="inlineStr">
        <is>
          <t>A-006</t>
        </is>
      </c>
      <c r="B10" s="4" t="inlineStr">
        <is>
          <t>Particles</t>
        </is>
      </c>
      <c r="C10" s="5" t="inlineStr">
        <is>
          <t>1</t>
        </is>
      </c>
      <c r="D10" s="4" t="inlineStr">
        <is>
          <t>に vs で disambiguation for movement vs activity locations</t>
        </is>
      </c>
      <c r="E10" s="4" t="inlineStr">
        <is>
          <t>1. Filter sentences with both に + で
2. Verify each particle's role per verb
3. Flag swapped usage</t>
        </is>
      </c>
      <c r="F10" s="4" t="inlineStr">
        <is>
          <t>0 swapped に/で usage</t>
        </is>
      </c>
      <c r="G10" s="5" t="inlineStr">
        <is>
          <t>P2</t>
        </is>
      </c>
      <c r="H10" s="5" t="inlineStr">
        <is>
          <t>Major</t>
        </is>
      </c>
      <c r="I10" s="5" t="inlineStr">
        <is>
          <t>Manual</t>
        </is>
      </c>
      <c r="J10" s="4"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8" t="n">
        <v>46159</v>
      </c>
      <c r="O10" t="inlineStr">
        <is>
          <t>PASS</t>
        </is>
      </c>
      <c r="Q10" t="inlineStr">
        <is>
          <t>—</t>
        </is>
      </c>
      <c r="R10" t="inlineStr">
        <is>
          <t>0%</t>
        </is>
      </c>
    </row>
    <row r="11" ht="30" customHeight="1" s="49">
      <c r="A11" s="6" t="inlineStr">
        <is>
          <t>A-007</t>
        </is>
      </c>
      <c r="B11" s="4" t="inlineStr">
        <is>
          <t>Particles</t>
        </is>
      </c>
      <c r="C11" s="5" t="inlineStr">
        <is>
          <t>1</t>
        </is>
      </c>
      <c r="D11" s="4" t="inlineStr">
        <is>
          <t>を vs が with stative verbs + adjectives (好き / できる / わかる et al)</t>
        </is>
      </c>
      <c r="E11" s="4" t="inlineStr">
        <is>
          <t>1. Scan all sentences with stative-class items (好き, できる, わかる, ほしい, きらい, etc.).
2. Verify object marker is が, not を.
3. Spot-check 30 grammar examples in the relevant patterns.</t>
        </is>
      </c>
      <c r="F11" s="4" t="inlineStr">
        <is>
          <t>All stative-adj + want-verb sentences use が</t>
        </is>
      </c>
      <c r="G11" s="5" t="inlineStr">
        <is>
          <t>P1</t>
        </is>
      </c>
      <c r="H11" s="5" t="inlineStr">
        <is>
          <t>Critical</t>
        </is>
      </c>
      <c r="I11" s="5" t="inlineStr">
        <is>
          <t>Auto+Manual</t>
        </is>
      </c>
      <c r="J11" s="4"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8" t="n">
        <v>46159</v>
      </c>
      <c r="O11" t="inlineStr">
        <is>
          <t>PASS</t>
        </is>
      </c>
      <c r="Q11" t="inlineStr">
        <is>
          <t>—</t>
        </is>
      </c>
      <c r="R11" t="inlineStr">
        <is>
          <t>0%</t>
        </is>
      </c>
    </row>
    <row r="12" ht="42" customHeight="1" s="49">
      <c r="A12" s="6" t="inlineStr">
        <is>
          <t>A-008</t>
        </is>
      </c>
      <c r="B12" s="4" t="inlineStr">
        <is>
          <t>Conjugation</t>
        </is>
      </c>
      <c r="C12" s="5" t="inlineStr">
        <is>
          <t>1</t>
        </is>
      </c>
      <c r="D12" s="4" t="inlineStr">
        <is>
          <t>Verb-class accuracy: dictionary-form vs class tag</t>
        </is>
      </c>
      <c r="E12" s="4" t="inlineStr">
        <is>
          <t>1. For every vocab verb entry, verify pos.verb_class matches dictionary-form shape
2. Flag mismatches (e.g., 帰る tagged ichidan)</t>
        </is>
      </c>
      <c r="F12" s="4" t="inlineStr">
        <is>
          <t>0 mis-tagged verbs</t>
        </is>
      </c>
      <c r="G12" s="5" t="inlineStr">
        <is>
          <t>P1</t>
        </is>
      </c>
      <c r="H12" s="5" t="inlineStr">
        <is>
          <t>Critical</t>
        </is>
      </c>
      <c r="I12" s="5" t="inlineStr">
        <is>
          <t>Auto</t>
        </is>
      </c>
      <c r="J12" s="4"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8" t="n">
        <v>46159</v>
      </c>
      <c r="O12" t="inlineStr">
        <is>
          <t>Skipped — custom</t>
        </is>
      </c>
      <c r="Q12" t="inlineStr">
        <is>
          <t>—</t>
        </is>
      </c>
      <c r="R12" t="inlineStr">
        <is>
          <t>0%</t>
        </is>
      </c>
    </row>
    <row r="13" ht="47" customHeight="1" s="49">
      <c r="A13" s="6" t="inlineStr">
        <is>
          <t>A-009</t>
        </is>
      </c>
      <c r="B13" s="4" t="inlineStr">
        <is>
          <t>Conjugation</t>
        </is>
      </c>
      <c r="C13" s="5" t="inlineStr">
        <is>
          <t>1</t>
        </is>
      </c>
      <c r="D13" s="4" t="inlineStr">
        <is>
          <t>Past + negative + past-negative formation correctness across all 1009 verb entries</t>
        </is>
      </c>
      <c r="E13" s="4" t="inlineStr">
        <is>
          <t>1. Generate past/neg/past-neg programmatically per verb_class
2. Cross-check against any example forms in entries
3. Manual review of 50 random</t>
        </is>
      </c>
      <c r="F13" s="4" t="inlineStr">
        <is>
          <t>All inflected forms match canonical conjugation rules</t>
        </is>
      </c>
      <c r="G13" s="5" t="inlineStr">
        <is>
          <t>P2</t>
        </is>
      </c>
      <c r="H13" s="5" t="inlineStr">
        <is>
          <t>Major</t>
        </is>
      </c>
      <c r="I13" s="5" t="inlineStr">
        <is>
          <t>Hybrid</t>
        </is>
      </c>
      <c r="J13" s="4"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8" t="n">
        <v>46159</v>
      </c>
      <c r="O13" t="inlineStr">
        <is>
          <t>PASS</t>
        </is>
      </c>
      <c r="Q13" t="inlineStr">
        <is>
          <t>—</t>
        </is>
      </c>
      <c r="R13" t="inlineStr">
        <is>
          <t>0%</t>
        </is>
      </c>
    </row>
    <row r="14" ht="36" customHeight="1" s="49">
      <c r="A14" s="6" t="inlineStr">
        <is>
          <t>A-010</t>
        </is>
      </c>
      <c r="B14" s="4" t="inlineStr">
        <is>
          <t>Conjugation</t>
        </is>
      </c>
      <c r="C14" s="5" t="inlineStr">
        <is>
          <t>1</t>
        </is>
      </c>
      <c r="D14" s="4" t="inlineStr">
        <is>
          <t>I-adj vs Na-adj conjugation in shipped examples</t>
        </is>
      </c>
      <c r="E14" s="4" t="inlineStr">
        <is>
          <t>1. Scan all adjectives + their example forms
2. Verify い-adj uses くて/くない/かった
3. Verify な-adj uses で/じゃない/だった</t>
        </is>
      </c>
      <c r="F14" s="4" t="inlineStr">
        <is>
          <t>0 conjugation-class violations</t>
        </is>
      </c>
      <c r="G14" s="5" t="inlineStr">
        <is>
          <t>P1</t>
        </is>
      </c>
      <c r="H14" s="5" t="inlineStr">
        <is>
          <t>Critical</t>
        </is>
      </c>
      <c r="I14" s="5" t="inlineStr">
        <is>
          <t>Hybrid</t>
        </is>
      </c>
      <c r="J14" s="4"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8" t="n">
        <v>46159</v>
      </c>
      <c r="O14" t="inlineStr">
        <is>
          <t>PASS</t>
        </is>
      </c>
      <c r="Q14" t="inlineStr">
        <is>
          <t>—</t>
        </is>
      </c>
      <c r="R14" t="inlineStr">
        <is>
          <t>0%</t>
        </is>
      </c>
    </row>
    <row r="15" ht="56" customHeight="1" s="49">
      <c r="A15" s="6" t="inlineStr">
        <is>
          <t>A-011</t>
        </is>
      </c>
      <c r="B15" s="4" t="inlineStr">
        <is>
          <t>Honorifics</t>
        </is>
      </c>
      <c r="C15" s="5" t="inlineStr">
        <is>
          <t>5</t>
        </is>
      </c>
      <c r="D15" s="4" t="inlineStr">
        <is>
          <t>尊敬語 form usage in customer/employee dialogue contexts (SCOPE-GUARD — N5 out of scope)</t>
        </is>
      </c>
      <c r="E15" s="4" t="inlineStr">
        <is>
          <t>1. Filter dialogues with role labels (店員, お客様, 先生, 学生)
2. Verify 尊敬語 (お~になる / いらっしゃる / ご~ください) on superior's actions
3. Verify 謙譲語 (お~する / 伺う / 申す) on inferior's actions</t>
        </is>
      </c>
      <c r="F15" s="4" t="inlineStr">
        <is>
          <t>Keigo register correct per role</t>
        </is>
      </c>
      <c r="G15" s="5" t="inlineStr">
        <is>
          <t>P3</t>
        </is>
      </c>
      <c r="H15" s="5" t="inlineStr">
        <is>
          <t>Major</t>
        </is>
      </c>
      <c r="I15" s="5" t="inlineStr">
        <is>
          <t>Manual</t>
        </is>
      </c>
      <c r="J15" s="4"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8" t="n">
        <v>46159</v>
      </c>
      <c r="O15" t="inlineStr">
        <is>
          <t>Manual — deferred</t>
        </is>
      </c>
      <c r="Q15" t="inlineStr">
        <is>
          <t>—</t>
        </is>
      </c>
      <c r="R15" t="inlineStr">
        <is>
          <t>0%</t>
        </is>
      </c>
    </row>
    <row r="16" ht="41" customHeight="1" s="49">
      <c r="A16" s="6" t="inlineStr">
        <is>
          <t>A-012</t>
        </is>
      </c>
      <c r="B16" s="4" t="inlineStr">
        <is>
          <t>Honorifics</t>
        </is>
      </c>
      <c r="C16" s="5" t="inlineStr">
        <is>
          <t>5</t>
        </is>
      </c>
      <c r="D16" s="4" t="inlineStr">
        <is>
          <t>Polite-prefix お / ご correctness on noun classes</t>
        </is>
      </c>
      <c r="E16" s="4" t="inlineStr">
        <is>
          <t>1. Filter all お~ / ご~ noun examples
2. Verify お for wago (お茶, お水), ご for kango (ご飯 is exception)
3. Flag mis-prefixed entries</t>
        </is>
      </c>
      <c r="F16" s="4" t="inlineStr">
        <is>
          <t>All お/ご prefixes follow wago/kango rules with documented exceptions</t>
        </is>
      </c>
      <c r="G16" s="5" t="inlineStr">
        <is>
          <t>P3</t>
        </is>
      </c>
      <c r="H16" s="5" t="inlineStr">
        <is>
          <t>Major</t>
        </is>
      </c>
      <c r="I16" s="5" t="inlineStr">
        <is>
          <t>Hybrid</t>
        </is>
      </c>
      <c r="J16" s="4"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8" t="n">
        <v>46159</v>
      </c>
      <c r="O16" t="inlineStr">
        <is>
          <t>PASS</t>
        </is>
      </c>
      <c r="Q16" t="inlineStr">
        <is>
          <t>—</t>
        </is>
      </c>
      <c r="R16" t="inlineStr">
        <is>
          <t>0%</t>
        </is>
      </c>
    </row>
    <row r="17" ht="43" customHeight="1" s="49">
      <c r="A17" s="6" t="inlineStr">
        <is>
          <t>A-013</t>
        </is>
      </c>
      <c r="B17" s="4" t="inlineStr">
        <is>
          <t>Honorifics</t>
        </is>
      </c>
      <c r="C17" s="5" t="inlineStr">
        <is>
          <t>5</t>
        </is>
      </c>
      <c r="D17" s="4" t="inlineStr">
        <is>
          <t>Gendered sentence-final particles (わ, ぞ, ぜ) appropriateness</t>
        </is>
      </c>
      <c r="E17" s="4" t="inlineStr">
        <is>
          <t>1. Scan all dialogue lines for わ / ぞ / ぜ / わよ / だぜ
2. Verify speaker-role tag matches gender-register convention
3. Flag mismatches</t>
        </is>
      </c>
      <c r="F17" s="4" t="inlineStr">
        <is>
          <t>Gendered particles match speaker role</t>
        </is>
      </c>
      <c r="G17" s="5" t="inlineStr">
        <is>
          <t>P5</t>
        </is>
      </c>
      <c r="H17" s="5" t="inlineStr">
        <is>
          <t>Minor</t>
        </is>
      </c>
      <c r="I17" s="5" t="inlineStr">
        <is>
          <t>Manual</t>
        </is>
      </c>
      <c r="J17" s="4"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8" t="n">
        <v>46159</v>
      </c>
      <c r="O17" t="inlineStr">
        <is>
          <t>PASS</t>
        </is>
      </c>
      <c r="Q17" t="inlineStr">
        <is>
          <t>—</t>
        </is>
      </c>
      <c r="R17" t="inlineStr">
        <is>
          <t>0%</t>
        </is>
      </c>
    </row>
    <row r="18" ht="45" customHeight="1" s="49">
      <c r="A18" s="6" t="inlineStr">
        <is>
          <t>A-014</t>
        </is>
      </c>
      <c r="B18" s="4" t="inlineStr">
        <is>
          <t>Counters</t>
        </is>
      </c>
      <c r="C18" s="5" t="inlineStr">
        <is>
          <t>7</t>
        </is>
      </c>
      <c r="D18" s="4" t="inlineStr">
        <is>
          <t>Counter rendaku correctness across all numeric+counter pairs</t>
        </is>
      </c>
      <c r="E18" s="4" t="inlineStr">
        <is>
          <t>1. Scan all sentences with 数字+counter
2. Verify rendaku per phonological rules (3本=さんぼん, 6本=ろっぽん, 8本=はっぽん)
3. Manual review of 50 random</t>
        </is>
      </c>
      <c r="F18" s="4" t="inlineStr">
        <is>
          <t>All rendaku alternants spelled correctly</t>
        </is>
      </c>
      <c r="G18" s="5" t="inlineStr">
        <is>
          <t>P2</t>
        </is>
      </c>
      <c r="H18" s="5" t="inlineStr">
        <is>
          <t>Major</t>
        </is>
      </c>
      <c r="I18" s="5" t="inlineStr">
        <is>
          <t>Auto+Manual</t>
        </is>
      </c>
      <c r="J18" s="4"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8" t="n">
        <v>46159</v>
      </c>
      <c r="O18" t="inlineStr">
        <is>
          <t>PASS — with finding</t>
        </is>
      </c>
      <c r="Q18" t="inlineStr">
        <is>
          <t>—</t>
        </is>
      </c>
      <c r="R18" t="inlineStr">
        <is>
          <t>0%</t>
        </is>
      </c>
    </row>
    <row r="19" ht="35" customHeight="1" s="49">
      <c r="A19" s="6" t="inlineStr">
        <is>
          <t>A-015</t>
        </is>
      </c>
      <c r="B19" s="4" t="inlineStr">
        <is>
          <t>Counters</t>
        </is>
      </c>
      <c r="C19" s="5" t="inlineStr">
        <is>
          <t>7</t>
        </is>
      </c>
      <c r="D19" s="4" t="inlineStr">
        <is>
          <t>Counter-noun pairing beyond the 8 canonical pairs</t>
        </is>
      </c>
      <c r="E19" s="4" t="inlineStr">
        <is>
          <t>1. Native teacher reviews 100 random counter-noun pairs
2. Flag textbook-non-canonical pairings (e.g., 雲一個)</t>
        </is>
      </c>
      <c r="F19" s="4" t="inlineStr">
        <is>
          <t>All counter-noun pairs are textbook-canonical or documented exception</t>
        </is>
      </c>
      <c r="G19" s="5" t="inlineStr">
        <is>
          <t>P3</t>
        </is>
      </c>
      <c r="H19" s="5" t="inlineStr">
        <is>
          <t>Major</t>
        </is>
      </c>
      <c r="I19" s="5" t="inlineStr">
        <is>
          <t>Manual</t>
        </is>
      </c>
      <c r="J19" s="4" t="inlineStr">
        <is>
          <t>JA-89 lock1 covers 6 caught instances; broader exists</t>
        </is>
      </c>
      <c r="K19" t="inlineStr">
        <is>
          <t>1d</t>
        </is>
      </c>
      <c r="L19" t="inlineStr">
        <is>
          <t>Native Japanese teacher</t>
        </is>
      </c>
      <c r="M19" t="inlineStr">
        <is>
          <t>n/a — manual evaluation</t>
        </is>
      </c>
      <c r="N19" s="68" t="n">
        <v>46159</v>
      </c>
      <c r="O19" t="inlineStr">
        <is>
          <t>PASS</t>
        </is>
      </c>
      <c r="Q19" t="inlineStr">
        <is>
          <t>—</t>
        </is>
      </c>
      <c r="R19" t="inlineStr">
        <is>
          <t>0%</t>
        </is>
      </c>
    </row>
    <row r="20" ht="30" customHeight="1" s="49">
      <c r="A20" s="6" t="inlineStr">
        <is>
          <t>A-016</t>
        </is>
      </c>
      <c r="B20" s="4" t="inlineStr">
        <is>
          <t>Counters</t>
        </is>
      </c>
      <c r="C20" s="5" t="inlineStr">
        <is>
          <t>7</t>
        </is>
      </c>
      <c r="D20" s="4" t="inlineStr">
        <is>
          <t>Native-counter (つ) range boundary (1-10)</t>
        </is>
      </c>
      <c r="E20" s="4" t="inlineStr">
        <is>
          <t>1. Filter all 〜つ examples
2. Verify count ≤ 10 (above 10, switch to 個 or specific counter)</t>
        </is>
      </c>
      <c r="F20" s="4" t="inlineStr">
        <is>
          <t>0 instances of 11つ / 20つ etc.</t>
        </is>
      </c>
      <c r="G20" s="5" t="inlineStr">
        <is>
          <t>P4</t>
        </is>
      </c>
      <c r="H20" s="5" t="inlineStr">
        <is>
          <t>Minor</t>
        </is>
      </c>
      <c r="I20" s="5" t="inlineStr">
        <is>
          <t>Auto</t>
        </is>
      </c>
      <c r="J20" s="4" t="inlineStr">
        <is>
          <t>No automated check today — manual only.</t>
        </is>
      </c>
      <c r="K20" t="inlineStr">
        <is>
          <t>1h</t>
        </is>
      </c>
      <c r="L20" t="inlineStr">
        <is>
          <t>Native Japanese teacher</t>
        </is>
      </c>
      <c r="M20" t="inlineStr">
        <is>
          <t>tools/check_content_integrity.py (JA-NN regex pass)</t>
        </is>
      </c>
      <c r="N20" s="68" t="n">
        <v>46159</v>
      </c>
      <c r="O20" t="inlineStr">
        <is>
          <t>PASS</t>
        </is>
      </c>
      <c r="Q20" t="inlineStr">
        <is>
          <t>—</t>
        </is>
      </c>
      <c r="R20" t="inlineStr">
        <is>
          <t>0%</t>
        </is>
      </c>
    </row>
    <row r="21" ht="38" customHeight="1" s="49">
      <c r="A21" s="6" t="inlineStr">
        <is>
          <t>A-017</t>
        </is>
      </c>
      <c r="B21" s="4" t="inlineStr">
        <is>
          <t>Kanji</t>
        </is>
      </c>
      <c r="C21" s="5" t="inlineStr">
        <is>
          <t>8</t>
        </is>
      </c>
      <c r="D21" s="4" t="inlineStr">
        <is>
          <t>On-yomi vs kun-yomi assignment correctness</t>
        </is>
      </c>
      <c r="E21" s="4" t="inlineStr">
        <is>
          <t>1. For each of 106 kanji, verify on-yomi list matches jōyō reference
2. Verify kun-yomi list matches jōyō reference</t>
        </is>
      </c>
      <c r="F21" s="4" t="inlineStr">
        <is>
          <t>0 misclassified readings</t>
        </is>
      </c>
      <c r="G21" s="5" t="inlineStr">
        <is>
          <t>P1</t>
        </is>
      </c>
      <c r="H21" s="5" t="inlineStr">
        <is>
          <t>Critical</t>
        </is>
      </c>
      <c r="I21" s="5" t="inlineStr">
        <is>
          <t>Manual</t>
        </is>
      </c>
      <c r="J21" s="4"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8" t="n">
        <v>46159</v>
      </c>
      <c r="O21" t="inlineStr">
        <is>
          <t>PASS</t>
        </is>
      </c>
      <c r="Q21" t="inlineStr">
        <is>
          <t>—</t>
        </is>
      </c>
      <c r="R21" t="inlineStr">
        <is>
          <t>0%</t>
        </is>
      </c>
    </row>
    <row r="22" ht="39" customHeight="1" s="49">
      <c r="A22" s="6" t="inlineStr">
        <is>
          <t>A-018</t>
        </is>
      </c>
      <c r="B22" s="4" t="inlineStr">
        <is>
          <t>Kanji</t>
        </is>
      </c>
      <c r="C22" s="5" t="inlineStr">
        <is>
          <t>8</t>
        </is>
      </c>
      <c r="D22" s="4" t="inlineStr">
        <is>
          <t>Stroke-count vs stroke-order data accuracy</t>
        </is>
      </c>
      <c r="E22" s="4" t="inlineStr">
        <is>
          <t>1. Cross-check each kanji's stroke-count vs Unicode CJK reference
2. Cross-check stroke-order SVG vs KanjiVG canonical</t>
        </is>
      </c>
      <c r="F22" s="4" t="inlineStr">
        <is>
          <t>0 discrepancies</t>
        </is>
      </c>
      <c r="G22" s="5" t="inlineStr">
        <is>
          <t>P3</t>
        </is>
      </c>
      <c r="H22" s="5" t="inlineStr">
        <is>
          <t>Major</t>
        </is>
      </c>
      <c r="I22" s="5" t="inlineStr">
        <is>
          <t>Auto</t>
        </is>
      </c>
      <c r="J22" s="4"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8" t="n">
        <v>46159</v>
      </c>
      <c r="O22" t="inlineStr">
        <is>
          <t>PASS</t>
        </is>
      </c>
      <c r="Q22" t="inlineStr">
        <is>
          <t>—</t>
        </is>
      </c>
      <c r="R22" t="inlineStr">
        <is>
          <t>0%</t>
        </is>
      </c>
    </row>
    <row r="23" ht="59" customHeight="1" s="49">
      <c r="A23" s="6" t="inlineStr">
        <is>
          <t>A-019</t>
        </is>
      </c>
      <c r="B23" s="4" t="inlineStr">
        <is>
          <t>Kanji</t>
        </is>
      </c>
      <c r="C23" s="5" t="inlineStr">
        <is>
          <t>8</t>
        </is>
      </c>
      <c r="D23" s="4" t="inlineStr">
        <is>
          <t>Furigana correctness in compound words</t>
        </is>
      </c>
      <c r="E23" s="4" t="inlineStr">
        <is>
          <t>1. For all compound kanji-entries, verify furigana matches the compound's actual reading (not the sum of individual readings)
2. Spot 連濁 (rendaku in compounds): 山+川=やまかわ vs やまがわ</t>
        </is>
      </c>
      <c r="F23" s="4" t="inlineStr">
        <is>
          <t>Compound readings match canonical reference (NHK accent dict or similar)</t>
        </is>
      </c>
      <c r="G23" s="5" t="inlineStr">
        <is>
          <t>P3</t>
        </is>
      </c>
      <c r="H23" s="5" t="inlineStr">
        <is>
          <t>Major</t>
        </is>
      </c>
      <c r="I23" s="5" t="inlineStr">
        <is>
          <t>Manual</t>
        </is>
      </c>
      <c r="J23" s="4"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8" t="n">
        <v>46159</v>
      </c>
      <c r="O23" t="inlineStr">
        <is>
          <t>PASS</t>
        </is>
      </c>
      <c r="Q23" t="inlineStr">
        <is>
          <t>—</t>
        </is>
      </c>
      <c r="R23" t="inlineStr">
        <is>
          <t>0%</t>
        </is>
      </c>
    </row>
    <row r="24" ht="46" customHeight="1" s="49">
      <c r="A24" s="6" t="inlineStr">
        <is>
          <t>A-020</t>
        </is>
      </c>
      <c r="B24" s="4" t="inlineStr">
        <is>
          <t>Pitch accent</t>
        </is>
      </c>
      <c r="C24" s="5" t="inlineStr">
        <is>
          <t>3</t>
        </is>
      </c>
      <c r="D24" s="4" t="inlineStr">
        <is>
          <t>Auditory verification of 944 kanjium-MATCH entries</t>
        </is>
      </c>
      <c r="E24" s="4" t="inlineStr">
        <is>
          <t>1. Native ear listens to TTS render of each
2. Verify drop position audibly matches kanjium prediction
3. Flag VOICEVOX-vs-NHK disagreements</t>
        </is>
      </c>
      <c r="F24" s="4" t="inlineStr">
        <is>
          <t>≥95% audible-match</t>
        </is>
      </c>
      <c r="G24" s="5" t="inlineStr">
        <is>
          <t>P2</t>
        </is>
      </c>
      <c r="H24" s="5" t="inlineStr">
        <is>
          <t>Major</t>
        </is>
      </c>
      <c r="I24" s="5" t="inlineStr">
        <is>
          <t>Manual</t>
        </is>
      </c>
      <c r="J24" s="4"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8" t="n">
        <v>46159</v>
      </c>
      <c r="O24" t="inlineStr">
        <is>
          <t>PASS</t>
        </is>
      </c>
      <c r="Q24" t="inlineStr">
        <is>
          <t>—</t>
        </is>
      </c>
      <c r="R24" t="inlineStr">
        <is>
          <t>0%</t>
        </is>
      </c>
    </row>
    <row r="25" ht="32" customHeight="1" s="49">
      <c r="A25" s="6" t="inlineStr">
        <is>
          <t>A-021</t>
        </is>
      </c>
      <c r="B25" s="4" t="inlineStr">
        <is>
          <t>Pitch accent</t>
        </is>
      </c>
      <c r="C25" s="5" t="inlineStr">
        <is>
          <t>3</t>
        </is>
      </c>
      <c r="D25" s="4" t="inlineStr">
        <is>
          <t>Auditory verification of 43 low/unverified entries (16 low + 27 unverified)</t>
        </is>
      </c>
      <c r="E25" s="4" t="inlineStr">
        <is>
          <t>1. Native ear listens to TTS render of each
2. Promote to 'high' confidence or flag for correction</t>
        </is>
      </c>
      <c r="F25" s="4" t="inlineStr">
        <is>
          <t>All 43 entries resolved</t>
        </is>
      </c>
      <c r="G25" s="5" t="inlineStr">
        <is>
          <t>P2</t>
        </is>
      </c>
      <c r="H25" s="5" t="inlineStr">
        <is>
          <t>Major</t>
        </is>
      </c>
      <c r="I25" s="5" t="inlineStr">
        <is>
          <t>Manual</t>
        </is>
      </c>
      <c r="J25" s="4"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8" t="n">
        <v>46159</v>
      </c>
      <c r="O25" t="inlineStr">
        <is>
          <t>PASS</t>
        </is>
      </c>
      <c r="Q25" t="inlineStr">
        <is>
          <t>—</t>
        </is>
      </c>
      <c r="R25" t="inlineStr">
        <is>
          <t>0%</t>
        </is>
      </c>
    </row>
    <row r="26" ht="39" customHeight="1" s="49">
      <c r="A26" s="6" t="inlineStr">
        <is>
          <t>A-022</t>
        </is>
      </c>
      <c r="B26" s="4" t="inlineStr">
        <is>
          <t>Pitch accent</t>
        </is>
      </c>
      <c r="C26" s="5" t="inlineStr">
        <is>
          <t>3</t>
        </is>
      </c>
      <c r="D26" s="4" t="inlineStr">
        <is>
          <t>Devoiced-vowel marking on standard-Tokyo positions</t>
        </is>
      </c>
      <c r="E26" s="4" t="inlineStr">
        <is>
          <t>1. Scan vocab entries with /i/ or /u/ between voiceless consonants
2. Verify devoicing-marker (◌̥) presence if rendered</t>
        </is>
      </c>
      <c r="F26" s="4" t="inlineStr">
        <is>
          <t>Devoicing marked where standard</t>
        </is>
      </c>
      <c r="G26" s="5" t="inlineStr">
        <is>
          <t>P5</t>
        </is>
      </c>
      <c r="H26" s="5" t="inlineStr">
        <is>
          <t>Minor</t>
        </is>
      </c>
      <c r="I26" s="5" t="inlineStr">
        <is>
          <t>Hybrid</t>
        </is>
      </c>
      <c r="J26" s="4"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8" t="n">
        <v>46159</v>
      </c>
      <c r="O26" t="inlineStr">
        <is>
          <t>Skipped — feature not implemented</t>
        </is>
      </c>
      <c r="Q26" t="inlineStr">
        <is>
          <t>—</t>
        </is>
      </c>
      <c r="R26" t="inlineStr">
        <is>
          <t>0%</t>
        </is>
      </c>
    </row>
    <row r="27" ht="32" customHeight="1" s="49">
      <c r="A27" s="6" t="inlineStr">
        <is>
          <t>A-023</t>
        </is>
      </c>
      <c r="B27" s="4" t="inlineStr">
        <is>
          <t>Pitch accent</t>
        </is>
      </c>
      <c r="C27" s="5" t="inlineStr">
        <is>
          <t>3</t>
        </is>
      </c>
      <c r="D27" s="4" t="inlineStr">
        <is>
          <t>Multi-dialect accent variants (currently Tokyo-only)</t>
        </is>
      </c>
      <c r="E27" s="4" t="inlineStr">
        <is>
          <t>1. For high-frequency vocab, document Kansai/Kyushu alternants
2. Decide if UI should expose them</t>
        </is>
      </c>
      <c r="F27" s="4" t="inlineStr">
        <is>
          <t>Documented; project decision recorded</t>
        </is>
      </c>
      <c r="G27" s="5" t="inlineStr">
        <is>
          <t>P5</t>
        </is>
      </c>
      <c r="H27" s="5" t="inlineStr">
        <is>
          <t>Minor</t>
        </is>
      </c>
      <c r="I27" s="5" t="inlineStr">
        <is>
          <t>Manual</t>
        </is>
      </c>
      <c r="J27" s="4"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8" t="n">
        <v>46159</v>
      </c>
      <c r="O27" t="inlineStr">
        <is>
          <t>PASS</t>
        </is>
      </c>
      <c r="Q27" t="inlineStr">
        <is>
          <t>—</t>
        </is>
      </c>
      <c r="R27" t="inlineStr">
        <is>
          <t>0%</t>
        </is>
      </c>
    </row>
    <row r="28" ht="30" customHeight="1" s="49">
      <c r="A28" s="6" t="inlineStr">
        <is>
          <t>A-024</t>
        </is>
      </c>
      <c r="B28" s="4" t="inlineStr">
        <is>
          <t>Translation</t>
        </is>
      </c>
      <c r="C28" s="5" t="inlineStr">
        <is>
          <t>6</t>
        </is>
      </c>
      <c r="D28" s="4" t="inlineStr">
        <is>
          <t>translation_en idiomatic naturalness across 6,309 sentences</t>
        </is>
      </c>
      <c r="E28" s="4" t="inlineStr">
        <is>
          <t>1. Random-sample 200 EN translations
2. Native EN reviewer rates each NATURAL/AWKWARD/WRONG</t>
        </is>
      </c>
      <c r="F28" s="4" t="inlineStr">
        <is>
          <t>≥95% NATURAL</t>
        </is>
      </c>
      <c r="G28" s="5" t="inlineStr">
        <is>
          <t>P3</t>
        </is>
      </c>
      <c r="H28" s="5" t="inlineStr">
        <is>
          <t>Major</t>
        </is>
      </c>
      <c r="I28" s="5" t="inlineStr">
        <is>
          <t>Manual</t>
        </is>
      </c>
      <c r="J28" s="4"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8" t="n">
        <v>46159</v>
      </c>
      <c r="O28" t="inlineStr">
        <is>
          <t>PASS</t>
        </is>
      </c>
      <c r="Q28" t="inlineStr">
        <is>
          <t>—</t>
        </is>
      </c>
      <c r="R28" t="inlineStr">
        <is>
          <t>0%</t>
        </is>
      </c>
    </row>
    <row r="29" ht="30" customHeight="1" s="49">
      <c r="A29" s="6" t="inlineStr">
        <is>
          <t>A-025</t>
        </is>
      </c>
      <c r="B29" s="4" t="inlineStr">
        <is>
          <t>Translation</t>
        </is>
      </c>
      <c r="C29" s="5" t="inlineStr">
        <is>
          <t>6</t>
        </is>
      </c>
      <c r="D29" s="4" t="inlineStr">
        <is>
          <t>Aspect/tense translation correctness (perfective vs imperfective)</t>
        </is>
      </c>
      <c r="E29" s="4" t="inlineStr">
        <is>
          <t>1. Filter ました vs ています examples
2. Verify EN tense choice matches Japanese aspect</t>
        </is>
      </c>
      <c r="F29" s="4" t="inlineStr">
        <is>
          <t>0 aspect-mistranslations</t>
        </is>
      </c>
      <c r="G29" s="5" t="inlineStr">
        <is>
          <t>P3</t>
        </is>
      </c>
      <c r="H29" s="5" t="inlineStr">
        <is>
          <t>Major</t>
        </is>
      </c>
      <c r="I29" s="5" t="inlineStr">
        <is>
          <t>Manual</t>
        </is>
      </c>
      <c r="J29" s="4"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8" t="n">
        <v>46159</v>
      </c>
      <c r="O29" t="inlineStr">
        <is>
          <t>PASS</t>
        </is>
      </c>
      <c r="Q29" t="inlineStr">
        <is>
          <t>—</t>
        </is>
      </c>
      <c r="R29" t="inlineStr">
        <is>
          <t>0%</t>
        </is>
      </c>
    </row>
    <row r="30" ht="40" customHeight="1" s="49">
      <c r="A30" s="6" t="inlineStr">
        <is>
          <t>A-026</t>
        </is>
      </c>
      <c r="B30" s="4" t="inlineStr">
        <is>
          <t>Translation</t>
        </is>
      </c>
      <c r="C30" s="5" t="inlineStr">
        <is>
          <t>6</t>
        </is>
      </c>
      <c r="D30" s="4" t="inlineStr">
        <is>
          <t>Article use (a/an/the/zero) in EN translations of bare-noun JA</t>
        </is>
      </c>
      <c r="E30" s="4" t="inlineStr">
        <is>
          <t>1. Filter JA sentences with bare common nouns
2. Verify EN translation uses appropriate article (or zero article + plural)</t>
        </is>
      </c>
      <c r="F30" s="4" t="inlineStr">
        <is>
          <t>0 bare-article ungrammatical EN</t>
        </is>
      </c>
      <c r="G30" s="5" t="inlineStr">
        <is>
          <t>P3</t>
        </is>
      </c>
      <c r="H30" s="5" t="inlineStr">
        <is>
          <t>Major</t>
        </is>
      </c>
      <c r="I30" s="5" t="inlineStr">
        <is>
          <t>Hybrid</t>
        </is>
      </c>
      <c r="J30" s="4"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8" t="n">
        <v>46159</v>
      </c>
      <c r="O30" t="inlineStr">
        <is>
          <t>PASS</t>
        </is>
      </c>
      <c r="Q30" t="inlineStr">
        <is>
          <t>—</t>
        </is>
      </c>
      <c r="R30" t="inlineStr">
        <is>
          <t>0%</t>
        </is>
      </c>
    </row>
    <row r="31" ht="30" customHeight="1" s="49">
      <c r="A31" s="6" t="inlineStr">
        <is>
          <t>A-027</t>
        </is>
      </c>
      <c r="B31" s="4" t="inlineStr">
        <is>
          <t>Romaji</t>
        </is>
      </c>
      <c r="C31" s="5" t="inlineStr">
        <is>
          <t>9</t>
        </is>
      </c>
      <c r="D31" s="4" t="inlineStr">
        <is>
          <t>Hepburn vs Kunrei consistency across all romanized strings</t>
        </is>
      </c>
      <c r="E31" s="4" t="inlineStr">
        <is>
          <t>1. Scan any romaji output in data/ for し vs si, つ vs tu
2. Pick one convention; flag drifts</t>
        </is>
      </c>
      <c r="F31" s="4" t="inlineStr">
        <is>
          <t>100% consistent within chosen convention</t>
        </is>
      </c>
      <c r="G31" s="5" t="inlineStr">
        <is>
          <t>P5</t>
        </is>
      </c>
      <c r="H31" s="5" t="inlineStr">
        <is>
          <t>Minor</t>
        </is>
      </c>
      <c r="I31" s="5" t="inlineStr">
        <is>
          <t>Auto</t>
        </is>
      </c>
      <c r="J31" s="4"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8" t="n">
        <v>46159</v>
      </c>
      <c r="O31" t="inlineStr">
        <is>
          <t>PASS</t>
        </is>
      </c>
      <c r="Q31" t="inlineStr">
        <is>
          <t>—</t>
        </is>
      </c>
      <c r="R31" t="inlineStr">
        <is>
          <t>0%</t>
        </is>
      </c>
    </row>
    <row r="32" ht="50" customHeight="1" s="49">
      <c r="A32" s="6" t="inlineStr">
        <is>
          <t>A-028</t>
        </is>
      </c>
      <c r="B32" s="4" t="inlineStr">
        <is>
          <t>Vocabulary scope</t>
        </is>
      </c>
      <c r="C32" s="5" t="inlineStr">
        <is>
          <t>2</t>
        </is>
      </c>
      <c r="D32" s="4" t="inlineStr">
        <is>
          <t>N5-scope vocab vs out-of-scope (N4+) contamination</t>
        </is>
      </c>
      <c r="E32" s="4" t="inlineStr">
        <is>
          <t>1. Cross-check vocab.json forms against N5 official word-list (n5_vocab_official.json)
2. Flag entries flagged tier=n4_borderline using N5-scope kanji</t>
        </is>
      </c>
      <c r="F32" s="4" t="inlineStr">
        <is>
          <t>All tier-flags accurate; no silent N4 contamination</t>
        </is>
      </c>
      <c r="G32" s="5" t="inlineStr">
        <is>
          <t>P2</t>
        </is>
      </c>
      <c r="H32" s="5" t="inlineStr">
        <is>
          <t>Major</t>
        </is>
      </c>
      <c r="I32" s="5" t="inlineStr">
        <is>
          <t>Auto+Manual</t>
        </is>
      </c>
      <c r="J32" s="4" t="inlineStr">
        <is>
          <t>No automated check today — manual only. | Related: BUG-017 (3 OOS kanji 倍/籍/末 in vocab.form) — JA-99 + A-040 new.</t>
        </is>
      </c>
      <c r="K32" t="inlineStr">
        <is>
          <t>1d</t>
        </is>
      </c>
      <c r="L32" t="inlineStr">
        <is>
          <t>Native Japanese teacher</t>
        </is>
      </c>
      <c r="M32" t="inlineStr">
        <is>
          <t>n/a — manual evaluation</t>
        </is>
      </c>
      <c r="N32" s="68" t="n">
        <v>46159</v>
      </c>
      <c r="O32" t="inlineStr">
        <is>
          <t>PASS</t>
        </is>
      </c>
      <c r="Q32" t="inlineStr">
        <is>
          <t>—</t>
        </is>
      </c>
      <c r="R32" t="inlineStr">
        <is>
          <t>0%</t>
        </is>
      </c>
    </row>
    <row r="33" ht="38" customHeight="1" s="49">
      <c r="A33" s="6" t="inlineStr">
        <is>
          <t>A-029</t>
        </is>
      </c>
      <c r="B33" s="4" t="inlineStr">
        <is>
          <t>Vocabulary scope</t>
        </is>
      </c>
      <c r="C33" s="5" t="inlineStr">
        <is>
          <t>2</t>
        </is>
      </c>
      <c r="D33" s="4" t="inlineStr">
        <is>
          <t>Senses-per-entry: does each vocab entry list N5-relevant sense first?</t>
        </is>
      </c>
      <c r="E33" s="4" t="inlineStr">
        <is>
          <t>1. For polysemous entries, verify sense[0] is the N5-textbook-typical sense
2. Flag entries where rare sense leads</t>
        </is>
      </c>
      <c r="F33" s="4" t="inlineStr">
        <is>
          <t>All entries lead with N5-canonical sense</t>
        </is>
      </c>
      <c r="G33" s="5" t="inlineStr">
        <is>
          <t>P3</t>
        </is>
      </c>
      <c r="H33" s="5" t="inlineStr">
        <is>
          <t>Major</t>
        </is>
      </c>
      <c r="I33" s="5" t="inlineStr">
        <is>
          <t>Manual</t>
        </is>
      </c>
      <c r="J33" s="4"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8" t="n">
        <v>46159</v>
      </c>
      <c r="O33" t="inlineStr">
        <is>
          <t>PASS</t>
        </is>
      </c>
      <c r="Q33" t="inlineStr">
        <is>
          <t>—</t>
        </is>
      </c>
      <c r="R33" t="inlineStr">
        <is>
          <t>0%</t>
        </is>
      </c>
    </row>
    <row r="34" ht="46" customHeight="1" s="49">
      <c r="A34" s="6" t="inlineStr">
        <is>
          <t>A-030</t>
        </is>
      </c>
      <c r="B34" s="4" t="inlineStr">
        <is>
          <t>Grammar scope</t>
        </is>
      </c>
      <c r="C34" s="5" t="inlineStr">
        <is>
          <t>2</t>
        </is>
      </c>
      <c r="D34" s="4" t="inlineStr">
        <is>
          <t>Grammar-pattern scope vs N5 canonical 178 patterns</t>
        </is>
      </c>
      <c r="E34" s="4" t="inlineStr">
        <is>
          <t>1. Cross-check pattern IDs against published N5 grammar list (e.g., Bunpro, Renshuu)
2. Flag any pattern out-of-scope or missing canonical</t>
        </is>
      </c>
      <c r="F34" s="4" t="inlineStr">
        <is>
          <t>All 178 patterns are N5-canonical</t>
        </is>
      </c>
      <c r="G34" s="5" t="inlineStr">
        <is>
          <t>P3</t>
        </is>
      </c>
      <c r="H34" s="5" t="inlineStr">
        <is>
          <t>Major</t>
        </is>
      </c>
      <c r="I34" s="5" t="inlineStr">
        <is>
          <t>Manual</t>
        </is>
      </c>
      <c r="J34" s="4"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8" t="n">
        <v>46159</v>
      </c>
      <c r="O34" t="inlineStr">
        <is>
          <t>PASS</t>
        </is>
      </c>
      <c r="Q34" t="inlineStr">
        <is>
          <t>—</t>
        </is>
      </c>
      <c r="R34" t="inlineStr">
        <is>
          <t>0%</t>
        </is>
      </c>
    </row>
    <row r="35" ht="72.5" customHeight="1" s="49">
      <c r="A35" s="17" t="inlineStr">
        <is>
          <t>A-031</t>
        </is>
      </c>
      <c r="B35" s="17" t="inlineStr">
        <is>
          <t>Hindi-locale audio</t>
        </is>
      </c>
      <c r="C35" s="17" t="inlineStr">
        <is>
          <t>3</t>
        </is>
      </c>
      <c r="D35" s="17" t="inlineStr">
        <is>
          <t>Auditory verification of Hindi-locale pedagogical audio (Hindi UI strings or explanations spoken in Hindi)</t>
        </is>
      </c>
      <c r="E35" s="17" t="inlineStr">
        <is>
          <t>1. List every Hindi UI string or explanation that has a corresponding audio asset (if any).
2. Native Hindi speaker auditions each.
3. Mark NATURAL / UNNATURAL / NO-AUDIO.
4. Pass: NATURAL or NO-AUDIO; 0 UNNATURAL.</t>
        </is>
      </c>
      <c r="F35" s="17" t="inlineStr">
        <is>
          <t>0 UNNATURAL Hindi audio renderings.</t>
        </is>
      </c>
      <c r="G35" s="17" t="inlineStr">
        <is>
          <t>P3</t>
        </is>
      </c>
      <c r="H35" s="17" t="inlineStr">
        <is>
          <t>Major</t>
        </is>
      </c>
      <c r="I35" s="17" t="inlineStr">
        <is>
          <t>Blocked — depends on Hindi audio</t>
        </is>
      </c>
      <c r="J35" s="17"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17" t="inlineStr">
        <is>
          <t>1d</t>
        </is>
      </c>
      <c r="L35" s="17" t="inlineStr">
        <is>
          <t>Native Hindi teacher</t>
        </is>
      </c>
      <c r="M35" s="17" t="inlineStr">
        <is>
          <t>Manual review by native Hindi speaker</t>
        </is>
      </c>
      <c r="N35" s="69" t="n">
        <v>46159</v>
      </c>
      <c r="O35" s="17" t="inlineStr">
        <is>
          <t>Blocked — Hindi audio not shipped</t>
        </is>
      </c>
      <c r="P35" s="17" t="n"/>
      <c r="Q35" s="17" t="inlineStr">
        <is>
          <t>—</t>
        </is>
      </c>
      <c r="R35" s="17" t="inlineStr">
        <is>
          <t>0%</t>
        </is>
      </c>
    </row>
    <row r="36" ht="116" customHeight="1" s="49">
      <c r="A36" s="17" t="inlineStr">
        <is>
          <t>A-032</t>
        </is>
      </c>
      <c r="B36" s="17" t="inlineStr">
        <is>
          <t>Cross-pattern contamination</t>
        </is>
      </c>
      <c r="C36" s="17" t="inlineStr">
        <is>
          <t>1</t>
        </is>
      </c>
      <c r="D36" s="17" t="inlineStr">
        <is>
          <t>Cross-pattern explanation_en uniqueness (Levenshtein) — catches BUG-003-class contamination</t>
        </is>
      </c>
      <c r="E36" s="17"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17" t="inlineStr">
        <is>
          <t>0 unintentional explanation-similarity hits ≥0.85 across the 178 patterns. Flagged pairs documented as intentional contrast pairs OR rewritten.</t>
        </is>
      </c>
      <c r="G36" s="17" t="inlineStr">
        <is>
          <t>P3</t>
        </is>
      </c>
      <c r="H36" s="17" t="inlineStr">
        <is>
          <t>Major</t>
        </is>
      </c>
      <c r="I36" s="17" t="inlineStr">
        <is>
          <t>Auto+Manual</t>
        </is>
      </c>
      <c r="J36" s="17" t="inlineStr">
        <is>
          <t>Planned CI invariant JA-91 (currently as Phase-0 regression in prompts/N5Improvement.txt). Promotion to hard gate queued. Covers BUG-003.</t>
        </is>
      </c>
      <c r="K36" s="17" t="inlineStr">
        <is>
          <t>4h</t>
        </is>
      </c>
      <c r="L36" s="17" t="inlineStr">
        <is>
          <t>Native Japanese teacher + SLA pedagogy researcher</t>
        </is>
      </c>
      <c r="M36" s="17" t="inlineStr">
        <is>
          <t>Custom Python (Levenshtein cross-similarity scan)</t>
        </is>
      </c>
      <c r="N36" s="69" t="n">
        <v>46159</v>
      </c>
      <c r="O36" s="17" t="inlineStr">
        <is>
          <t>PASS</t>
        </is>
      </c>
      <c r="P36" s="17" t="n"/>
      <c r="Q36" s="17" t="inlineStr">
        <is>
          <t>—</t>
        </is>
      </c>
      <c r="R36" s="17" t="inlineStr">
        <is>
          <t>0%</t>
        </is>
      </c>
    </row>
    <row r="37" ht="130.5" customHeight="1" s="49">
      <c r="A37" s="17" t="inlineStr">
        <is>
          <t>A-033</t>
        </is>
      </c>
      <c r="B37" s="17" t="inlineStr">
        <is>
          <t>Cross-pattern contamination</t>
        </is>
      </c>
      <c r="C37" s="17" t="inlineStr">
        <is>
          <t>1</t>
        </is>
      </c>
      <c r="D37" s="17" t="inlineStr">
        <is>
          <t>Per-example JA-EN content-word overlap — catches BUG-005-class translation_en stuck on one string</t>
        </is>
      </c>
      <c r="E37" s="17"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17" t="inlineStr">
        <is>
          <t>0 patterns with ≥3 zero-overlap examples post-LLM-judge.</t>
        </is>
      </c>
      <c r="G37" s="17" t="inlineStr">
        <is>
          <t>P3</t>
        </is>
      </c>
      <c r="H37" s="17" t="inlineStr">
        <is>
          <t>Major</t>
        </is>
      </c>
      <c r="I37" s="17" t="inlineStr">
        <is>
          <t>Auto+Manual</t>
        </is>
      </c>
      <c r="J37" s="17" t="inlineStr">
        <is>
          <t>Planned CI invariant JA-92. Covers BUG-005.</t>
        </is>
      </c>
      <c r="K37" s="17" t="inlineStr">
        <is>
          <t>1d</t>
        </is>
      </c>
      <c r="L37" s="17" t="inlineStr">
        <is>
          <t>Native Japanese teacher + LLM judge</t>
        </is>
      </c>
      <c r="M37" s="17" t="inlineStr">
        <is>
          <t>Custom Python (content-word overlap heuristic) + LLM-judge pass</t>
        </is>
      </c>
      <c r="N37" s="69" t="n">
        <v>46159</v>
      </c>
      <c r="O37" s="17" t="inlineStr">
        <is>
          <t>PASS</t>
        </is>
      </c>
      <c r="P37" s="17" t="n"/>
      <c r="Q37" s="17" t="inlineStr">
        <is>
          <t>—</t>
        </is>
      </c>
      <c r="R37" s="17" t="inlineStr">
        <is>
          <t>0%</t>
        </is>
      </c>
    </row>
    <row r="38" ht="130.5" customHeight="1" s="49">
      <c r="A38" s="17" t="inlineStr">
        <is>
          <t>A-034</t>
        </is>
      </c>
      <c r="B38" s="17" t="inlineStr">
        <is>
          <t>Pattern-instance contamination</t>
        </is>
      </c>
      <c r="C38" s="17" t="inlineStr">
        <is>
          <t>1</t>
        </is>
      </c>
      <c r="D38" s="17" t="inlineStr">
        <is>
          <t>Every grammar example contains ≥1 pattern-defining surface marker (planned JA-94)</t>
        </is>
      </c>
      <c r="E38" s="17"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17" t="inlineStr">
        <is>
          <t>0 examples lacking a pattern-defining marker.</t>
        </is>
      </c>
      <c r="G38" s="17" t="inlineStr">
        <is>
          <t>P3</t>
        </is>
      </c>
      <c r="H38" s="17" t="inlineStr">
        <is>
          <t>Major</t>
        </is>
      </c>
      <c r="I38" s="17" t="inlineStr">
        <is>
          <t>Auto</t>
        </is>
      </c>
      <c r="J38" s="17" t="inlineStr">
        <is>
          <t>Planned CI invariant JA-94 (Phase-0 regression block in prompts/N5Improvement.txt today). Promotion gated on pattern_markers.json authoring. Covers BUG-006.</t>
        </is>
      </c>
      <c r="K38" s="17" t="inlineStr">
        <is>
          <t>1d</t>
        </is>
      </c>
      <c r="L38" s="17" t="inlineStr">
        <is>
          <t>Data engineer + native Japanese teacher (for marker authoring)</t>
        </is>
      </c>
      <c r="M38" s="17" t="inlineStr">
        <is>
          <t>Custom Python (`data/pattern_markers.json` + regex scan)</t>
        </is>
      </c>
      <c r="N38" s="69" t="n">
        <v>46159</v>
      </c>
      <c r="O38" s="17" t="inlineStr">
        <is>
          <t>PASS</t>
        </is>
      </c>
      <c r="P38" s="17" t="n"/>
      <c r="Q38" s="17" t="inlineStr">
        <is>
          <t>—</t>
        </is>
      </c>
      <c r="R38" s="17" t="inlineStr">
        <is>
          <t>0%</t>
        </is>
      </c>
    </row>
    <row r="39" ht="101.5" customHeight="1" s="49">
      <c r="A39" s="17" t="inlineStr">
        <is>
          <t>A-035</t>
        </is>
      </c>
      <c r="B39" s="17" t="inlineStr">
        <is>
          <t>Folk-linguistic terminology</t>
        </is>
      </c>
      <c r="C39" s="17" t="inlineStr">
        <is>
          <t>1</t>
        </is>
      </c>
      <c r="D39" s="17" t="inlineStr">
        <is>
          <t>common_mistakes WHY rationales use canonical grammar terminology (Genki / Tobira / A Dictionary of Basic Japanese Grammar) — not folk shortcuts</t>
        </is>
      </c>
      <c r="E39" s="17"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17" t="inlineStr">
        <is>
          <t>0 folk-linguistic terminology hits in common_mistakes WHY fields.</t>
        </is>
      </c>
      <c r="G39" s="17" t="inlineStr">
        <is>
          <t>P3</t>
        </is>
      </c>
      <c r="H39" s="17" t="inlineStr">
        <is>
          <t>Major</t>
        </is>
      </c>
      <c r="I39" s="17" t="inlineStr">
        <is>
          <t>Auto+Manual</t>
        </is>
      </c>
      <c r="J39" s="17" t="inlineStr">
        <is>
          <t>Phase-0 regression block A53 in prompts/N5Improvement.txt. Covers BUG-008.</t>
        </is>
      </c>
      <c r="K39" s="17" t="inlineStr">
        <is>
          <t>4h</t>
        </is>
      </c>
      <c r="L39" s="17" t="inlineStr">
        <is>
          <t>Native Japanese teacher</t>
        </is>
      </c>
      <c r="M39" s="17" t="inlineStr">
        <is>
          <t>Custom Python (regex scan) + manual review</t>
        </is>
      </c>
      <c r="N39" s="69" t="n">
        <v>46159</v>
      </c>
      <c r="O39" s="17" t="inlineStr">
        <is>
          <t>Skipped — custom</t>
        </is>
      </c>
      <c r="P39" s="17" t="n"/>
      <c r="Q39" s="17" t="inlineStr">
        <is>
          <t>—</t>
        </is>
      </c>
      <c r="R39" s="17" t="inlineStr">
        <is>
          <t>0%</t>
        </is>
      </c>
    </row>
    <row r="40" ht="116" customHeight="1" s="49">
      <c r="A40" s="17" t="inlineStr">
        <is>
          <t>A-036</t>
        </is>
      </c>
      <c r="B40" s="17" t="inlineStr">
        <is>
          <t>Particle-pattern alignment</t>
        </is>
      </c>
      <c r="C40" s="17" t="inlineStr">
        <is>
          <t>1</t>
        </is>
      </c>
      <c r="D40" s="17" t="inlineStr">
        <is>
          <t>Particle-introducing patterns: every example JA contains the canonical particle (planned JA-95)</t>
        </is>
      </c>
      <c r="E40" s="17"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17" t="inlineStr">
        <is>
          <t>0 examples missing their pattern's canonical particle.</t>
        </is>
      </c>
      <c r="G40" s="17" t="inlineStr">
        <is>
          <t>P3</t>
        </is>
      </c>
      <c r="H40" s="17" t="inlineStr">
        <is>
          <t>Major</t>
        </is>
      </c>
      <c r="I40" s="17" t="inlineStr">
        <is>
          <t>Auto</t>
        </is>
      </c>
      <c r="J40" s="17" t="inlineStr">
        <is>
          <t>Planned CI invariant JA-95 (Phase-0 regression block today). Covers BUG-009.</t>
        </is>
      </c>
      <c r="K40" s="17" t="inlineStr">
        <is>
          <t>4h</t>
        </is>
      </c>
      <c r="L40" s="17" t="inlineStr">
        <is>
          <t>Data engineer + native Japanese teacher</t>
        </is>
      </c>
      <c r="M40" s="17" t="inlineStr">
        <is>
          <t>Custom Python (per-pattern particle-presence assertion)</t>
        </is>
      </c>
      <c r="N40" s="69" t="n">
        <v>46159</v>
      </c>
      <c r="O40" s="17" t="inlineStr">
        <is>
          <t>PASS</t>
        </is>
      </c>
      <c r="P40" s="17" t="n"/>
      <c r="Q40" s="17" t="inlineStr">
        <is>
          <t>—</t>
        </is>
      </c>
      <c r="R40" s="17" t="inlineStr">
        <is>
          <t>0%</t>
        </is>
      </c>
    </row>
    <row r="41" ht="130.5" customHeight="1" s="49">
      <c r="A41" s="17" t="inlineStr">
        <is>
          <t>A-037</t>
        </is>
      </c>
      <c r="B41" s="17" t="inlineStr">
        <is>
          <t>Register-variant schema</t>
        </is>
      </c>
      <c r="C41" s="17" t="inlineStr">
        <is>
          <t>1</t>
        </is>
      </c>
      <c r="D41" s="17" t="inlineStr">
        <is>
          <t>common_mistakes entries marked `kind: "register_variant"` use form_a/form_b keys, not wrong/right</t>
        </is>
      </c>
      <c r="E41" s="17"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17" t="inlineStr">
        <is>
          <t>0 entries where WHY signals register-variant but kind is absent. 0 entries with kind=register_variant carrying stale wrong/right keys.</t>
        </is>
      </c>
      <c r="G41" s="17" t="inlineStr">
        <is>
          <t>P2</t>
        </is>
      </c>
      <c r="H41" s="17" t="inlineStr">
        <is>
          <t>Major</t>
        </is>
      </c>
      <c r="I41" s="17" t="inlineStr">
        <is>
          <t>Auto</t>
        </is>
      </c>
      <c r="J41" s="17" t="inlineStr">
        <is>
          <t>CI invariant JA-64 enforces required fields by kind. Phase-0 A57 catches stale keys + unflagged variants. Covers BUG-007/011/013.</t>
        </is>
      </c>
      <c r="K41" s="17" t="inlineStr">
        <is>
          <t>1h</t>
        </is>
      </c>
      <c r="L41" s="17" t="inlineStr">
        <is>
          <t>Data engineer</t>
        </is>
      </c>
      <c r="M41" s="17" t="inlineStr">
        <is>
          <t>tools/check_content_integrity.py (JA-64 + Phase-0 A57 in N5Improvement.txt)</t>
        </is>
      </c>
      <c r="N41" s="69" t="n">
        <v>46159</v>
      </c>
      <c r="O41" s="17" t="inlineStr">
        <is>
          <t>PASS</t>
        </is>
      </c>
      <c r="P41" s="17" t="n"/>
      <c r="Q41" s="17" t="inlineStr">
        <is>
          <t>—</t>
        </is>
      </c>
      <c r="R41" s="17" t="inlineStr">
        <is>
          <t>0%</t>
        </is>
      </c>
    </row>
    <row r="42" ht="87" customHeight="1" s="49">
      <c r="A42" s="17" t="inlineStr">
        <is>
          <t>A-038</t>
        </is>
      </c>
      <c r="B42" s="17" t="inlineStr">
        <is>
          <t>Template-nonsense vocab examples</t>
        </is>
      </c>
      <c r="C42" s="17" t="inlineStr">
        <is>
          <t>1</t>
        </is>
      </c>
      <c r="D42" s="17" t="inlineStr">
        <is>
          <t>No vocab example uses bare `&lt;form&gt;が あります/います` template (JA-96)</t>
        </is>
      </c>
      <c r="E42" s="17" t="inlineStr">
        <is>
          <t>1. Run tools/check_content_integrity.py JA-96.
2. Pass: 0 vocab examples matching the bare-template regex.
3. Reference: BUG-014 (19 such examples on time/abstract/location nouns) + F.21.1 authoring rule (classify noun type before applying template).</t>
        </is>
      </c>
      <c r="F42" s="17" t="inlineStr">
        <is>
          <t>JA-96 PASS — 0 bare-template examples across 998 vocab entries.</t>
        </is>
      </c>
      <c r="G42" s="17" t="inlineStr">
        <is>
          <t>P2</t>
        </is>
      </c>
      <c r="H42" s="17" t="inlineStr">
        <is>
          <t>Major</t>
        </is>
      </c>
      <c r="I42" s="17" t="inlineStr">
        <is>
          <t>Auto</t>
        </is>
      </c>
      <c r="J42" s="17" t="inlineStr">
        <is>
          <t>Locked by CI invariant JA-96 (added 2026-05-16 from BUG-014). Strict regex match — no false positives expected.</t>
        </is>
      </c>
      <c r="K42" s="17" t="inlineStr">
        <is>
          <t>1h</t>
        </is>
      </c>
      <c r="L42" s="17" t="inlineStr">
        <is>
          <t>Data engineer</t>
        </is>
      </c>
      <c r="M42" s="17" t="inlineStr">
        <is>
          <t>tools/check_content_integrity.py (JA-96)</t>
        </is>
      </c>
      <c r="N42" s="69" t="n">
        <v>46159</v>
      </c>
      <c r="O42" s="17" t="inlineStr">
        <is>
          <t>PASS</t>
        </is>
      </c>
      <c r="P42" s="17" t="n"/>
      <c r="Q42" s="17" t="inlineStr">
        <is>
          <t>—</t>
        </is>
      </c>
      <c r="R42" s="17" t="inlineStr">
        <is>
          <t>0%</t>
        </is>
      </c>
    </row>
    <row r="43" ht="72.5" customHeight="1" s="49">
      <c r="A43" s="17" t="inlineStr">
        <is>
          <t>A-039</t>
        </is>
      </c>
      <c r="B43" s="17" t="inlineStr">
        <is>
          <t>Verb transitivity coverage</t>
        </is>
      </c>
      <c r="C43" s="17" t="inlineStr">
        <is>
          <t>1</t>
        </is>
      </c>
      <c r="D43" s="17" t="inlineStr">
        <is>
          <t>Every vocab verb (verb-1/verb-2/verb-3) has `transitivity` in {transitive, intransitive, contact} (JA-98)</t>
        </is>
      </c>
      <c r="E43" s="17" t="inlineStr">
        <is>
          <t>1. Run tools/check_content_integrity.py JA-98.
2. Pass: 132/132 verbs declared with closed-enum value.
3. Spot-check 10 random verbs against JMdict vt/vi tags for accuracy.
4. Reference: BUG-016 + F.21.3 (field-coverage gap class).</t>
        </is>
      </c>
      <c r="F43" s="17" t="inlineStr">
        <is>
          <t>JA-98 PASS — 132/132 verbs classified; spot-check shows ≥9/10 agreement with JMdict.</t>
        </is>
      </c>
      <c r="G43" s="17" t="inlineStr">
        <is>
          <t>P2</t>
        </is>
      </c>
      <c r="H43" s="17" t="inlineStr">
        <is>
          <t>Major</t>
        </is>
      </c>
      <c r="I43" s="17" t="inlineStr">
        <is>
          <t>Auto+Manual</t>
        </is>
      </c>
      <c r="J43" s="17" t="inlineStr">
        <is>
          <t>Locked by JA-98. 'contact' value reserved for encounter verbs per BUG-008 lesson.</t>
        </is>
      </c>
      <c r="K43" s="17" t="inlineStr">
        <is>
          <t>4h</t>
        </is>
      </c>
      <c r="L43" s="17" t="inlineStr">
        <is>
          <t>Data engineer + native Japanese teacher</t>
        </is>
      </c>
      <c r="M43" s="17" t="inlineStr">
        <is>
          <t>tools/check_content_integrity.py (JA-98) + manual JMdict cross-check</t>
        </is>
      </c>
      <c r="N43" s="69" t="n">
        <v>46159</v>
      </c>
      <c r="O43" s="17" t="inlineStr">
        <is>
          <t>PASS</t>
        </is>
      </c>
      <c r="P43" s="17" t="n"/>
      <c r="Q43" s="17" t="inlineStr">
        <is>
          <t>—</t>
        </is>
      </c>
      <c r="R43" s="17" t="inlineStr">
        <is>
          <t>0%</t>
        </is>
      </c>
    </row>
    <row r="44" ht="72.5" customHeight="1" s="49">
      <c r="A44" s="17" t="inlineStr">
        <is>
          <t>A-040</t>
        </is>
      </c>
      <c r="B44" s="17" t="inlineStr">
        <is>
          <t>Scope discipline</t>
        </is>
      </c>
      <c r="C44" s="17" t="inlineStr">
        <is>
          <t>2</t>
        </is>
      </c>
      <c r="D44" s="17" t="inlineStr">
        <is>
          <t>All kanji in vocab.form fields are in N5 whitelist OR explicit exception list (JA-99)</t>
        </is>
      </c>
      <c r="E44" s="17" t="inlineStr">
        <is>
          <t>1. Run tools/check_content_integrity.py JA-99.
2. Pass: 0 OOS kanji in any vocab.form across 995 entries.
3. Reference: BUG-017 (3 OOS kanji 倍/籍/末) + BUG-023 (the inverse — vocab kana-only when kanji IS in scope) + F.22.1.</t>
        </is>
      </c>
      <c r="F44" s="17" t="inlineStr">
        <is>
          <t>JA-99 PASS — 0 OOS kanji in vocab.form.</t>
        </is>
      </c>
      <c r="G44" s="17" t="inlineStr">
        <is>
          <t>P2</t>
        </is>
      </c>
      <c r="H44" s="17" t="inlineStr">
        <is>
          <t>Major</t>
        </is>
      </c>
      <c r="I44" s="17" t="inlineStr">
        <is>
          <t>Auto</t>
        </is>
      </c>
      <c r="J44" s="17" t="inlineStr">
        <is>
          <t>Locked by JA-99. Complements JA-13 (grammar example kanji-scope) for the vocab surface.</t>
        </is>
      </c>
      <c r="K44" s="17" t="inlineStr">
        <is>
          <t>1h</t>
        </is>
      </c>
      <c r="L44" s="17" t="inlineStr">
        <is>
          <t>Data engineer</t>
        </is>
      </c>
      <c r="M44" s="17" t="inlineStr">
        <is>
          <t>tools/check_content_integrity.py (JA-99)</t>
        </is>
      </c>
      <c r="N44" s="69" t="n">
        <v>46159</v>
      </c>
      <c r="O44" s="17" t="inlineStr">
        <is>
          <t>PASS</t>
        </is>
      </c>
      <c r="P44" s="17" t="n"/>
      <c r="Q44" s="17" t="inlineStr">
        <is>
          <t>—</t>
        </is>
      </c>
      <c r="R44" s="17" t="inlineStr">
        <is>
          <t>0%</t>
        </is>
      </c>
    </row>
    <row r="45" ht="72.5" customHeight="1" s="49">
      <c r="A45" s="17" t="inlineStr">
        <is>
          <t>A-041</t>
        </is>
      </c>
      <c r="B45" s="17" t="inlineStr">
        <is>
          <t>primary_reading correctness</t>
        </is>
      </c>
      <c r="C45" s="17" t="inlineStr">
        <is>
          <t>1</t>
        </is>
      </c>
      <c r="D45" s="17" t="inlineStr">
        <is>
          <t>Standalone-kun primary_reading lock for 6 kanji (人/中/外/東/車/国) — kun-yomi at standalone use (JA-102)</t>
        </is>
      </c>
      <c r="E45" s="17" t="inlineStr">
        <is>
          <t>1. Run tools/check_content_integrity.py JA-102.
2. Pass: 人=ひと, 中=なか, 外=そと, 東=ひがし, 車=くるま, 国=くに.
3. Reference: BUG-021 (these 6 had on-yomi as primary despite kun being the standalone form) + F.22.2.</t>
        </is>
      </c>
      <c r="F45" s="17" t="inlineStr">
        <is>
          <t>JA-102 PASS — 6/6 kanji on canonical kun primary_reading.</t>
        </is>
      </c>
      <c r="G45" s="17" t="inlineStr">
        <is>
          <t>P3</t>
        </is>
      </c>
      <c r="H45" s="17" t="inlineStr">
        <is>
          <t>Major</t>
        </is>
      </c>
      <c r="I45" s="17" t="inlineStr">
        <is>
          <t>Auto</t>
        </is>
      </c>
      <c r="J45" s="17" t="inlineStr">
        <is>
          <t>Locked by JA-102. Defensible on-yomi-primary entries (時/社/駅) kept unchanged.</t>
        </is>
      </c>
      <c r="K45" s="17" t="inlineStr">
        <is>
          <t>1h</t>
        </is>
      </c>
      <c r="L45" s="17" t="inlineStr">
        <is>
          <t>Data engineer</t>
        </is>
      </c>
      <c r="M45" s="17" t="inlineStr">
        <is>
          <t>tools/check_content_integrity.py (JA-102)</t>
        </is>
      </c>
      <c r="N45" s="69" t="n">
        <v>46159</v>
      </c>
      <c r="O45" s="17" t="inlineStr">
        <is>
          <t>PASS</t>
        </is>
      </c>
      <c r="P45" s="17" t="n"/>
      <c r="Q45" s="17" t="inlineStr">
        <is>
          <t>—</t>
        </is>
      </c>
      <c r="R45" s="17" t="inlineStr">
        <is>
          <t>0%</t>
        </is>
      </c>
    </row>
    <row r="46" ht="87" customHeight="1" s="49">
      <c r="A46" s="32" t="inlineStr">
        <is>
          <t>A-042</t>
        </is>
      </c>
      <c r="B46" s="32" t="inlineStr">
        <is>
          <t>Accuracy prompt category</t>
        </is>
      </c>
      <c r="C46" s="32" t="inlineStr">
        <is>
          <t>1</t>
        </is>
      </c>
      <c r="D46" s="32" t="inlineStr">
        <is>
          <t>Accuracy prompt audit category A1: Incorrect grammar</t>
        </is>
      </c>
      <c r="E46" s="32" t="inlineStr">
        <is>
          <t>1. Reference: prompts/Japanese language Accuracy check.txt A1
2. Run the category's manual sample / CI check
3. Cross-reference any JA-NN invariant noted below
4. Report findings as candidate bug rows</t>
        </is>
      </c>
      <c r="F46" s="32" t="inlineStr">
        <is>
          <t>0 findings against current corpus snapshot OR documented false-positive class (see FP-NN catalog in same prompt).</t>
        </is>
      </c>
      <c r="G46" s="32" t="inlineStr">
        <is>
          <t>P3</t>
        </is>
      </c>
      <c r="H46" s="32" t="inlineStr">
        <is>
          <t>Major</t>
        </is>
      </c>
      <c r="I46" s="32" t="inlineStr">
        <is>
          <t>Manual</t>
        </is>
      </c>
      <c r="J46" s="32" t="inlineStr">
        <is>
          <t>Cross-Artifact Sync 2026-05-17: per Rule 5 prompt → test-scenario sync. Source: prompts/Japanese language Accuracy check.txt A1. Hint: Manual review of grammar.json against native-teacher pass.</t>
        </is>
      </c>
      <c r="K46" s="32" t="inlineStr">
        <is>
          <t>30m</t>
        </is>
      </c>
      <c r="L46" s="32" t="inlineStr">
        <is>
          <t>Native-teacher reviewer</t>
        </is>
      </c>
      <c r="M46" s="32" t="inlineStr">
        <is>
          <t>prompts/Japanese language Accuracy check.txt</t>
        </is>
      </c>
      <c r="N46" s="70" t="n">
        <v>46159</v>
      </c>
      <c r="O46" s="32" t="inlineStr">
        <is>
          <t>PASS</t>
        </is>
      </c>
      <c r="P46" s="32" t="n"/>
      <c r="Q46" s="32" t="inlineStr">
        <is>
          <t>A1</t>
        </is>
      </c>
      <c r="R46" s="32" t="inlineStr">
        <is>
          <t>0%</t>
        </is>
      </c>
    </row>
    <row r="47" ht="87" customHeight="1" s="49">
      <c r="A47" s="32" t="inlineStr">
        <is>
          <t>A-043</t>
        </is>
      </c>
      <c r="B47" s="32" t="inlineStr">
        <is>
          <t>Accuracy prompt category</t>
        </is>
      </c>
      <c r="C47" s="32" t="inlineStr">
        <is>
          <t>1</t>
        </is>
      </c>
      <c r="D47" s="32" t="inlineStr">
        <is>
          <t>Accuracy prompt audit category A2: Unnatural collocations</t>
        </is>
      </c>
      <c r="E47" s="32" t="inlineStr">
        <is>
          <t>1. Reference: prompts/Japanese language Accuracy check.txt A2
2. Run the category's manual sample / CI check
3. Cross-reference any JA-NN invariant noted below
4. Report findings as candidate bug rows</t>
        </is>
      </c>
      <c r="F47" s="32" t="inlineStr">
        <is>
          <t>0 findings against current corpus snapshot OR documented false-positive class (see FP-NN catalog in same prompt).</t>
        </is>
      </c>
      <c r="G47" s="32" t="inlineStr">
        <is>
          <t>P3</t>
        </is>
      </c>
      <c r="H47" s="32" t="inlineStr">
        <is>
          <t>Major</t>
        </is>
      </c>
      <c r="I47" s="32" t="inlineStr">
        <is>
          <t>Manual</t>
        </is>
      </c>
      <c r="J47" s="32" t="inlineStr">
        <is>
          <t>Cross-Artifact Sync 2026-05-17: per Rule 5 prompt → test-scenario sync. Source: prompts/Japanese language Accuracy check.txt A2. Hint: Random-sample 200 vocab examples; native ear required.</t>
        </is>
      </c>
      <c r="K47" s="32" t="inlineStr">
        <is>
          <t>30m</t>
        </is>
      </c>
      <c r="L47" s="32" t="inlineStr">
        <is>
          <t>Native-teacher reviewer</t>
        </is>
      </c>
      <c r="M47" s="32" t="inlineStr">
        <is>
          <t>prompts/Japanese language Accuracy check.txt</t>
        </is>
      </c>
      <c r="N47" s="70" t="n">
        <v>46159</v>
      </c>
      <c r="O47" s="32" t="inlineStr">
        <is>
          <t>PASS</t>
        </is>
      </c>
      <c r="P47" s="32" t="n"/>
      <c r="Q47" s="32" t="inlineStr">
        <is>
          <t>A2</t>
        </is>
      </c>
      <c r="R47" s="32" t="inlineStr">
        <is>
          <t>0%</t>
        </is>
      </c>
    </row>
    <row r="48" ht="87" customHeight="1" s="49">
      <c r="A48" s="32" t="inlineStr">
        <is>
          <t>A-044</t>
        </is>
      </c>
      <c r="B48" s="32" t="inlineStr">
        <is>
          <t>Accuracy prompt category</t>
        </is>
      </c>
      <c r="C48" s="32" t="inlineStr">
        <is>
          <t>1</t>
        </is>
      </c>
      <c r="D48" s="32" t="inlineStr">
        <is>
          <t>Accuracy prompt audit category A3: Wrong particle</t>
        </is>
      </c>
      <c r="E48" s="32" t="inlineStr">
        <is>
          <t>1. Reference: prompts/Japanese language Accuracy check.txt A3
2. Run the category's manual sample / CI check
3. Cross-reference any JA-NN invariant noted below
4. Report findings as candidate bug rows</t>
        </is>
      </c>
      <c r="F48" s="32" t="inlineStr">
        <is>
          <t>0 findings against current corpus snapshot OR documented false-positive class (see FP-NN catalog in same prompt).</t>
        </is>
      </c>
      <c r="G48" s="32" t="inlineStr">
        <is>
          <t>P3</t>
        </is>
      </c>
      <c r="H48" s="32" t="inlineStr">
        <is>
          <t>Major</t>
        </is>
      </c>
      <c r="I48" s="32" t="inlineStr">
        <is>
          <t>Manual</t>
        </is>
      </c>
      <c r="J48" s="32" t="inlineStr">
        <is>
          <t>Cross-Artifact Sync 2026-05-17: per Rule 5 prompt → test-scenario sync. Source: prompts/Japanese language Accuracy check.txt A3. Hint: Per-pattern check that canonical particle is used correctly.</t>
        </is>
      </c>
      <c r="K48" s="32" t="inlineStr">
        <is>
          <t>30m</t>
        </is>
      </c>
      <c r="L48" s="32" t="inlineStr">
        <is>
          <t>Native-teacher reviewer</t>
        </is>
      </c>
      <c r="M48" s="32" t="inlineStr">
        <is>
          <t>prompts/Japanese language Accuracy check.txt</t>
        </is>
      </c>
      <c r="N48" s="70" t="n">
        <v>46159</v>
      </c>
      <c r="O48" s="32" t="inlineStr">
        <is>
          <t>PASS</t>
        </is>
      </c>
      <c r="P48" s="32" t="n"/>
      <c r="Q48" s="32" t="inlineStr">
        <is>
          <t>A3</t>
        </is>
      </c>
      <c r="R48" s="32" t="inlineStr">
        <is>
          <t>0%</t>
        </is>
      </c>
    </row>
    <row r="49" ht="87" customHeight="1" s="49">
      <c r="A49" s="32" t="inlineStr">
        <is>
          <t>A-045</t>
        </is>
      </c>
      <c r="B49" s="32" t="inlineStr">
        <is>
          <t>Accuracy prompt category</t>
        </is>
      </c>
      <c r="C49" s="32" t="inlineStr">
        <is>
          <t>1</t>
        </is>
      </c>
      <c r="D49" s="32" t="inlineStr">
        <is>
          <t>Accuracy prompt audit category A4: Wrong reading</t>
        </is>
      </c>
      <c r="E49" s="32" t="inlineStr">
        <is>
          <t>1. Reference: prompts/Japanese language Accuracy check.txt A4
2. Run the category's manual sample / CI check
3. Cross-reference any JA-NN invariant noted below
4. Report findings as candidate bug rows</t>
        </is>
      </c>
      <c r="F49" s="32" t="inlineStr">
        <is>
          <t>0 findings against current corpus snapshot OR documented false-positive class (see FP-NN catalog in same prompt).</t>
        </is>
      </c>
      <c r="G49" s="32" t="inlineStr">
        <is>
          <t>P3</t>
        </is>
      </c>
      <c r="H49" s="32" t="inlineStr">
        <is>
          <t>Major</t>
        </is>
      </c>
      <c r="I49" s="32" t="inlineStr">
        <is>
          <t>Manual</t>
        </is>
      </c>
      <c r="J49" s="32" t="inlineStr">
        <is>
          <t>Cross-Artifact Sync 2026-05-17: per Rule 5 prompt → test-scenario sync. Source: prompts/Japanese language Accuracy check.txt A4. Hint: Sample 50 vocab/kanji readings against kanjium / Genki.</t>
        </is>
      </c>
      <c r="K49" s="32" t="inlineStr">
        <is>
          <t>30m</t>
        </is>
      </c>
      <c r="L49" s="32" t="inlineStr">
        <is>
          <t>Native-teacher reviewer</t>
        </is>
      </c>
      <c r="M49" s="32" t="inlineStr">
        <is>
          <t>prompts/Japanese language Accuracy check.txt</t>
        </is>
      </c>
      <c r="N49" s="70" t="n">
        <v>46159</v>
      </c>
      <c r="O49" s="32" t="inlineStr">
        <is>
          <t>PASS</t>
        </is>
      </c>
      <c r="P49" s="32" t="n"/>
      <c r="Q49" s="32" t="inlineStr">
        <is>
          <t>A4</t>
        </is>
      </c>
      <c r="R49" s="32" t="inlineStr">
        <is>
          <t>0%</t>
        </is>
      </c>
    </row>
    <row r="50" ht="87" customHeight="1" s="49">
      <c r="A50" s="32" t="inlineStr">
        <is>
          <t>A-046</t>
        </is>
      </c>
      <c r="B50" s="32" t="inlineStr">
        <is>
          <t>Accuracy prompt category</t>
        </is>
      </c>
      <c r="C50" s="32" t="inlineStr">
        <is>
          <t>1</t>
        </is>
      </c>
      <c r="D50" s="32" t="inlineStr">
        <is>
          <t>Accuracy prompt audit category A6: Onyomi / kunyomi misclassification</t>
        </is>
      </c>
      <c r="E50" s="32" t="inlineStr">
        <is>
          <t>1. Reference: prompts/Japanese language Accuracy check.txt A6
2. Run the category's manual sample / CI check
3. Cross-reference any JA-NN invariant noted below
4. Report findings as candidate bug rows</t>
        </is>
      </c>
      <c r="F50" s="32" t="inlineStr">
        <is>
          <t>0 findings against current corpus snapshot OR documented false-positive class (see FP-NN catalog in same prompt).</t>
        </is>
      </c>
      <c r="G50" s="32" t="inlineStr">
        <is>
          <t>P3</t>
        </is>
      </c>
      <c r="H50" s="32" t="inlineStr">
        <is>
          <t>Major</t>
        </is>
      </c>
      <c r="I50" s="32" t="inlineStr">
        <is>
          <t>Manual</t>
        </is>
      </c>
      <c r="J50" s="32" t="inlineStr">
        <is>
          <t>Cross-Artifact Sync 2026-05-17: per Rule 5 prompt → test-scenario sync. Source: prompts/Japanese language Accuracy check.txt A6. Hint: JA-24 + manual sample of kanji.json on/kun tagging.</t>
        </is>
      </c>
      <c r="K50" s="32" t="inlineStr">
        <is>
          <t>30m</t>
        </is>
      </c>
      <c r="L50" s="32" t="inlineStr">
        <is>
          <t>Native-teacher reviewer</t>
        </is>
      </c>
      <c r="M50" s="32" t="inlineStr">
        <is>
          <t>prompts/Japanese language Accuracy check.txt</t>
        </is>
      </c>
      <c r="N50" s="70" t="n">
        <v>46159</v>
      </c>
      <c r="O50" s="32" t="inlineStr">
        <is>
          <t>PASS</t>
        </is>
      </c>
      <c r="P50" s="32" t="n"/>
      <c r="Q50" s="32" t="inlineStr">
        <is>
          <t>A6</t>
        </is>
      </c>
      <c r="R50" s="32" t="inlineStr">
        <is>
          <t>0%</t>
        </is>
      </c>
    </row>
    <row r="51" ht="87" customHeight="1" s="49">
      <c r="A51" s="32" t="inlineStr">
        <is>
          <t>A-047</t>
        </is>
      </c>
      <c r="B51" s="32" t="inlineStr">
        <is>
          <t>Accuracy prompt category</t>
        </is>
      </c>
      <c r="C51" s="32" t="inlineStr">
        <is>
          <t>1</t>
        </is>
      </c>
      <c r="D51" s="32" t="inlineStr">
        <is>
          <t>Accuracy prompt audit category A7: Vocabulary meaning errors</t>
        </is>
      </c>
      <c r="E51" s="32" t="inlineStr">
        <is>
          <t>1. Reference: prompts/Japanese language Accuracy check.txt A7
2. Run the category's manual sample / CI check
3. Cross-reference any JA-NN invariant noted below
4. Report findings as candidate bug rows</t>
        </is>
      </c>
      <c r="F51" s="32" t="inlineStr">
        <is>
          <t>0 findings against current corpus snapshot OR documented false-positive class (see FP-NN catalog in same prompt).</t>
        </is>
      </c>
      <c r="G51" s="32" t="inlineStr">
        <is>
          <t>P3</t>
        </is>
      </c>
      <c r="H51" s="32" t="inlineStr">
        <is>
          <t>Major</t>
        </is>
      </c>
      <c r="I51" s="32" t="inlineStr">
        <is>
          <t>Manual</t>
        </is>
      </c>
      <c r="J51" s="32" t="inlineStr">
        <is>
          <t>Cross-Artifact Sync 2026-05-17: per Rule 5 prompt → test-scenario sync. Source: prompts/Japanese language Accuracy check.txt A7. Hint: Cross-check gloss against external dictionaries.</t>
        </is>
      </c>
      <c r="K51" s="32" t="inlineStr">
        <is>
          <t>30m</t>
        </is>
      </c>
      <c r="L51" s="32" t="inlineStr">
        <is>
          <t>Native-teacher reviewer</t>
        </is>
      </c>
      <c r="M51" s="32" t="inlineStr">
        <is>
          <t>prompts/Japanese language Accuracy check.txt</t>
        </is>
      </c>
      <c r="N51" s="70" t="n">
        <v>46159</v>
      </c>
      <c r="O51" s="32" t="inlineStr">
        <is>
          <t>PASS</t>
        </is>
      </c>
      <c r="P51" s="32" t="n"/>
      <c r="Q51" s="32" t="inlineStr">
        <is>
          <t>A7</t>
        </is>
      </c>
      <c r="R51" s="32" t="inlineStr">
        <is>
          <t>0%</t>
        </is>
      </c>
    </row>
    <row r="52" ht="87" customHeight="1" s="49">
      <c r="A52" s="32" t="inlineStr">
        <is>
          <t>A-048</t>
        </is>
      </c>
      <c r="B52" s="32" t="inlineStr">
        <is>
          <t>Accuracy prompt category</t>
        </is>
      </c>
      <c r="C52" s="32" t="inlineStr">
        <is>
          <t>1</t>
        </is>
      </c>
      <c r="D52" s="32" t="inlineStr">
        <is>
          <t>Accuracy prompt audit category A8: Mistranslation of Japanese → English</t>
        </is>
      </c>
      <c r="E52" s="32" t="inlineStr">
        <is>
          <t>1. Reference: prompts/Japanese language Accuracy check.txt A8
2. Run the category's manual sample / CI check
3. Cross-reference any JA-NN invariant noted below
4. Report findings as candidate bug rows</t>
        </is>
      </c>
      <c r="F52" s="32" t="inlineStr">
        <is>
          <t>0 findings against current corpus snapshot OR documented false-positive class (see FP-NN catalog in same prompt).</t>
        </is>
      </c>
      <c r="G52" s="32" t="inlineStr">
        <is>
          <t>P3</t>
        </is>
      </c>
      <c r="H52" s="32" t="inlineStr">
        <is>
          <t>Major</t>
        </is>
      </c>
      <c r="I52" s="32" t="inlineStr">
        <is>
          <t>Manual</t>
        </is>
      </c>
      <c r="J52" s="32" t="inlineStr">
        <is>
          <t>Cross-Artifact Sync 2026-05-17: per Rule 5 prompt → test-scenario sync. Source: prompts/Japanese language Accuracy check.txt A8. Hint: Sample 100 examples; native-bilingual review.</t>
        </is>
      </c>
      <c r="K52" s="32" t="inlineStr">
        <is>
          <t>30m</t>
        </is>
      </c>
      <c r="L52" s="32" t="inlineStr">
        <is>
          <t>Native-teacher reviewer</t>
        </is>
      </c>
      <c r="M52" s="32" t="inlineStr">
        <is>
          <t>prompts/Japanese language Accuracy check.txt</t>
        </is>
      </c>
      <c r="N52" s="70" t="n">
        <v>46159</v>
      </c>
      <c r="O52" s="32" t="inlineStr">
        <is>
          <t>PASS</t>
        </is>
      </c>
      <c r="P52" s="32" t="n"/>
      <c r="Q52" s="32" t="inlineStr">
        <is>
          <t>A8</t>
        </is>
      </c>
      <c r="R52" s="32" t="inlineStr">
        <is>
          <t>0%</t>
        </is>
      </c>
    </row>
    <row r="53" ht="87" customHeight="1" s="49">
      <c r="A53" s="32" t="inlineStr">
        <is>
          <t>A-049</t>
        </is>
      </c>
      <c r="B53" s="32" t="inlineStr">
        <is>
          <t>Accuracy prompt category</t>
        </is>
      </c>
      <c r="C53" s="32" t="inlineStr">
        <is>
          <t>1</t>
        </is>
      </c>
      <c r="D53" s="32" t="inlineStr">
        <is>
          <t>Accuracy prompt audit category A9: Half-applied ウ音便 in keigo politeness_ladder.humble</t>
        </is>
      </c>
      <c r="E53" s="32" t="inlineStr">
        <is>
          <t>1. Reference: prompts/Japanese language Accuracy check.txt A9
2. Run the category's manual sample / CI check
3. Cross-reference any JA-NN invariant noted below
4. Report findings as candidate bug rows</t>
        </is>
      </c>
      <c r="F53" s="32" t="inlineStr">
        <is>
          <t>0 findings against current corpus snapshot OR documented false-positive class (see FP-NN catalog in same prompt).</t>
        </is>
      </c>
      <c r="G53" s="32" t="inlineStr">
        <is>
          <t>P3</t>
        </is>
      </c>
      <c r="H53" s="32" t="inlineStr">
        <is>
          <t>Major</t>
        </is>
      </c>
      <c r="I53" s="32" t="inlineStr">
        <is>
          <t>Manual</t>
        </is>
      </c>
      <c r="J53" s="32" t="inlineStr">
        <is>
          <t>Cross-Artifact Sync 2026-05-17: per Rule 5 prompt → test-scenario sync. Source: prompts/Japanese language Accuracy check.txt A9. Hint: Detect a+u→ō / i+u→yū missed contractions.</t>
        </is>
      </c>
      <c r="K53" s="32" t="inlineStr">
        <is>
          <t>30m</t>
        </is>
      </c>
      <c r="L53" s="32" t="inlineStr">
        <is>
          <t>Native-teacher reviewer</t>
        </is>
      </c>
      <c r="M53" s="32" t="inlineStr">
        <is>
          <t>prompts/Japanese language Accuracy check.txt</t>
        </is>
      </c>
      <c r="N53" s="70" t="n">
        <v>46159</v>
      </c>
      <c r="O53" s="32" t="inlineStr">
        <is>
          <t>PASS</t>
        </is>
      </c>
      <c r="P53" s="32" t="n"/>
      <c r="Q53" s="32" t="inlineStr">
        <is>
          <t>A9</t>
        </is>
      </c>
      <c r="R53" s="32" t="inlineStr">
        <is>
          <t>0%</t>
        </is>
      </c>
    </row>
    <row r="54" ht="87" customHeight="1" s="49">
      <c r="A54" s="32" t="inlineStr">
        <is>
          <t>A-050</t>
        </is>
      </c>
      <c r="B54" s="32" t="inlineStr">
        <is>
          <t>Accuracy prompt category</t>
        </is>
      </c>
      <c r="C54" s="32" t="inlineStr">
        <is>
          <t>1</t>
        </is>
      </c>
      <c r="D54" s="32" t="inlineStr">
        <is>
          <t>Accuracy prompt audit category A10: Sokuon / rendaku as separate readings</t>
        </is>
      </c>
      <c r="E54" s="32" t="inlineStr">
        <is>
          <t>1. Reference: prompts/Japanese language Accuracy check.txt A10
2. Run the category's manual sample / CI check
3. Cross-reference any JA-NN invariant noted below
4. Report findings as candidate bug rows</t>
        </is>
      </c>
      <c r="F54" s="32" t="inlineStr">
        <is>
          <t>0 findings against current corpus snapshot OR documented false-positive class (see FP-NN catalog in same prompt).</t>
        </is>
      </c>
      <c r="G54" s="32" t="inlineStr">
        <is>
          <t>P3</t>
        </is>
      </c>
      <c r="H54" s="32" t="inlineStr">
        <is>
          <t>Major</t>
        </is>
      </c>
      <c r="I54" s="32" t="inlineStr">
        <is>
          <t>Manual</t>
        </is>
      </c>
      <c r="J54" s="32" t="inlineStr">
        <is>
          <t>Cross-Artifact Sync 2026-05-17: per Rule 5 prompt → test-scenario sync. Source: prompts/Japanese language Accuracy check.txt A10. Hint: JA-22 dedup within entry; manual sample for cross-entry.</t>
        </is>
      </c>
      <c r="K54" s="32" t="inlineStr">
        <is>
          <t>30m</t>
        </is>
      </c>
      <c r="L54" s="32" t="inlineStr">
        <is>
          <t>Native-teacher reviewer</t>
        </is>
      </c>
      <c r="M54" s="32" t="inlineStr">
        <is>
          <t>prompts/Japanese language Accuracy check.txt</t>
        </is>
      </c>
      <c r="N54" s="70" t="n">
        <v>46159</v>
      </c>
      <c r="O54" s="32" t="inlineStr">
        <is>
          <t>PASS</t>
        </is>
      </c>
      <c r="P54" s="32" t="n"/>
      <c r="Q54" s="32" t="inlineStr">
        <is>
          <t>A10</t>
        </is>
      </c>
      <c r="R54" s="32" t="inlineStr">
        <is>
          <t>0%</t>
        </is>
      </c>
    </row>
    <row r="55" ht="72.5" customHeight="1" s="49">
      <c r="A55" s="32" t="inlineStr">
        <is>
          <t>A-051</t>
        </is>
      </c>
      <c r="B55" s="32" t="inlineStr">
        <is>
          <t>Accuracy prompt category</t>
        </is>
      </c>
      <c r="C55" s="32" t="inlineStr">
        <is>
          <t>1</t>
        </is>
      </c>
      <c r="D55" s="32" t="inlineStr">
        <is>
          <t>Accuracy prompt audit category A11: Mixed orthography for the same morpheme</t>
        </is>
      </c>
      <c r="E55" s="32" t="inlineStr">
        <is>
          <t>1. Reference: prompts/Japanese language Accuracy check.txt A11
2. Run the category's manual sample / CI check
3. Cross-reference any JA-NN invariant noted below
4. Report findings as candidate bug rows</t>
        </is>
      </c>
      <c r="F55" s="32" t="inlineStr">
        <is>
          <t>0 findings against current corpus snapshot OR documented false-positive class (see FP-NN catalog in same prompt).</t>
        </is>
      </c>
      <c r="G55" s="32" t="inlineStr">
        <is>
          <t>P3</t>
        </is>
      </c>
      <c r="H55" s="32" t="inlineStr">
        <is>
          <t>Major</t>
        </is>
      </c>
      <c r="I55" s="32" t="inlineStr">
        <is>
          <t>Manual</t>
        </is>
      </c>
      <c r="J55" s="32" t="inlineStr">
        <is>
          <t>Cross-Artifact Sync 2026-05-17: per Rule 5 prompt → test-scenario sync. Source: prompts/Japanese language Accuracy check.txt A11. Hint: わたし vs 私 audit; BUG-046 lineage.</t>
        </is>
      </c>
      <c r="K55" s="32" t="inlineStr">
        <is>
          <t>30m</t>
        </is>
      </c>
      <c r="L55" s="32" t="inlineStr">
        <is>
          <t>Native-teacher reviewer</t>
        </is>
      </c>
      <c r="M55" s="32" t="inlineStr">
        <is>
          <t>prompts/Japanese language Accuracy check.txt</t>
        </is>
      </c>
      <c r="N55" s="70" t="n">
        <v>46159</v>
      </c>
      <c r="O55" s="32" t="inlineStr">
        <is>
          <t>PASS</t>
        </is>
      </c>
      <c r="P55" s="32" t="n"/>
      <c r="Q55" s="32" t="inlineStr">
        <is>
          <t>A11</t>
        </is>
      </c>
      <c r="R55" s="32" t="inlineStr">
        <is>
          <t>0%</t>
        </is>
      </c>
    </row>
    <row r="56" ht="87" customHeight="1" s="49">
      <c r="A56" s="32" t="inlineStr">
        <is>
          <t>A-052</t>
        </is>
      </c>
      <c r="B56" s="32" t="inlineStr">
        <is>
          <t>Accuracy prompt category</t>
        </is>
      </c>
      <c r="C56" s="32" t="inlineStr">
        <is>
          <t>1</t>
        </is>
      </c>
      <c r="D56" s="32" t="inlineStr">
        <is>
          <t>Accuracy prompt audit category A12: meaning_ja CROSS-CONTAMINATION (closed by JA-75)</t>
        </is>
      </c>
      <c r="E56" s="32" t="inlineStr">
        <is>
          <t>1. Reference: prompts/Japanese language Accuracy check.txt A12
2. Run the category's manual sample / CI check
3. Cross-reference any JA-NN invariant noted below
4. Report findings as candidate bug rows</t>
        </is>
      </c>
      <c r="F56" s="32" t="inlineStr">
        <is>
          <t>0 findings against current corpus snapshot OR documented false-positive class (see FP-NN catalog in same prompt).</t>
        </is>
      </c>
      <c r="G56" s="32" t="inlineStr">
        <is>
          <t>P3</t>
        </is>
      </c>
      <c r="H56" s="32" t="inlineStr">
        <is>
          <t>Major</t>
        </is>
      </c>
      <c r="I56" s="32" t="inlineStr">
        <is>
          <t>Manual</t>
        </is>
      </c>
      <c r="J56" s="32" t="inlineStr">
        <is>
          <t>Cross-Artifact Sync 2026-05-17: per Rule 5 prompt → test-scenario sync. Source: prompts/Japanese language Accuracy check.txt A12. Hint: JA-71 + JA-75 lock; manual sample of new patterns.</t>
        </is>
      </c>
      <c r="K56" s="32" t="inlineStr">
        <is>
          <t>30m</t>
        </is>
      </c>
      <c r="L56" s="32" t="inlineStr">
        <is>
          <t>Native-teacher reviewer</t>
        </is>
      </c>
      <c r="M56" s="32" t="inlineStr">
        <is>
          <t>prompts/Japanese language Accuracy check.txt</t>
        </is>
      </c>
      <c r="N56" s="70" t="n">
        <v>46159</v>
      </c>
      <c r="O56" s="32" t="inlineStr">
        <is>
          <t>PASS</t>
        </is>
      </c>
      <c r="P56" s="32" t="n"/>
      <c r="Q56" s="32" t="inlineStr">
        <is>
          <t>A12</t>
        </is>
      </c>
      <c r="R56" s="32" t="inlineStr">
        <is>
          <t>0%</t>
        </is>
      </c>
    </row>
    <row r="57" ht="87" customHeight="1" s="49">
      <c r="A57" s="32" t="inlineStr">
        <is>
          <t>A-053</t>
        </is>
      </c>
      <c r="B57" s="32" t="inlineStr">
        <is>
          <t>Accuracy prompt category</t>
        </is>
      </c>
      <c r="C57" s="32" t="inlineStr">
        <is>
          <t>1</t>
        </is>
      </c>
      <c r="D57" s="32" t="inlineStr">
        <is>
          <t>Accuracy prompt audit category A13: PITCH-ACCENT MORA COUNT ERRORS</t>
        </is>
      </c>
      <c r="E57" s="32" t="inlineStr">
        <is>
          <t>1. Reference: prompts/Japanese language Accuracy check.txt A13
2. Run the category's manual sample / CI check
3. Cross-reference any JA-NN invariant noted below
4. Report findings as candidate bug rows</t>
        </is>
      </c>
      <c r="F57" s="32" t="inlineStr">
        <is>
          <t>0 findings against current corpus snapshot OR documented false-positive class (see FP-NN catalog in same prompt).</t>
        </is>
      </c>
      <c r="G57" s="32" t="inlineStr">
        <is>
          <t>P3</t>
        </is>
      </c>
      <c r="H57" s="32" t="inlineStr">
        <is>
          <t>Major</t>
        </is>
      </c>
      <c r="I57" s="32" t="inlineStr">
        <is>
          <t>Manual</t>
        </is>
      </c>
      <c r="J57" s="32" t="inlineStr">
        <is>
          <t>Cross-Artifact Sync 2026-05-17: per Rule 5 prompt → test-scenario sync. Source: prompts/Japanese language Accuracy check.txt A13. Hint: JA-70 + JA-90 lock; sample re-validation against kanjium.</t>
        </is>
      </c>
      <c r="K57" s="32" t="inlineStr">
        <is>
          <t>30m</t>
        </is>
      </c>
      <c r="L57" s="32" t="inlineStr">
        <is>
          <t>Native-teacher reviewer</t>
        </is>
      </c>
      <c r="M57" s="32" t="inlineStr">
        <is>
          <t>prompts/Japanese language Accuracy check.txt</t>
        </is>
      </c>
      <c r="N57" s="70" t="n">
        <v>46159</v>
      </c>
      <c r="O57" s="32" t="inlineStr">
        <is>
          <t>PASS</t>
        </is>
      </c>
      <c r="P57" s="32" t="n"/>
      <c r="Q57" s="32" t="inlineStr">
        <is>
          <t>A13</t>
        </is>
      </c>
      <c r="R57" s="32" t="inlineStr">
        <is>
          <t>0%</t>
        </is>
      </c>
    </row>
    <row r="58" ht="72.5" customHeight="1" s="49">
      <c r="A58" s="32" t="inlineStr">
        <is>
          <t>A-054</t>
        </is>
      </c>
      <c r="B58" s="32" t="inlineStr">
        <is>
          <t>Accuracy prompt category</t>
        </is>
      </c>
      <c r="C58" s="32" t="inlineStr">
        <is>
          <t>1</t>
        </is>
      </c>
      <c r="D58" s="32" t="inlineStr">
        <is>
          <t>Accuracy prompt audit category A14: PLACEHOLDER / SELF-INCRIMINATING TEXT IN SHIPPED DATA</t>
        </is>
      </c>
      <c r="E58" s="32" t="inlineStr">
        <is>
          <t>1. Reference: prompts/Japanese language Accuracy check.txt A14
2. Run the category's manual sample / CI check
3. Cross-reference any JA-NN invariant noted below
4. Report findings as candidate bug rows</t>
        </is>
      </c>
      <c r="F58" s="32" t="inlineStr">
        <is>
          <t>0 findings against current corpus snapshot OR documented false-positive class (see FP-NN catalog in same prompt).</t>
        </is>
      </c>
      <c r="G58" s="32" t="inlineStr">
        <is>
          <t>P3</t>
        </is>
      </c>
      <c r="H58" s="32" t="inlineStr">
        <is>
          <t>Major</t>
        </is>
      </c>
      <c r="I58" s="32" t="inlineStr">
        <is>
          <t>Manual</t>
        </is>
      </c>
      <c r="J58" s="32" t="inlineStr">
        <is>
          <t>Cross-Artifact Sync 2026-05-17: per Rule 5 prompt → test-scenario sync. Source: prompts/Japanese language Accuracy check.txt A14. Hint: JA-77 grep across all data/*.json.</t>
        </is>
      </c>
      <c r="K58" s="32" t="inlineStr">
        <is>
          <t>30m</t>
        </is>
      </c>
      <c r="L58" s="32" t="inlineStr">
        <is>
          <t>Native-teacher reviewer</t>
        </is>
      </c>
      <c r="M58" s="32" t="inlineStr">
        <is>
          <t>prompts/Japanese language Accuracy check.txt</t>
        </is>
      </c>
      <c r="N58" s="70" t="n">
        <v>46159</v>
      </c>
      <c r="O58" s="32" t="inlineStr">
        <is>
          <t>PASS</t>
        </is>
      </c>
      <c r="P58" s="32" t="n"/>
      <c r="Q58" s="32" t="inlineStr">
        <is>
          <t>A14</t>
        </is>
      </c>
      <c r="R58" s="32" t="inlineStr">
        <is>
          <t>0%</t>
        </is>
      </c>
    </row>
    <row r="59" ht="87" customHeight="1" s="49">
      <c r="A59" s="32" t="inlineStr">
        <is>
          <t>A-055</t>
        </is>
      </c>
      <c r="B59" s="32" t="inlineStr">
        <is>
          <t>Accuracy prompt category</t>
        </is>
      </c>
      <c r="C59" s="32" t="inlineStr">
        <is>
          <t>1</t>
        </is>
      </c>
      <c r="D59" s="32" t="inlineStr">
        <is>
          <t>Accuracy prompt audit category A15: OFF-PATTERN BOILERPLATE AT EXAMPLE INDICES [4][5][6]</t>
        </is>
      </c>
      <c r="E59" s="32" t="inlineStr">
        <is>
          <t>1. Reference: prompts/Japanese language Accuracy check.txt A15
2. Run the category's manual sample / CI check
3. Cross-reference any JA-NN invariant noted below
4. Report findings as candidate bug rows</t>
        </is>
      </c>
      <c r="F59" s="32" t="inlineStr">
        <is>
          <t>0 findings against current corpus snapshot OR documented false-positive class (see FP-NN catalog in same prompt).</t>
        </is>
      </c>
      <c r="G59" s="32" t="inlineStr">
        <is>
          <t>P3</t>
        </is>
      </c>
      <c r="H59" s="32" t="inlineStr">
        <is>
          <t>Major</t>
        </is>
      </c>
      <c r="I59" s="32" t="inlineStr">
        <is>
          <t>Manual</t>
        </is>
      </c>
      <c r="J59" s="32" t="inlineStr">
        <is>
          <t>Cross-Artifact Sync 2026-05-17: per Rule 5 prompt → test-scenario sync. Source: prompts/Japanese language Accuracy check.txt A15. Hint: JA-81 boilerplate-leak guard at threshold 10.</t>
        </is>
      </c>
      <c r="K59" s="32" t="inlineStr">
        <is>
          <t>30m</t>
        </is>
      </c>
      <c r="L59" s="32" t="inlineStr">
        <is>
          <t>Native-teacher reviewer</t>
        </is>
      </c>
      <c r="M59" s="32" t="inlineStr">
        <is>
          <t>prompts/Japanese language Accuracy check.txt</t>
        </is>
      </c>
      <c r="N59" s="70" t="n">
        <v>46159</v>
      </c>
      <c r="O59" s="32" t="inlineStr">
        <is>
          <t>PASS</t>
        </is>
      </c>
      <c r="P59" s="32" t="n"/>
      <c r="Q59" s="32" t="inlineStr">
        <is>
          <t>A15</t>
        </is>
      </c>
      <c r="R59" s="32" t="inlineStr">
        <is>
          <t>0%</t>
        </is>
      </c>
    </row>
    <row r="60" ht="87" customHeight="1" s="49">
      <c r="A60" s="32" t="inlineStr">
        <is>
          <t>A-056</t>
        </is>
      </c>
      <c r="B60" s="32" t="inlineStr">
        <is>
          <t>Accuracy prompt category</t>
        </is>
      </c>
      <c r="C60" s="32" t="inlineStr">
        <is>
          <t>1</t>
        </is>
      </c>
      <c r="D60" s="32" t="inlineStr">
        <is>
          <t>Accuracy prompt audit category A16: FORM-TAG VALUE MISMATCHED WITH EXAMPLE CONTENT</t>
        </is>
      </c>
      <c r="E60" s="32" t="inlineStr">
        <is>
          <t>1. Reference: prompts/Japanese language Accuracy check.txt A16
2. Run the category's manual sample / CI check
3. Cross-reference any JA-NN invariant noted below
4. Report findings as candidate bug rows</t>
        </is>
      </c>
      <c r="F60" s="32" t="inlineStr">
        <is>
          <t>0 findings against current corpus snapshot OR documented false-positive class (see FP-NN catalog in same prompt).</t>
        </is>
      </c>
      <c r="G60" s="32" t="inlineStr">
        <is>
          <t>P3</t>
        </is>
      </c>
      <c r="H60" s="32" t="inlineStr">
        <is>
          <t>Major</t>
        </is>
      </c>
      <c r="I60" s="32" t="inlineStr">
        <is>
          <t>Manual</t>
        </is>
      </c>
      <c r="J60" s="32" t="inlineStr">
        <is>
          <t>Cross-Artifact Sync 2026-05-17: per Rule 5 prompt → test-scenario sync. Source: prompts/Japanese language Accuracy check.txt A16. Hint: Sample 50 form-tagged examples for tag↔content agreement.</t>
        </is>
      </c>
      <c r="K60" s="32" t="inlineStr">
        <is>
          <t>30m</t>
        </is>
      </c>
      <c r="L60" s="32" t="inlineStr">
        <is>
          <t>Native-teacher reviewer</t>
        </is>
      </c>
      <c r="M60" s="32" t="inlineStr">
        <is>
          <t>prompts/Japanese language Accuracy check.txt</t>
        </is>
      </c>
      <c r="N60" s="70" t="n">
        <v>46159</v>
      </c>
      <c r="O60" s="32" t="inlineStr">
        <is>
          <t>PASS</t>
        </is>
      </c>
      <c r="P60" s="32" t="n"/>
      <c r="Q60" s="32" t="inlineStr">
        <is>
          <t>A16</t>
        </is>
      </c>
      <c r="R60" s="32" t="inlineStr">
        <is>
          <t>0%</t>
        </is>
      </c>
    </row>
    <row r="61" ht="72.5" customHeight="1" s="49">
      <c r="A61" s="32" t="inlineStr">
        <is>
          <t>A-057</t>
        </is>
      </c>
      <c r="B61" s="32" t="inlineStr">
        <is>
          <t>Accuracy prompt category</t>
        </is>
      </c>
      <c r="C61" s="32" t="inlineStr">
        <is>
          <t>1</t>
        </is>
      </c>
      <c r="D61" s="32" t="inlineStr">
        <is>
          <t>Accuracy prompt audit category A17: WITHIN-PATTERN DUPLICATE EXAMPLES</t>
        </is>
      </c>
      <c r="E61" s="32" t="inlineStr">
        <is>
          <t>1. Reference: prompts/Japanese language Accuracy check.txt A17
2. Run the category's manual sample / CI check
3. Cross-reference any JA-NN invariant noted below
4. Report findings as candidate bug rows</t>
        </is>
      </c>
      <c r="F61" s="32" t="inlineStr">
        <is>
          <t>0 findings against current corpus snapshot OR documented false-positive class (see FP-NN catalog in same prompt).</t>
        </is>
      </c>
      <c r="G61" s="32" t="inlineStr">
        <is>
          <t>P3</t>
        </is>
      </c>
      <c r="H61" s="32" t="inlineStr">
        <is>
          <t>Major</t>
        </is>
      </c>
      <c r="I61" s="32" t="inlineStr">
        <is>
          <t>Manual</t>
        </is>
      </c>
      <c r="J61" s="32" t="inlineStr">
        <is>
          <t>Cross-Artifact Sync 2026-05-17: per Rule 5 prompt → test-scenario sync. Source: prompts/Japanese language Accuracy check.txt A17. Hint: Per-pattern dedup check on ja strings.</t>
        </is>
      </c>
      <c r="K61" s="32" t="inlineStr">
        <is>
          <t>30m</t>
        </is>
      </c>
      <c r="L61" s="32" t="inlineStr">
        <is>
          <t>Native-teacher reviewer</t>
        </is>
      </c>
      <c r="M61" s="32" t="inlineStr">
        <is>
          <t>prompts/Japanese language Accuracy check.txt</t>
        </is>
      </c>
      <c r="N61" s="70" t="n">
        <v>46159</v>
      </c>
      <c r="O61" s="32" t="inlineStr">
        <is>
          <t>PASS</t>
        </is>
      </c>
      <c r="P61" s="32" t="n"/>
      <c r="Q61" s="32" t="inlineStr">
        <is>
          <t>A17</t>
        </is>
      </c>
      <c r="R61" s="32" t="inlineStr">
        <is>
          <t>0%</t>
        </is>
      </c>
    </row>
    <row r="62" ht="72.5" customHeight="1" s="49">
      <c r="A62" s="32" t="inlineStr">
        <is>
          <t>A-058</t>
        </is>
      </c>
      <c r="B62" s="32" t="inlineStr">
        <is>
          <t>Accuracy prompt category</t>
        </is>
      </c>
      <c r="C62" s="32" t="inlineStr">
        <is>
          <t>1</t>
        </is>
      </c>
      <c r="D62" s="32" t="inlineStr">
        <is>
          <t>Accuracy prompt audit category A18: VOCAB EXAMPLE TEMPLATE-LEAK: 'Xを 見ました。'</t>
        </is>
      </c>
      <c r="E62" s="32" t="inlineStr">
        <is>
          <t>1. Reference: prompts/Japanese language Accuracy check.txt A18
2. Run the category's manual sample / CI check
3. Cross-reference any JA-NN invariant noted below
4. Report findings as candidate bug rows</t>
        </is>
      </c>
      <c r="F62" s="32" t="inlineStr">
        <is>
          <t>0 findings against current corpus snapshot OR documented false-positive class (see FP-NN catalog in same prompt).</t>
        </is>
      </c>
      <c r="G62" s="32" t="inlineStr">
        <is>
          <t>P3</t>
        </is>
      </c>
      <c r="H62" s="32" t="inlineStr">
        <is>
          <t>Major</t>
        </is>
      </c>
      <c r="I62" s="32" t="inlineStr">
        <is>
          <t>Manual</t>
        </is>
      </c>
      <c r="J62" s="32" t="inlineStr">
        <is>
          <t>Cross-Artifact Sync 2026-05-17: per Rule 5 prompt → test-scenario sync. Source: prompts/Japanese language Accuracy check.txt A18. Hint: JA-83 locks; manual sample for residue.</t>
        </is>
      </c>
      <c r="K62" s="32" t="inlineStr">
        <is>
          <t>30m</t>
        </is>
      </c>
      <c r="L62" s="32" t="inlineStr">
        <is>
          <t>Native-teacher reviewer</t>
        </is>
      </c>
      <c r="M62" s="32" t="inlineStr">
        <is>
          <t>prompts/Japanese language Accuracy check.txt</t>
        </is>
      </c>
      <c r="N62" s="70" t="n">
        <v>46159</v>
      </c>
      <c r="O62" s="32" t="inlineStr">
        <is>
          <t>PASS</t>
        </is>
      </c>
      <c r="P62" s="32" t="n"/>
      <c r="Q62" s="32" t="inlineStr">
        <is>
          <t>A18</t>
        </is>
      </c>
      <c r="R62" s="32" t="inlineStr">
        <is>
          <t>0%</t>
        </is>
      </c>
    </row>
    <row r="63" ht="72.5" customHeight="1" s="49">
      <c r="A63" s="32" t="inlineStr">
        <is>
          <t>A-059</t>
        </is>
      </c>
      <c r="B63" s="32" t="inlineStr">
        <is>
          <t>Accuracy prompt category</t>
        </is>
      </c>
      <c r="C63" s="32" t="inlineStr">
        <is>
          <t>1</t>
        </is>
      </c>
      <c r="D63" s="32" t="inlineStr">
        <is>
          <t>Accuracy prompt audit category A19: VOCAB EXAMPLE TEMPLATE-LEAK: 'あの Xは どこですか。'</t>
        </is>
      </c>
      <c r="E63" s="32" t="inlineStr">
        <is>
          <t>1. Reference: prompts/Japanese language Accuracy check.txt A19
2. Run the category's manual sample / CI check
3. Cross-reference any JA-NN invariant noted below
4. Report findings as candidate bug rows</t>
        </is>
      </c>
      <c r="F63" s="32" t="inlineStr">
        <is>
          <t>0 findings against current corpus snapshot OR documented false-positive class (see FP-NN catalog in same prompt).</t>
        </is>
      </c>
      <c r="G63" s="32" t="inlineStr">
        <is>
          <t>P3</t>
        </is>
      </c>
      <c r="H63" s="32" t="inlineStr">
        <is>
          <t>Major</t>
        </is>
      </c>
      <c r="I63" s="32" t="inlineStr">
        <is>
          <t>Manual</t>
        </is>
      </c>
      <c r="J63" s="32" t="inlineStr">
        <is>
          <t>Cross-Artifact Sync 2026-05-17: per Rule 5 prompt → test-scenario sync. Source: prompts/Japanese language Accuracy check.txt A19. Hint: JA-83 locks.</t>
        </is>
      </c>
      <c r="K63" s="32" t="inlineStr">
        <is>
          <t>30m</t>
        </is>
      </c>
      <c r="L63" s="32" t="inlineStr">
        <is>
          <t>Native-teacher reviewer</t>
        </is>
      </c>
      <c r="M63" s="32" t="inlineStr">
        <is>
          <t>prompts/Japanese language Accuracy check.txt</t>
        </is>
      </c>
      <c r="N63" s="70" t="n">
        <v>46159</v>
      </c>
      <c r="O63" s="32" t="inlineStr">
        <is>
          <t>PASS</t>
        </is>
      </c>
      <c r="P63" s="32" t="n"/>
      <c r="Q63" s="32" t="inlineStr">
        <is>
          <t>A19</t>
        </is>
      </c>
      <c r="R63" s="32" t="inlineStr">
        <is>
          <t>0%</t>
        </is>
      </c>
    </row>
    <row r="64" ht="72.5" customHeight="1" s="49">
      <c r="A64" s="32" t="inlineStr">
        <is>
          <t>A-060</t>
        </is>
      </c>
      <c r="B64" s="32" t="inlineStr">
        <is>
          <t>Accuracy prompt category</t>
        </is>
      </c>
      <c r="C64" s="32" t="inlineStr">
        <is>
          <t>1</t>
        </is>
      </c>
      <c r="D64" s="32" t="inlineStr">
        <is>
          <t>Accuracy prompt audit category A20: VOCAB EXAMPLE TEMPLATE-LEAK: 'これは Xです。' / 'あれは Xです。'</t>
        </is>
      </c>
      <c r="E64" s="32" t="inlineStr">
        <is>
          <t>1. Reference: prompts/Japanese language Accuracy check.txt A20
2. Run the category's manual sample / CI check
3. Cross-reference any JA-NN invariant noted below
4. Report findings as candidate bug rows</t>
        </is>
      </c>
      <c r="F64" s="32" t="inlineStr">
        <is>
          <t>0 findings against current corpus snapshot OR documented false-positive class (see FP-NN catalog in same prompt).</t>
        </is>
      </c>
      <c r="G64" s="32" t="inlineStr">
        <is>
          <t>P3</t>
        </is>
      </c>
      <c r="H64" s="32" t="inlineStr">
        <is>
          <t>Major</t>
        </is>
      </c>
      <c r="I64" s="32" t="inlineStr">
        <is>
          <t>Manual</t>
        </is>
      </c>
      <c r="J64" s="32" t="inlineStr">
        <is>
          <t>Cross-Artifact Sync 2026-05-17: per Rule 5 prompt → test-scenario sync. Source: prompts/Japanese language Accuracy check.txt A20. Hint: JA-83 locks for non-demonstrative entries.</t>
        </is>
      </c>
      <c r="K64" s="32" t="inlineStr">
        <is>
          <t>30m</t>
        </is>
      </c>
      <c r="L64" s="32" t="inlineStr">
        <is>
          <t>Native-teacher reviewer</t>
        </is>
      </c>
      <c r="M64" s="32" t="inlineStr">
        <is>
          <t>prompts/Japanese language Accuracy check.txt</t>
        </is>
      </c>
      <c r="N64" s="70" t="n">
        <v>46159</v>
      </c>
      <c r="O64" s="32" t="inlineStr">
        <is>
          <t>PASS</t>
        </is>
      </c>
      <c r="P64" s="32" t="n"/>
      <c r="Q64" s="32" t="inlineStr">
        <is>
          <t>A20</t>
        </is>
      </c>
      <c r="R64" s="32" t="inlineStr">
        <is>
          <t>0%</t>
        </is>
      </c>
    </row>
    <row r="65" ht="72.5" customHeight="1" s="49">
      <c r="A65" s="32" t="inlineStr">
        <is>
          <t>A-061</t>
        </is>
      </c>
      <c r="B65" s="32" t="inlineStr">
        <is>
          <t>Accuracy prompt category</t>
        </is>
      </c>
      <c r="C65" s="32" t="inlineStr">
        <is>
          <t>1</t>
        </is>
      </c>
      <c r="D65" s="32" t="inlineStr">
        <is>
          <t>Accuracy prompt audit category A21: VOCAB EXAMPLE TEMPLATE-LEAK: '「X」と あいさつしました。' for non-greetings</t>
        </is>
      </c>
      <c r="E65" s="32" t="inlineStr">
        <is>
          <t>1. Reference: prompts/Japanese language Accuracy check.txt A21
2. Run the category's manual sample / CI check
3. Cross-reference any JA-NN invariant noted below
4. Report findings as candidate bug rows</t>
        </is>
      </c>
      <c r="F65" s="32" t="inlineStr">
        <is>
          <t>0 findings against current corpus snapshot OR documented false-positive class (see FP-NN catalog in same prompt).</t>
        </is>
      </c>
      <c r="G65" s="32" t="inlineStr">
        <is>
          <t>P3</t>
        </is>
      </c>
      <c r="H65" s="32" t="inlineStr">
        <is>
          <t>Major</t>
        </is>
      </c>
      <c r="I65" s="32" t="inlineStr">
        <is>
          <t>Manual</t>
        </is>
      </c>
      <c r="J65" s="32" t="inlineStr">
        <is>
          <t>Cross-Artifact Sync 2026-05-17: per Rule 5 prompt → test-scenario sync. Source: prompts/Japanese language Accuracy check.txt A21. Hint: JA-83 locks.</t>
        </is>
      </c>
      <c r="K65" s="32" t="inlineStr">
        <is>
          <t>30m</t>
        </is>
      </c>
      <c r="L65" s="32" t="inlineStr">
        <is>
          <t>Native-teacher reviewer</t>
        </is>
      </c>
      <c r="M65" s="32" t="inlineStr">
        <is>
          <t>prompts/Japanese language Accuracy check.txt</t>
        </is>
      </c>
      <c r="N65" s="70" t="n">
        <v>46159</v>
      </c>
      <c r="O65" s="32" t="inlineStr">
        <is>
          <t>PASS</t>
        </is>
      </c>
      <c r="P65" s="32" t="n"/>
      <c r="Q65" s="32" t="inlineStr">
        <is>
          <t>A21</t>
        </is>
      </c>
      <c r="R65" s="32" t="inlineStr">
        <is>
          <t>0%</t>
        </is>
      </c>
    </row>
    <row r="66" ht="87" customHeight="1" s="49">
      <c r="A66" s="32" t="inlineStr">
        <is>
          <t>A-062</t>
        </is>
      </c>
      <c r="B66" s="32" t="inlineStr">
        <is>
          <t>Accuracy prompt category</t>
        </is>
      </c>
      <c r="C66" s="32" t="inlineStr">
        <is>
          <t>1</t>
        </is>
      </c>
      <c r="D66" s="32" t="inlineStr">
        <is>
          <t>Accuracy prompt audit category A22: VOCAB CROSS-ENTRY BOILERPLATE (JA-81 analogue for vocab)</t>
        </is>
      </c>
      <c r="E66" s="32" t="inlineStr">
        <is>
          <t>1. Reference: prompts/Japanese language Accuracy check.txt A22
2. Run the category's manual sample / CI check
3. Cross-reference any JA-NN invariant noted below
4. Report findings as candidate bug rows</t>
        </is>
      </c>
      <c r="F66" s="32" t="inlineStr">
        <is>
          <t>0 findings against current corpus snapshot OR documented false-positive class (see FP-NN catalog in same prompt).</t>
        </is>
      </c>
      <c r="G66" s="32" t="inlineStr">
        <is>
          <t>P3</t>
        </is>
      </c>
      <c r="H66" s="32" t="inlineStr">
        <is>
          <t>Major</t>
        </is>
      </c>
      <c r="I66" s="32" t="inlineStr">
        <is>
          <t>Manual</t>
        </is>
      </c>
      <c r="J66" s="32" t="inlineStr">
        <is>
          <t>Cross-Artifact Sync 2026-05-17: per Rule 5 prompt → test-scenario sync. Source: prompts/Japanese language Accuracy check.txt A22. Hint: Sentence reuse threshold check across vocab.json examples.</t>
        </is>
      </c>
      <c r="K66" s="32" t="inlineStr">
        <is>
          <t>30m</t>
        </is>
      </c>
      <c r="L66" s="32" t="inlineStr">
        <is>
          <t>Native-teacher reviewer</t>
        </is>
      </c>
      <c r="M66" s="32" t="inlineStr">
        <is>
          <t>prompts/Japanese language Accuracy check.txt</t>
        </is>
      </c>
      <c r="N66" s="70" t="n">
        <v>46159</v>
      </c>
      <c r="O66" s="32" t="inlineStr">
        <is>
          <t>PASS</t>
        </is>
      </c>
      <c r="P66" s="32" t="n"/>
      <c r="Q66" s="32" t="inlineStr">
        <is>
          <t>A22</t>
        </is>
      </c>
      <c r="R66" s="32" t="inlineStr">
        <is>
          <t>0%</t>
        </is>
      </c>
    </row>
    <row r="67" ht="87" customHeight="1" s="49">
      <c r="A67" s="32" t="inlineStr">
        <is>
          <t>A-063</t>
        </is>
      </c>
      <c r="B67" s="32" t="inlineStr">
        <is>
          <t>Accuracy prompt category</t>
        </is>
      </c>
      <c r="C67" s="32" t="inlineStr">
        <is>
          <t>1</t>
        </is>
      </c>
      <c r="D67" s="32" t="inlineStr">
        <is>
          <t>Accuracy prompt audit category A23: VOCAB HEADWORD-MISSING-FROM-EXAMPLE</t>
        </is>
      </c>
      <c r="E67" s="32" t="inlineStr">
        <is>
          <t>1. Reference: prompts/Japanese language Accuracy check.txt A23
2. Run the category's manual sample / CI check
3. Cross-reference any JA-NN invariant noted below
4. Report findings as candidate bug rows</t>
        </is>
      </c>
      <c r="F67" s="32" t="inlineStr">
        <is>
          <t>0 findings against current corpus snapshot OR documented false-positive class (see FP-NN catalog in same prompt).</t>
        </is>
      </c>
      <c r="G67" s="32" t="inlineStr">
        <is>
          <t>P3</t>
        </is>
      </c>
      <c r="H67" s="32" t="inlineStr">
        <is>
          <t>Major</t>
        </is>
      </c>
      <c r="I67" s="32" t="inlineStr">
        <is>
          <t>Manual</t>
        </is>
      </c>
      <c r="J67" s="32" t="inlineStr">
        <is>
          <t>Cross-Artifact Sync 2026-05-17: per Rule 5 prompt → test-scenario sync. Source: prompts/Japanese language Accuracy check.txt A23. Hint: Per-entry check that ja text contains the headword form or stem.</t>
        </is>
      </c>
      <c r="K67" s="32" t="inlineStr">
        <is>
          <t>30m</t>
        </is>
      </c>
      <c r="L67" s="32" t="inlineStr">
        <is>
          <t>Native-teacher reviewer</t>
        </is>
      </c>
      <c r="M67" s="32" t="inlineStr">
        <is>
          <t>prompts/Japanese language Accuracy check.txt</t>
        </is>
      </c>
      <c r="N67" s="70" t="n">
        <v>46159</v>
      </c>
      <c r="O67" s="32" t="inlineStr">
        <is>
          <t>PASS</t>
        </is>
      </c>
      <c r="P67" s="32" t="n"/>
      <c r="Q67" s="32" t="inlineStr">
        <is>
          <t>A23</t>
        </is>
      </c>
      <c r="R67" s="32" t="inlineStr">
        <is>
          <t>0%</t>
        </is>
      </c>
    </row>
    <row r="68" ht="87" customHeight="1" s="49">
      <c r="A68" s="32" t="inlineStr">
        <is>
          <t>A-064</t>
        </is>
      </c>
      <c r="B68" s="32" t="inlineStr">
        <is>
          <t>Accuracy prompt category</t>
        </is>
      </c>
      <c r="C68" s="32" t="inlineStr">
        <is>
          <t>1</t>
        </is>
      </c>
      <c r="D68" s="32" t="inlineStr">
        <is>
          <t>Accuracy prompt audit category A24: KANJI.JSON SENTENCE TRANSLATIONS EMPTY</t>
        </is>
      </c>
      <c r="E68" s="32" t="inlineStr">
        <is>
          <t>1. Reference: prompts/Japanese language Accuracy check.txt A24
2. Run the category's manual sample / CI check
3. Cross-reference any JA-NN invariant noted below
4. Report findings as candidate bug rows</t>
        </is>
      </c>
      <c r="F68" s="32" t="inlineStr">
        <is>
          <t>0 findings against current corpus snapshot OR documented false-positive class (see FP-NN catalog in same prompt).</t>
        </is>
      </c>
      <c r="G68" s="32" t="inlineStr">
        <is>
          <t>P3</t>
        </is>
      </c>
      <c r="H68" s="32" t="inlineStr">
        <is>
          <t>Major</t>
        </is>
      </c>
      <c r="I68" s="32" t="inlineStr">
        <is>
          <t>Manual</t>
        </is>
      </c>
      <c r="J68" s="32" t="inlineStr">
        <is>
          <t>Cross-Artifact Sync 2026-05-17: per Rule 5 prompt → test-scenario sync. Source: prompts/Japanese language Accuracy check.txt A24. Hint: JA-84 locks every populated ja with non-empty translation_en.</t>
        </is>
      </c>
      <c r="K68" s="32" t="inlineStr">
        <is>
          <t>30m</t>
        </is>
      </c>
      <c r="L68" s="32" t="inlineStr">
        <is>
          <t>Native-teacher reviewer</t>
        </is>
      </c>
      <c r="M68" s="32" t="inlineStr">
        <is>
          <t>prompts/Japanese language Accuracy check.txt</t>
        </is>
      </c>
      <c r="N68" s="70" t="n">
        <v>46159</v>
      </c>
      <c r="O68" s="32" t="inlineStr">
        <is>
          <t>PASS</t>
        </is>
      </c>
      <c r="P68" s="32" t="n"/>
      <c r="Q68" s="32" t="inlineStr">
        <is>
          <t>A24</t>
        </is>
      </c>
      <c r="R68" s="32" t="inlineStr">
        <is>
          <t>0%</t>
        </is>
      </c>
    </row>
    <row r="69" ht="87" customHeight="1" s="49">
      <c r="A69" s="32" t="inlineStr">
        <is>
          <t>A-065</t>
        </is>
      </c>
      <c r="B69" s="32" t="inlineStr">
        <is>
          <t>Accuracy prompt category</t>
        </is>
      </c>
      <c r="C69" s="32" t="inlineStr">
        <is>
          <t>1</t>
        </is>
      </c>
      <c r="D69" s="32" t="inlineStr">
        <is>
          <t>Accuracy prompt audit category A25: KANJI.JSON STROKE-COUNT MISMATCH BETWEEN INT AND TEXT</t>
        </is>
      </c>
      <c r="E69" s="32" t="inlineStr">
        <is>
          <t>1. Reference: prompts/Japanese language Accuracy check.txt A25
2. Run the category's manual sample / CI check
3. Cross-reference any JA-NN invariant noted below
4. Report findings as candidate bug rows</t>
        </is>
      </c>
      <c r="F69" s="32" t="inlineStr">
        <is>
          <t>0 findings against current corpus snapshot OR documented false-positive class (see FP-NN catalog in same prompt).</t>
        </is>
      </c>
      <c r="G69" s="32" t="inlineStr">
        <is>
          <t>P3</t>
        </is>
      </c>
      <c r="H69" s="32" t="inlineStr">
        <is>
          <t>Major</t>
        </is>
      </c>
      <c r="I69" s="32" t="inlineStr">
        <is>
          <t>Manual</t>
        </is>
      </c>
      <c r="J69" s="32" t="inlineStr">
        <is>
          <t>Cross-Artifact Sync 2026-05-17: per Rule 5 prompt → test-scenario sync. Source: prompts/Japanese language Accuracy check.txt A25. Hint: JA-84 catches stroke_count int vs why_it_matters prose drift.</t>
        </is>
      </c>
      <c r="K69" s="32" t="inlineStr">
        <is>
          <t>30m</t>
        </is>
      </c>
      <c r="L69" s="32" t="inlineStr">
        <is>
          <t>Native-teacher reviewer</t>
        </is>
      </c>
      <c r="M69" s="32" t="inlineStr">
        <is>
          <t>prompts/Japanese language Accuracy check.txt</t>
        </is>
      </c>
      <c r="N69" s="70" t="n">
        <v>46159</v>
      </c>
      <c r="O69" s="32" t="inlineStr">
        <is>
          <t>PASS</t>
        </is>
      </c>
      <c r="P69" s="32" t="n"/>
      <c r="Q69" s="32" t="inlineStr">
        <is>
          <t>A25</t>
        </is>
      </c>
      <c r="R69" s="32" t="inlineStr">
        <is>
          <t>0%</t>
        </is>
      </c>
    </row>
    <row r="70" ht="87" customHeight="1" s="49">
      <c r="A70" s="32" t="inlineStr">
        <is>
          <t>A-066</t>
        </is>
      </c>
      <c r="B70" s="32" t="inlineStr">
        <is>
          <t>Accuracy prompt category</t>
        </is>
      </c>
      <c r="C70" s="32" t="inlineStr">
        <is>
          <t>1</t>
        </is>
      </c>
      <c r="D70" s="32" t="inlineStr">
        <is>
          <t>Accuracy prompt audit category A26: KANJI.JSON DUPLICATE-FORM EXAMPLES WITH SAME READING</t>
        </is>
      </c>
      <c r="E70" s="32" t="inlineStr">
        <is>
          <t>1. Reference: prompts/Japanese language Accuracy check.txt A26
2. Run the category's manual sample / CI check
3. Cross-reference any JA-NN invariant noted below
4. Report findings as candidate bug rows</t>
        </is>
      </c>
      <c r="F70" s="32" t="inlineStr">
        <is>
          <t>0 findings against current corpus snapshot OR documented false-positive class (see FP-NN catalog in same prompt).</t>
        </is>
      </c>
      <c r="G70" s="32" t="inlineStr">
        <is>
          <t>P3</t>
        </is>
      </c>
      <c r="H70" s="32" t="inlineStr">
        <is>
          <t>Major</t>
        </is>
      </c>
      <c r="I70" s="32" t="inlineStr">
        <is>
          <t>Manual</t>
        </is>
      </c>
      <c r="J70" s="32" t="inlineStr">
        <is>
          <t>Cross-Artifact Sync 2026-05-17: per Rule 5 prompt → test-scenario sync. Source: prompts/Japanese language Accuracy check.txt A26. Hint: JA-103 locks (form, reading) uniqueness per kanji.</t>
        </is>
      </c>
      <c r="K70" s="32" t="inlineStr">
        <is>
          <t>30m</t>
        </is>
      </c>
      <c r="L70" s="32" t="inlineStr">
        <is>
          <t>Native-teacher reviewer</t>
        </is>
      </c>
      <c r="M70" s="32" t="inlineStr">
        <is>
          <t>prompts/Japanese language Accuracy check.txt</t>
        </is>
      </c>
      <c r="N70" s="70" t="n">
        <v>46159</v>
      </c>
      <c r="O70" s="32" t="inlineStr">
        <is>
          <t>PASS</t>
        </is>
      </c>
      <c r="P70" s="32" t="n"/>
      <c r="Q70" s="32" t="inlineStr">
        <is>
          <t>A26</t>
        </is>
      </c>
      <c r="R70" s="32" t="inlineStr">
        <is>
          <t>0%</t>
        </is>
      </c>
    </row>
    <row r="71" ht="72.5" customHeight="1" s="49">
      <c r="A71" s="32" t="inlineStr">
        <is>
          <t>A-067</t>
        </is>
      </c>
      <c r="B71" s="32" t="inlineStr">
        <is>
          <t>Accuracy prompt category</t>
        </is>
      </c>
      <c r="C71" s="32" t="inlineStr">
        <is>
          <t>1</t>
        </is>
      </c>
      <c r="D71" s="32" t="inlineStr">
        <is>
          <t>Accuracy prompt audit category A27: DOKKAI MONDAI RANGE IS 4-6 (NOT 1-4 LIKE LISTENING)</t>
        </is>
      </c>
      <c r="E71" s="32" t="inlineStr">
        <is>
          <t>1. Reference: prompts/Japanese language Accuracy check.txt A27
2. Run the category's manual sample / CI check
3. Cross-reference any JA-NN invariant noted below
4. Report findings as candidate bug rows</t>
        </is>
      </c>
      <c r="F71" s="32" t="inlineStr">
        <is>
          <t>0 findings against current corpus snapshot OR documented false-positive class (see FP-NN catalog in same prompt).</t>
        </is>
      </c>
      <c r="G71" s="32" t="inlineStr">
        <is>
          <t>P3</t>
        </is>
      </c>
      <c r="H71" s="32" t="inlineStr">
        <is>
          <t>Major</t>
        </is>
      </c>
      <c r="I71" s="32" t="inlineStr">
        <is>
          <t>Manual</t>
        </is>
      </c>
      <c r="J71" s="32" t="inlineStr">
        <is>
          <t>Cross-Artifact Sync 2026-05-17: per Rule 5 prompt → test-scenario sync. Source: prompts/Japanese language Accuracy check.txt A27. Hint: Per-corpus mondai range validation.</t>
        </is>
      </c>
      <c r="K71" s="32" t="inlineStr">
        <is>
          <t>30m</t>
        </is>
      </c>
      <c r="L71" s="32" t="inlineStr">
        <is>
          <t>Native-teacher reviewer</t>
        </is>
      </c>
      <c r="M71" s="32" t="inlineStr">
        <is>
          <t>prompts/Japanese language Accuracy check.txt</t>
        </is>
      </c>
      <c r="N71" s="70" t="n">
        <v>46159</v>
      </c>
      <c r="O71" s="32" t="inlineStr">
        <is>
          <t>PASS</t>
        </is>
      </c>
      <c r="P71" s="32" t="n"/>
      <c r="Q71" s="32" t="inlineStr">
        <is>
          <t>A27</t>
        </is>
      </c>
      <c r="R71" s="32" t="inlineStr">
        <is>
          <t>0%</t>
        </is>
      </c>
    </row>
    <row r="72" ht="87" customHeight="1" s="49">
      <c r="A72" s="32" t="inlineStr">
        <is>
          <t>A-068</t>
        </is>
      </c>
      <c r="B72" s="32" t="inlineStr">
        <is>
          <t>Accuracy prompt category</t>
        </is>
      </c>
      <c r="C72" s="32" t="inlineStr">
        <is>
          <t>1</t>
        </is>
      </c>
      <c r="D72" s="32" t="inlineStr">
        <is>
          <t>Accuracy prompt audit category A28: READING.JSON FORMAT_ROLE + VOCAB_USED SCHEMA GAPS</t>
        </is>
      </c>
      <c r="E72" s="32" t="inlineStr">
        <is>
          <t>1. Reference: prompts/Japanese language Accuracy check.txt A28
2. Run the category's manual sample / CI check
3. Cross-reference any JA-NN invariant noted below
4. Report findings as candidate bug rows</t>
        </is>
      </c>
      <c r="F72" s="32" t="inlineStr">
        <is>
          <t>0 findings against current corpus snapshot OR documented false-positive class (see FP-NN catalog in same prompt).</t>
        </is>
      </c>
      <c r="G72" s="32" t="inlineStr">
        <is>
          <t>P3</t>
        </is>
      </c>
      <c r="H72" s="32" t="inlineStr">
        <is>
          <t>Major</t>
        </is>
      </c>
      <c r="I72" s="32" t="inlineStr">
        <is>
          <t>Manual</t>
        </is>
      </c>
      <c r="J72" s="32" t="inlineStr">
        <is>
          <t>Cross-Artifact Sync 2026-05-17: per Rule 5 prompt → test-scenario sync. Source: prompts/Japanese language Accuracy check.txt A28. Hint: JA-19 + JA-104..106 locks; manual sample for gaps.</t>
        </is>
      </c>
      <c r="K72" s="32" t="inlineStr">
        <is>
          <t>30m</t>
        </is>
      </c>
      <c r="L72" s="32" t="inlineStr">
        <is>
          <t>Native-teacher reviewer</t>
        </is>
      </c>
      <c r="M72" s="32" t="inlineStr">
        <is>
          <t>prompts/Japanese language Accuracy check.txt</t>
        </is>
      </c>
      <c r="N72" s="70" t="n">
        <v>46159</v>
      </c>
      <c r="O72" s="32" t="inlineStr">
        <is>
          <t>PASS</t>
        </is>
      </c>
      <c r="P72" s="32" t="n"/>
      <c r="Q72" s="32" t="inlineStr">
        <is>
          <t>A28</t>
        </is>
      </c>
      <c r="R72" s="32" t="inlineStr">
        <is>
          <t>0%</t>
        </is>
      </c>
    </row>
    <row r="73" ht="72.5" customHeight="1" s="49">
      <c r="A73" s="32" t="inlineStr">
        <is>
          <t>A-069</t>
        </is>
      </c>
      <c r="B73" s="32" t="inlineStr">
        <is>
          <t>Accuracy prompt category</t>
        </is>
      </c>
      <c r="C73" s="32" t="inlineStr">
        <is>
          <t>1</t>
        </is>
      </c>
      <c r="D73" s="32" t="inlineStr">
        <is>
          <t>Accuracy prompt audit category A29: DOKKAI / READING EXPLANATION_HI EMPTY (LOCALE PARITY)</t>
        </is>
      </c>
      <c r="E73" s="32" t="inlineStr">
        <is>
          <t>1. Reference: prompts/Japanese language Accuracy check.txt A29
2. Run the category's manual sample / CI check
3. Cross-reference any JA-NN invariant noted below
4. Report findings as candidate bug rows</t>
        </is>
      </c>
      <c r="F73" s="32" t="inlineStr">
        <is>
          <t>0 findings against current corpus snapshot OR documented false-positive class (see FP-NN catalog in same prompt).</t>
        </is>
      </c>
      <c r="G73" s="32" t="inlineStr">
        <is>
          <t>P3</t>
        </is>
      </c>
      <c r="H73" s="32" t="inlineStr">
        <is>
          <t>Major</t>
        </is>
      </c>
      <c r="I73" s="32" t="inlineStr">
        <is>
          <t>Manual</t>
        </is>
      </c>
      <c r="J73" s="32" t="inlineStr">
        <is>
          <t>Cross-Artifact Sync 2026-05-17: per Rule 5 prompt → test-scenario sync. Source: prompts/Japanese language Accuracy check.txt A29. Hint: JA-85 locks.</t>
        </is>
      </c>
      <c r="K73" s="32" t="inlineStr">
        <is>
          <t>30m</t>
        </is>
      </c>
      <c r="L73" s="32" t="inlineStr">
        <is>
          <t>Native-teacher reviewer</t>
        </is>
      </c>
      <c r="M73" s="32" t="inlineStr">
        <is>
          <t>prompts/Japanese language Accuracy check.txt</t>
        </is>
      </c>
      <c r="N73" s="70" t="n">
        <v>46159</v>
      </c>
      <c r="O73" s="32" t="inlineStr">
        <is>
          <t>PASS</t>
        </is>
      </c>
      <c r="P73" s="32" t="n"/>
      <c r="Q73" s="32" t="inlineStr">
        <is>
          <t>A29</t>
        </is>
      </c>
      <c r="R73" s="32" t="inlineStr">
        <is>
          <t>0%</t>
        </is>
      </c>
    </row>
    <row r="74" ht="87" customHeight="1" s="49">
      <c r="A74" s="32" t="inlineStr">
        <is>
          <t>A-070</t>
        </is>
      </c>
      <c r="B74" s="32" t="inlineStr">
        <is>
          <t>Accuracy prompt category</t>
        </is>
      </c>
      <c r="C74" s="32" t="inlineStr">
        <is>
          <t>1</t>
        </is>
      </c>
      <c r="D74" s="32" t="inlineStr">
        <is>
          <t>Accuracy prompt audit category A30: PAPERS RATIONALE-ANSWER MISALIGNMENT</t>
        </is>
      </c>
      <c r="E74" s="32" t="inlineStr">
        <is>
          <t>1. Reference: prompts/Japanese language Accuracy check.txt A30
2. Run the category's manual sample / CI check
3. Cross-reference any JA-NN invariant noted below
4. Report findings as candidate bug rows</t>
        </is>
      </c>
      <c r="F74" s="32" t="inlineStr">
        <is>
          <t>0 findings against current corpus snapshot OR documented false-positive class (see FP-NN catalog in same prompt).</t>
        </is>
      </c>
      <c r="G74" s="32" t="inlineStr">
        <is>
          <t>P3</t>
        </is>
      </c>
      <c r="H74" s="32" t="inlineStr">
        <is>
          <t>Major</t>
        </is>
      </c>
      <c r="I74" s="32" t="inlineStr">
        <is>
          <t>Manual</t>
        </is>
      </c>
      <c r="J74" s="32" t="inlineStr">
        <is>
          <t>Cross-Artifact Sync 2026-05-17: per Rule 5 prompt → test-scenario sync. Source: prompts/Japanese language Accuracy check.txt A30. Hint: JA-32 round-trip; manual review of paper questions.</t>
        </is>
      </c>
      <c r="K74" s="32" t="inlineStr">
        <is>
          <t>30m</t>
        </is>
      </c>
      <c r="L74" s="32" t="inlineStr">
        <is>
          <t>Native-teacher reviewer</t>
        </is>
      </c>
      <c r="M74" s="32" t="inlineStr">
        <is>
          <t>prompts/Japanese language Accuracy check.txt</t>
        </is>
      </c>
      <c r="N74" s="70" t="n">
        <v>46159</v>
      </c>
      <c r="O74" s="32" t="inlineStr">
        <is>
          <t>PASS</t>
        </is>
      </c>
      <c r="P74" s="32" t="n"/>
      <c r="Q74" s="32" t="inlineStr">
        <is>
          <t>A30</t>
        </is>
      </c>
      <c r="R74" s="32" t="inlineStr">
        <is>
          <t>0%</t>
        </is>
      </c>
    </row>
    <row r="75" ht="72.5" customHeight="1" s="49">
      <c r="A75" s="32" t="inlineStr">
        <is>
          <t>A-071</t>
        </is>
      </c>
      <c r="B75" s="32" t="inlineStr">
        <is>
          <t>Accuracy prompt category</t>
        </is>
      </c>
      <c r="C75" s="32" t="inlineStr">
        <is>
          <t>1</t>
        </is>
      </c>
      <c r="D75" s="32" t="inlineStr">
        <is>
          <t>Accuracy prompt audit category A31: AUTHENTIC.JSON CONTEXT_HI EMPTY (LOCALE PARITY)</t>
        </is>
      </c>
      <c r="E75" s="32" t="inlineStr">
        <is>
          <t>1. Reference: prompts/Japanese language Accuracy check.txt A31
2. Run the category's manual sample / CI check
3. Cross-reference any JA-NN invariant noted below
4. Report findings as candidate bug rows</t>
        </is>
      </c>
      <c r="F75" s="32" t="inlineStr">
        <is>
          <t>0 findings against current corpus snapshot OR documented false-positive class (see FP-NN catalog in same prompt).</t>
        </is>
      </c>
      <c r="G75" s="32" t="inlineStr">
        <is>
          <t>P3</t>
        </is>
      </c>
      <c r="H75" s="32" t="inlineStr">
        <is>
          <t>Major</t>
        </is>
      </c>
      <c r="I75" s="32" t="inlineStr">
        <is>
          <t>Manual</t>
        </is>
      </c>
      <c r="J75" s="32" t="inlineStr">
        <is>
          <t>Cross-Artifact Sync 2026-05-17: per Rule 5 prompt → test-scenario sync. Source: prompts/Japanese language Accuracy check.txt A31. Hint: JA-86 locks.</t>
        </is>
      </c>
      <c r="K75" s="32" t="inlineStr">
        <is>
          <t>30m</t>
        </is>
      </c>
      <c r="L75" s="32" t="inlineStr">
        <is>
          <t>Native-teacher reviewer</t>
        </is>
      </c>
      <c r="M75" s="32" t="inlineStr">
        <is>
          <t>prompts/Japanese language Accuracy check.txt</t>
        </is>
      </c>
      <c r="N75" s="70" t="n">
        <v>46159</v>
      </c>
      <c r="O75" s="32" t="inlineStr">
        <is>
          <t>PASS</t>
        </is>
      </c>
      <c r="P75" s="32" t="n"/>
      <c r="Q75" s="32" t="inlineStr">
        <is>
          <t>A31</t>
        </is>
      </c>
      <c r="R75" s="32" t="inlineStr">
        <is>
          <t>0%</t>
        </is>
      </c>
    </row>
    <row r="76" ht="72.5" customHeight="1" s="49">
      <c r="A76" s="32" t="inlineStr">
        <is>
          <t>A-072</t>
        </is>
      </c>
      <c r="B76" s="32" t="inlineStr">
        <is>
          <t>Accuracy prompt category</t>
        </is>
      </c>
      <c r="C76" s="32" t="inlineStr">
        <is>
          <t>1</t>
        </is>
      </c>
      <c r="D76" s="32" t="inlineStr">
        <is>
          <t>Accuracy prompt audit category A32: QUESTIONS.JSON DISTRACTOR-EXPLANATIONS GAP</t>
        </is>
      </c>
      <c r="E76" s="32" t="inlineStr">
        <is>
          <t>1. Reference: prompts/Japanese language Accuracy check.txt A32
2. Run the category's manual sample / CI check
3. Cross-reference any JA-NN invariant noted below
4. Report findings as candidate bug rows</t>
        </is>
      </c>
      <c r="F76" s="32" t="inlineStr">
        <is>
          <t>0 findings against current corpus snapshot OR documented false-positive class (see FP-NN catalog in same prompt).</t>
        </is>
      </c>
      <c r="G76" s="32" t="inlineStr">
        <is>
          <t>P3</t>
        </is>
      </c>
      <c r="H76" s="32" t="inlineStr">
        <is>
          <t>Major</t>
        </is>
      </c>
      <c r="I76" s="32" t="inlineStr">
        <is>
          <t>Manual</t>
        </is>
      </c>
      <c r="J76" s="32" t="inlineStr">
        <is>
          <t>Cross-Artifact Sync 2026-05-17: per Rule 5 prompt → test-scenario sync. Source: prompts/Japanese language Accuracy check.txt A32. Hint: JA-86 + sample.</t>
        </is>
      </c>
      <c r="K76" s="32" t="inlineStr">
        <is>
          <t>30m</t>
        </is>
      </c>
      <c r="L76" s="32" t="inlineStr">
        <is>
          <t>Native-teacher reviewer</t>
        </is>
      </c>
      <c r="M76" s="32" t="inlineStr">
        <is>
          <t>prompts/Japanese language Accuracy check.txt</t>
        </is>
      </c>
      <c r="N76" s="70" t="n">
        <v>46159</v>
      </c>
      <c r="O76" s="32" t="inlineStr">
        <is>
          <t>PASS</t>
        </is>
      </c>
      <c r="P76" s="32" t="n"/>
      <c r="Q76" s="32" t="inlineStr">
        <is>
          <t>A32</t>
        </is>
      </c>
      <c r="R76" s="32" t="inlineStr">
        <is>
          <t>0%</t>
        </is>
      </c>
    </row>
    <row r="77" ht="87" customHeight="1" s="49">
      <c r="A77" s="32" t="inlineStr">
        <is>
          <t>A-073</t>
        </is>
      </c>
      <c r="B77" s="32" t="inlineStr">
        <is>
          <t>Accuracy prompt category</t>
        </is>
      </c>
      <c r="C77" s="32" t="inlineStr">
        <is>
          <t>1</t>
        </is>
      </c>
      <c r="D77" s="32" t="inlineStr">
        <is>
          <t>Accuracy prompt audit category A33: LISTENING MONDAI 3 vs 4 CHOICE-COUNT RULES</t>
        </is>
      </c>
      <c r="E77" s="32" t="inlineStr">
        <is>
          <t>1. Reference: prompts/Japanese language Accuracy check.txt A33
2. Run the category's manual sample / CI check
3. Cross-reference any JA-NN invariant noted below
4. Report findings as candidate bug rows</t>
        </is>
      </c>
      <c r="F77" s="32" t="inlineStr">
        <is>
          <t>0 findings against current corpus snapshot OR documented false-positive class (see FP-NN catalog in same prompt).</t>
        </is>
      </c>
      <c r="G77" s="32" t="inlineStr">
        <is>
          <t>P3</t>
        </is>
      </c>
      <c r="H77" s="32" t="inlineStr">
        <is>
          <t>Major</t>
        </is>
      </c>
      <c r="I77" s="32" t="inlineStr">
        <is>
          <t>Manual</t>
        </is>
      </c>
      <c r="J77" s="32" t="inlineStr">
        <is>
          <t>Cross-Artifact Sync 2026-05-17: per Rule 5 prompt → test-scenario sync. Source: prompts/Japanese language Accuracy check.txt A33. Hint: JA-33 closed-enum; sample for choice-count distinction.</t>
        </is>
      </c>
      <c r="K77" s="32" t="inlineStr">
        <is>
          <t>30m</t>
        </is>
      </c>
      <c r="L77" s="32" t="inlineStr">
        <is>
          <t>Native-teacher reviewer</t>
        </is>
      </c>
      <c r="M77" s="32" t="inlineStr">
        <is>
          <t>prompts/Japanese language Accuracy check.txt</t>
        </is>
      </c>
      <c r="N77" s="70" t="n">
        <v>46159</v>
      </c>
      <c r="O77" s="32" t="inlineStr">
        <is>
          <t>PASS</t>
        </is>
      </c>
      <c r="P77" s="32" t="n"/>
      <c r="Q77" s="32" t="inlineStr">
        <is>
          <t>A33</t>
        </is>
      </c>
      <c r="R77" s="32" t="inlineStr">
        <is>
          <t>0%</t>
        </is>
      </c>
    </row>
    <row r="78" ht="87" customHeight="1" s="49">
      <c r="A78" s="32" t="inlineStr">
        <is>
          <t>A-074</t>
        </is>
      </c>
      <c r="B78" s="32" t="inlineStr">
        <is>
          <t>Accuracy prompt category</t>
        </is>
      </c>
      <c r="C78" s="32" t="inlineStr">
        <is>
          <t>1</t>
        </is>
      </c>
      <c r="D78" s="32" t="inlineStr">
        <is>
          <t>Accuracy prompt audit category A34: SCHEMA-TYPE DISCRIMINATION ACROSS QUESTIONS-LIKE FILES</t>
        </is>
      </c>
      <c r="E78" s="32" t="inlineStr">
        <is>
          <t>1. Reference: prompts/Japanese language Accuracy check.txt A34
2. Run the category's manual sample / CI check
3. Cross-reference any JA-NN invariant noted below
4. Report findings as candidate bug rows</t>
        </is>
      </c>
      <c r="F78" s="32" t="inlineStr">
        <is>
          <t>0 findings against current corpus snapshot OR documented false-positive class (see FP-NN catalog in same prompt).</t>
        </is>
      </c>
      <c r="G78" s="32" t="inlineStr">
        <is>
          <t>P3</t>
        </is>
      </c>
      <c r="H78" s="32" t="inlineStr">
        <is>
          <t>Major</t>
        </is>
      </c>
      <c r="I78" s="32" t="inlineStr">
        <is>
          <t>Manual</t>
        </is>
      </c>
      <c r="J78" s="32" t="inlineStr">
        <is>
          <t>Cross-Artifact Sync 2026-05-17: per Rule 5 prompt → test-scenario sync. Source: prompts/Japanese language Accuracy check.txt A34. Hint: JA-29 + sample of paraphrase vs kanji_writing.</t>
        </is>
      </c>
      <c r="K78" s="32" t="inlineStr">
        <is>
          <t>30m</t>
        </is>
      </c>
      <c r="L78" s="32" t="inlineStr">
        <is>
          <t>Native-teacher reviewer</t>
        </is>
      </c>
      <c r="M78" s="32" t="inlineStr">
        <is>
          <t>prompts/Japanese language Accuracy check.txt</t>
        </is>
      </c>
      <c r="N78" s="70" t="n">
        <v>46159</v>
      </c>
      <c r="O78" s="32" t="inlineStr">
        <is>
          <t>PASS</t>
        </is>
      </c>
      <c r="P78" s="32" t="n"/>
      <c r="Q78" s="32" t="inlineStr">
        <is>
          <t>A34</t>
        </is>
      </c>
      <c r="R78" s="32" t="inlineStr">
        <is>
          <t>0%</t>
        </is>
      </c>
    </row>
    <row r="79" ht="72.5" customHeight="1" s="49">
      <c r="A79" s="32" t="inlineStr">
        <is>
          <t>A-075</t>
        </is>
      </c>
      <c r="B79" s="32" t="inlineStr">
        <is>
          <t>Accuracy prompt category</t>
        </is>
      </c>
      <c r="C79" s="32" t="inlineStr">
        <is>
          <t>1</t>
        </is>
      </c>
      <c r="D79" s="32" t="inlineStr">
        <is>
          <t>Accuracy prompt audit category A35: CROSS-CORPUS READING/GLOSS CONSISTENCY</t>
        </is>
      </c>
      <c r="E79" s="32" t="inlineStr">
        <is>
          <t>1. Reference: prompts/Japanese language Accuracy check.txt A35
2. Run the category's manual sample / CI check
3. Cross-reference any JA-NN invariant noted below
4. Report findings as candidate bug rows</t>
        </is>
      </c>
      <c r="F79" s="32" t="inlineStr">
        <is>
          <t>0 findings against current corpus snapshot OR documented false-positive class (see FP-NN catalog in same prompt).</t>
        </is>
      </c>
      <c r="G79" s="32" t="inlineStr">
        <is>
          <t>P3</t>
        </is>
      </c>
      <c r="H79" s="32" t="inlineStr">
        <is>
          <t>Major</t>
        </is>
      </c>
      <c r="I79" s="32" t="inlineStr">
        <is>
          <t>Manual</t>
        </is>
      </c>
      <c r="J79" s="32" t="inlineStr">
        <is>
          <t>Cross-Artifact Sync 2026-05-17: per Rule 5 prompt → test-scenario sync. Source: prompts/Japanese language Accuracy check.txt A35. Hint: JA-87 wave-1; JA-100/105 cross-corpus refs.</t>
        </is>
      </c>
      <c r="K79" s="32" t="inlineStr">
        <is>
          <t>30m</t>
        </is>
      </c>
      <c r="L79" s="32" t="inlineStr">
        <is>
          <t>Native-teacher reviewer</t>
        </is>
      </c>
      <c r="M79" s="32" t="inlineStr">
        <is>
          <t>prompts/Japanese language Accuracy check.txt</t>
        </is>
      </c>
      <c r="N79" s="70" t="n">
        <v>46159</v>
      </c>
      <c r="O79" s="32" t="inlineStr">
        <is>
          <t>PASS</t>
        </is>
      </c>
      <c r="P79" s="32" t="n"/>
      <c r="Q79" s="32" t="inlineStr">
        <is>
          <t>A35</t>
        </is>
      </c>
      <c r="R79" s="32" t="inlineStr">
        <is>
          <t>0%</t>
        </is>
      </c>
    </row>
    <row r="80" ht="72.5" customHeight="1" s="49">
      <c r="A80" s="32" t="inlineStr">
        <is>
          <t>A-076</t>
        </is>
      </c>
      <c r="B80" s="32" t="inlineStr">
        <is>
          <t>Accuracy prompt category</t>
        </is>
      </c>
      <c r="C80" s="32" t="inlineStr">
        <is>
          <t>1</t>
        </is>
      </c>
      <c r="D80" s="32" t="inlineStr">
        <is>
          <t>Accuracy prompt audit category A36: PARTICLE-PRECISION L2-ERROR PATTERNS</t>
        </is>
      </c>
      <c r="E80" s="32" t="inlineStr">
        <is>
          <t>1. Reference: prompts/Japanese language Accuracy check.txt A36
2. Run the category's manual sample / CI check
3. Cross-reference any JA-NN invariant noted below
4. Report findings as candidate bug rows</t>
        </is>
      </c>
      <c r="F80" s="32" t="inlineStr">
        <is>
          <t>0 findings against current corpus snapshot OR documented false-positive class (see FP-NN catalog in same prompt).</t>
        </is>
      </c>
      <c r="G80" s="32" t="inlineStr">
        <is>
          <t>P3</t>
        </is>
      </c>
      <c r="H80" s="32" t="inlineStr">
        <is>
          <t>Major</t>
        </is>
      </c>
      <c r="I80" s="32" t="inlineStr">
        <is>
          <t>Manual</t>
        </is>
      </c>
      <c r="J80" s="32" t="inlineStr">
        <is>
          <t>Cross-Artifact Sync 2026-05-17: per Rule 5 prompt → test-scenario sync. Source: prompts/Japanese language Accuracy check.txt A36. Hint: JA-88 wave-2 scan.</t>
        </is>
      </c>
      <c r="K80" s="32" t="inlineStr">
        <is>
          <t>30m</t>
        </is>
      </c>
      <c r="L80" s="32" t="inlineStr">
        <is>
          <t>Native-teacher reviewer</t>
        </is>
      </c>
      <c r="M80" s="32" t="inlineStr">
        <is>
          <t>prompts/Japanese language Accuracy check.txt</t>
        </is>
      </c>
      <c r="N80" s="70" t="n">
        <v>46159</v>
      </c>
      <c r="O80" s="32" t="inlineStr">
        <is>
          <t>PASS</t>
        </is>
      </c>
      <c r="P80" s="32" t="n"/>
      <c r="Q80" s="32" t="inlineStr">
        <is>
          <t>A36</t>
        </is>
      </c>
      <c r="R80" s="32" t="inlineStr">
        <is>
          <t>0%</t>
        </is>
      </c>
    </row>
    <row r="81" ht="72.5" customHeight="1" s="49">
      <c r="A81" s="32" t="inlineStr">
        <is>
          <t>A-077</t>
        </is>
      </c>
      <c r="B81" s="32" t="inlineStr">
        <is>
          <t>Accuracy prompt category</t>
        </is>
      </c>
      <c r="C81" s="32" t="inlineStr">
        <is>
          <t>1</t>
        </is>
      </c>
      <c r="D81" s="32" t="inlineStr">
        <is>
          <t>Accuracy prompt audit category A37: COUNTER-NOUN SEMANTIC PAIRING (本+つ for books, etc.)</t>
        </is>
      </c>
      <c r="E81" s="32" t="inlineStr">
        <is>
          <t>1. Reference: prompts/Japanese language Accuracy check.txt A37
2. Run the category's manual sample / CI check
3. Cross-reference any JA-NN invariant noted below
4. Report findings as candidate bug rows</t>
        </is>
      </c>
      <c r="F81" s="32" t="inlineStr">
        <is>
          <t>0 findings against current corpus snapshot OR documented false-positive class (see FP-NN catalog in same prompt).</t>
        </is>
      </c>
      <c r="G81" s="32" t="inlineStr">
        <is>
          <t>P3</t>
        </is>
      </c>
      <c r="H81" s="32" t="inlineStr">
        <is>
          <t>Major</t>
        </is>
      </c>
      <c r="I81" s="32" t="inlineStr">
        <is>
          <t>Manual</t>
        </is>
      </c>
      <c r="J81" s="32" t="inlineStr">
        <is>
          <t>Cross-Artifact Sync 2026-05-17: per Rule 5 prompt → test-scenario sync. Source: prompts/Japanese language Accuracy check.txt A37. Hint: JA-89 lock1.</t>
        </is>
      </c>
      <c r="K81" s="32" t="inlineStr">
        <is>
          <t>30m</t>
        </is>
      </c>
      <c r="L81" s="32" t="inlineStr">
        <is>
          <t>Native-teacher reviewer</t>
        </is>
      </c>
      <c r="M81" s="32" t="inlineStr">
        <is>
          <t>prompts/Japanese language Accuracy check.txt</t>
        </is>
      </c>
      <c r="N81" s="70" t="n">
        <v>46159</v>
      </c>
      <c r="O81" s="32" t="inlineStr">
        <is>
          <t>PASS</t>
        </is>
      </c>
      <c r="P81" s="32" t="n"/>
      <c r="Q81" s="32" t="inlineStr">
        <is>
          <t>A37</t>
        </is>
      </c>
      <c r="R81" s="32" t="inlineStr">
        <is>
          <t>0%</t>
        </is>
      </c>
    </row>
    <row r="82" ht="72.5" customHeight="1" s="49">
      <c r="A82" s="32" t="inlineStr">
        <is>
          <t>A-078</t>
        </is>
      </c>
      <c r="B82" s="32" t="inlineStr">
        <is>
          <t>Accuracy prompt category</t>
        </is>
      </c>
      <c r="C82" s="32" t="inlineStr">
        <is>
          <t>1</t>
        </is>
      </c>
      <c r="D82" s="32" t="inlineStr">
        <is>
          <t>Accuracy prompt audit category A38: ANIMACY VIOLATIONS: ANIMATE NOUN + が あります</t>
        </is>
      </c>
      <c r="E82" s="32" t="inlineStr">
        <is>
          <t>1. Reference: prompts/Japanese language Accuracy check.txt A38
2. Run the category's manual sample / CI check
3. Cross-reference any JA-NN invariant noted below
4. Report findings as candidate bug rows</t>
        </is>
      </c>
      <c r="F82" s="32" t="inlineStr">
        <is>
          <t>0 findings against current corpus snapshot OR documented false-positive class (see FP-NN catalog in same prompt).</t>
        </is>
      </c>
      <c r="G82" s="32" t="inlineStr">
        <is>
          <t>P3</t>
        </is>
      </c>
      <c r="H82" s="32" t="inlineStr">
        <is>
          <t>Major</t>
        </is>
      </c>
      <c r="I82" s="32" t="inlineStr">
        <is>
          <t>Manual</t>
        </is>
      </c>
      <c r="J82" s="32" t="inlineStr">
        <is>
          <t>Cross-Artifact Sync 2026-05-17: per Rule 5 prompt → test-scenario sync. Source: prompts/Japanese language Accuracy check.txt A38. Hint: JA-89 lock2.</t>
        </is>
      </c>
      <c r="K82" s="32" t="inlineStr">
        <is>
          <t>30m</t>
        </is>
      </c>
      <c r="L82" s="32" t="inlineStr">
        <is>
          <t>Native-teacher reviewer</t>
        </is>
      </c>
      <c r="M82" s="32" t="inlineStr">
        <is>
          <t>prompts/Japanese language Accuracy check.txt</t>
        </is>
      </c>
      <c r="N82" s="70" t="n">
        <v>46159</v>
      </c>
      <c r="O82" s="32" t="inlineStr">
        <is>
          <t>PASS</t>
        </is>
      </c>
      <c r="P82" s="32" t="n"/>
      <c r="Q82" s="32" t="inlineStr">
        <is>
          <t>A38</t>
        </is>
      </c>
      <c r="R82" s="32" t="inlineStr">
        <is>
          <t>0%</t>
        </is>
      </c>
    </row>
    <row r="83" ht="72.5" customHeight="1" s="49">
      <c r="A83" s="32" t="inlineStr">
        <is>
          <t>A-079</t>
        </is>
      </c>
      <c r="B83" s="32" t="inlineStr">
        <is>
          <t>Accuracy prompt category</t>
        </is>
      </c>
      <c r="C83" s="32" t="inlineStr">
        <is>
          <t>1</t>
        </is>
      </c>
      <c r="D83" s="32" t="inlineStr">
        <is>
          <t>Accuracy prompt audit category A39: BARE-ARTICLE EN: 'There is X.' for singular common nouns</t>
        </is>
      </c>
      <c r="E83" s="32" t="inlineStr">
        <is>
          <t>1. Reference: prompts/Japanese language Accuracy check.txt A39
2. Run the category's manual sample / CI check
3. Cross-reference any JA-NN invariant noted below
4. Report findings as candidate bug rows</t>
        </is>
      </c>
      <c r="F83" s="32" t="inlineStr">
        <is>
          <t>0 findings against current corpus snapshot OR documented false-positive class (see FP-NN catalog in same prompt).</t>
        </is>
      </c>
      <c r="G83" s="32" t="inlineStr">
        <is>
          <t>P3</t>
        </is>
      </c>
      <c r="H83" s="32" t="inlineStr">
        <is>
          <t>Major</t>
        </is>
      </c>
      <c r="I83" s="32" t="inlineStr">
        <is>
          <t>Manual</t>
        </is>
      </c>
      <c r="J83" s="32" t="inlineStr">
        <is>
          <t>Cross-Artifact Sync 2026-05-17: per Rule 5 prompt → test-scenario sync. Source: prompts/Japanese language Accuracy check.txt A39. Hint: JA-89 lock3.</t>
        </is>
      </c>
      <c r="K83" s="32" t="inlineStr">
        <is>
          <t>30m</t>
        </is>
      </c>
      <c r="L83" s="32" t="inlineStr">
        <is>
          <t>Native-teacher reviewer</t>
        </is>
      </c>
      <c r="M83" s="32" t="inlineStr">
        <is>
          <t>prompts/Japanese language Accuracy check.txt</t>
        </is>
      </c>
      <c r="N83" s="70" t="n">
        <v>46159</v>
      </c>
      <c r="O83" s="32" t="inlineStr">
        <is>
          <t>PASS</t>
        </is>
      </c>
      <c r="P83" s="32" t="n"/>
      <c r="Q83" s="32" t="inlineStr">
        <is>
          <t>A39</t>
        </is>
      </c>
      <c r="R83" s="32" t="inlineStr">
        <is>
          <t>0%</t>
        </is>
      </c>
    </row>
    <row r="84" ht="72.5" customHeight="1" s="49">
      <c r="A84" s="32" t="inlineStr">
        <is>
          <t>A-080</t>
        </is>
      </c>
      <c r="B84" s="32" t="inlineStr">
        <is>
          <t>Accuracy prompt category</t>
        </is>
      </c>
      <c r="C84" s="32" t="inlineStr">
        <is>
          <t>1</t>
        </is>
      </c>
      <c r="D84" s="32" t="inlineStr">
        <is>
          <t>Accuracy prompt audit category A40: WRONG-HEADWORD EXAMPLES (ja text doesn't contain headword)</t>
        </is>
      </c>
      <c r="E84" s="32" t="inlineStr">
        <is>
          <t>1. Reference: prompts/Japanese language Accuracy check.txt A40
2. Run the category's manual sample / CI check
3. Cross-reference any JA-NN invariant noted below
4. Report findings as candidate bug rows</t>
        </is>
      </c>
      <c r="F84" s="32" t="inlineStr">
        <is>
          <t>0 findings against current corpus snapshot OR documented false-positive class (see FP-NN catalog in same prompt).</t>
        </is>
      </c>
      <c r="G84" s="32" t="inlineStr">
        <is>
          <t>P3</t>
        </is>
      </c>
      <c r="H84" s="32" t="inlineStr">
        <is>
          <t>Major</t>
        </is>
      </c>
      <c r="I84" s="32" t="inlineStr">
        <is>
          <t>Manual</t>
        </is>
      </c>
      <c r="J84" s="32" t="inlineStr">
        <is>
          <t>Cross-Artifact Sync 2026-05-17: per Rule 5 prompt → test-scenario sync. Source: prompts/Japanese language Accuracy check.txt A40. Hint: JA-89 lock4.</t>
        </is>
      </c>
      <c r="K84" s="32" t="inlineStr">
        <is>
          <t>30m</t>
        </is>
      </c>
      <c r="L84" s="32" t="inlineStr">
        <is>
          <t>Native-teacher reviewer</t>
        </is>
      </c>
      <c r="M84" s="32" t="inlineStr">
        <is>
          <t>prompts/Japanese language Accuracy check.txt</t>
        </is>
      </c>
      <c r="N84" s="70" t="n">
        <v>46159</v>
      </c>
      <c r="O84" s="32" t="inlineStr">
        <is>
          <t>PASS</t>
        </is>
      </c>
      <c r="P84" s="32" t="n"/>
      <c r="Q84" s="32" t="inlineStr">
        <is>
          <t>A40</t>
        </is>
      </c>
      <c r="R84" s="32" t="inlineStr">
        <is>
          <t>0%</t>
        </is>
      </c>
    </row>
    <row r="85" ht="72.5" customHeight="1" s="49">
      <c r="A85" s="32" t="inlineStr">
        <is>
          <t>A-081</t>
        </is>
      </c>
      <c r="B85" s="32" t="inlineStr">
        <is>
          <t>Accuracy prompt category</t>
        </is>
      </c>
      <c r="C85" s="32" t="inlineStr">
        <is>
          <t>1</t>
        </is>
      </c>
      <c r="D85" s="32" t="inlineStr">
        <is>
          <t>Accuracy prompt audit category A41: UNNATURAL ADVERB-VERB PAIRINGS (ぜひ/ただ + bare declarative)</t>
        </is>
      </c>
      <c r="E85" s="32" t="inlineStr">
        <is>
          <t>1. Reference: prompts/Japanese language Accuracy check.txt A41
2. Run the category's manual sample / CI check
3. Cross-reference any JA-NN invariant noted below
4. Report findings as candidate bug rows</t>
        </is>
      </c>
      <c r="F85" s="32" t="inlineStr">
        <is>
          <t>0 findings against current corpus snapshot OR documented false-positive class (see FP-NN catalog in same prompt).</t>
        </is>
      </c>
      <c r="G85" s="32" t="inlineStr">
        <is>
          <t>P3</t>
        </is>
      </c>
      <c r="H85" s="32" t="inlineStr">
        <is>
          <t>Major</t>
        </is>
      </c>
      <c r="I85" s="32" t="inlineStr">
        <is>
          <t>Manual</t>
        </is>
      </c>
      <c r="J85" s="32" t="inlineStr">
        <is>
          <t>Cross-Artifact Sync 2026-05-17: per Rule 5 prompt → test-scenario sync. Source: prompts/Japanese language Accuracy check.txt A41. Hint: Sample 50 + FP-15.</t>
        </is>
      </c>
      <c r="K85" s="32" t="inlineStr">
        <is>
          <t>30m</t>
        </is>
      </c>
      <c r="L85" s="32" t="inlineStr">
        <is>
          <t>Native-teacher reviewer</t>
        </is>
      </c>
      <c r="M85" s="32" t="inlineStr">
        <is>
          <t>prompts/Japanese language Accuracy check.txt</t>
        </is>
      </c>
      <c r="N85" s="70" t="n">
        <v>46159</v>
      </c>
      <c r="O85" s="32" t="inlineStr">
        <is>
          <t>PASS</t>
        </is>
      </c>
      <c r="P85" s="32" t="n"/>
      <c r="Q85" s="32" t="inlineStr">
        <is>
          <t>A41</t>
        </is>
      </c>
      <c r="R85" s="32" t="inlineStr">
        <is>
          <t>0%</t>
        </is>
      </c>
    </row>
    <row r="86" ht="72.5" customHeight="1" s="49">
      <c r="A86" s="32" t="inlineStr">
        <is>
          <t>A-082</t>
        </is>
      </c>
      <c r="B86" s="32" t="inlineStr">
        <is>
          <t>Accuracy prompt category</t>
        </is>
      </c>
      <c r="C86" s="32" t="inlineStr">
        <is>
          <t>1</t>
        </is>
      </c>
      <c r="D86" s="32" t="inlineStr">
        <is>
          <t>Accuracy prompt audit category A42: POTENTIAL/EXISTENTIAL VERB + VOLITIONAL つもり MISMATCH</t>
        </is>
      </c>
      <c r="E86" s="32" t="inlineStr">
        <is>
          <t>1. Reference: prompts/Japanese language Accuracy check.txt A42
2. Run the category's manual sample / CI check
3. Cross-reference any JA-NN invariant noted below
4. Report findings as candidate bug rows</t>
        </is>
      </c>
      <c r="F86" s="32" t="inlineStr">
        <is>
          <t>0 findings against current corpus snapshot OR documented false-positive class (see FP-NN catalog in same prompt).</t>
        </is>
      </c>
      <c r="G86" s="32" t="inlineStr">
        <is>
          <t>P3</t>
        </is>
      </c>
      <c r="H86" s="32" t="inlineStr">
        <is>
          <t>Major</t>
        </is>
      </c>
      <c r="I86" s="32" t="inlineStr">
        <is>
          <t>Manual</t>
        </is>
      </c>
      <c r="J86" s="32" t="inlineStr">
        <is>
          <t>Cross-Artifact Sync 2026-05-17: per Rule 5 prompt → test-scenario sync. Source: prompts/Japanese language Accuracy check.txt A42. Hint: Sample grammar patterns using つもり.</t>
        </is>
      </c>
      <c r="K86" s="32" t="inlineStr">
        <is>
          <t>30m</t>
        </is>
      </c>
      <c r="L86" s="32" t="inlineStr">
        <is>
          <t>Native-teacher reviewer</t>
        </is>
      </c>
      <c r="M86" s="32" t="inlineStr">
        <is>
          <t>prompts/Japanese language Accuracy check.txt</t>
        </is>
      </c>
      <c r="N86" s="70" t="n">
        <v>46159</v>
      </c>
      <c r="O86" s="32" t="inlineStr">
        <is>
          <t>PASS</t>
        </is>
      </c>
      <c r="P86" s="32" t="n"/>
      <c r="Q86" s="32" t="inlineStr">
        <is>
          <t>A42</t>
        </is>
      </c>
      <c r="R86" s="32" t="inlineStr">
        <is>
          <t>0%</t>
        </is>
      </c>
    </row>
    <row r="87" ht="72.5" customHeight="1" s="49">
      <c r="A87" s="32" t="inlineStr">
        <is>
          <t>A-083</t>
        </is>
      </c>
      <c r="B87" s="32" t="inlineStr">
        <is>
          <t>Accuracy prompt category</t>
        </is>
      </c>
      <c r="C87" s="32" t="inlineStr">
        <is>
          <t>1</t>
        </is>
      </c>
      <c r="D87" s="32" t="inlineStr">
        <is>
          <t>Accuracy prompt audit category A43: VOCAB VERB-TEMPLATE LEAKS: '毎日 X ことが できます'</t>
        </is>
      </c>
      <c r="E87" s="32" t="inlineStr">
        <is>
          <t>1. Reference: prompts/Japanese language Accuracy check.txt A43
2. Run the category's manual sample / CI check
3. Cross-reference any JA-NN invariant noted below
4. Report findings as candidate bug rows</t>
        </is>
      </c>
      <c r="F87" s="32" t="inlineStr">
        <is>
          <t>0 findings against current corpus snapshot OR documented false-positive class (see FP-NN catalog in same prompt).</t>
        </is>
      </c>
      <c r="G87" s="32" t="inlineStr">
        <is>
          <t>P3</t>
        </is>
      </c>
      <c r="H87" s="32" t="inlineStr">
        <is>
          <t>Major</t>
        </is>
      </c>
      <c r="I87" s="32" t="inlineStr">
        <is>
          <t>Manual</t>
        </is>
      </c>
      <c r="J87" s="32" t="inlineStr">
        <is>
          <t>Cross-Artifact Sync 2026-05-17: per Rule 5 prompt → test-scenario sync. Source: prompts/Japanese language Accuracy check.txt A43. Hint: JA-83 lock; manual sample.</t>
        </is>
      </c>
      <c r="K87" s="32" t="inlineStr">
        <is>
          <t>30m</t>
        </is>
      </c>
      <c r="L87" s="32" t="inlineStr">
        <is>
          <t>Native-teacher reviewer</t>
        </is>
      </c>
      <c r="M87" s="32" t="inlineStr">
        <is>
          <t>prompts/Japanese language Accuracy check.txt</t>
        </is>
      </c>
      <c r="N87" s="70" t="n">
        <v>46159</v>
      </c>
      <c r="O87" s="32" t="inlineStr">
        <is>
          <t>PASS</t>
        </is>
      </c>
      <c r="P87" s="32" t="n"/>
      <c r="Q87" s="32" t="inlineStr">
        <is>
          <t>A43</t>
        </is>
      </c>
      <c r="R87" s="32" t="inlineStr">
        <is>
          <t>0%</t>
        </is>
      </c>
    </row>
    <row r="88" ht="87" customHeight="1" s="49">
      <c r="A88" s="32" t="inlineStr">
        <is>
          <t>A-084</t>
        </is>
      </c>
      <c r="B88" s="32" t="inlineStr">
        <is>
          <t>Accuracy prompt category</t>
        </is>
      </c>
      <c r="C88" s="32" t="inlineStr">
        <is>
          <t>1</t>
        </is>
      </c>
      <c r="D88" s="32" t="inlineStr">
        <is>
          <t>Accuracy prompt audit category A44: MULTI-TRANSLATION EN: 'X / Y' pick-one</t>
        </is>
      </c>
      <c r="E88" s="32" t="inlineStr">
        <is>
          <t>1. Reference: prompts/Japanese language Accuracy check.txt A44
2. Run the category's manual sample / CI check
3. Cross-reference any JA-NN invariant noted below
4. Report findings as candidate bug rows</t>
        </is>
      </c>
      <c r="F88" s="32" t="inlineStr">
        <is>
          <t>0 findings against current corpus snapshot OR documented false-positive class (see FP-NN catalog in same prompt).</t>
        </is>
      </c>
      <c r="G88" s="32" t="inlineStr">
        <is>
          <t>P3</t>
        </is>
      </c>
      <c r="H88" s="32" t="inlineStr">
        <is>
          <t>Major</t>
        </is>
      </c>
      <c r="I88" s="32" t="inlineStr">
        <is>
          <t>Manual</t>
        </is>
      </c>
      <c r="J88" s="32" t="inlineStr">
        <is>
          <t>Cross-Artifact Sync 2026-05-17: per Rule 5 prompt → test-scenario sync. Source: prompts/Japanese language Accuracy check.txt A44. Hint: Sample 50 EN translations for slash-separated alternatives.</t>
        </is>
      </c>
      <c r="K88" s="32" t="inlineStr">
        <is>
          <t>30m</t>
        </is>
      </c>
      <c r="L88" s="32" t="inlineStr">
        <is>
          <t>Native-teacher reviewer</t>
        </is>
      </c>
      <c r="M88" s="32" t="inlineStr">
        <is>
          <t>prompts/Japanese language Accuracy check.txt</t>
        </is>
      </c>
      <c r="N88" s="70" t="n">
        <v>46159</v>
      </c>
      <c r="O88" s="32" t="inlineStr">
        <is>
          <t>PASS</t>
        </is>
      </c>
      <c r="P88" s="32" t="n"/>
      <c r="Q88" s="32" t="inlineStr">
        <is>
          <t>A44</t>
        </is>
      </c>
      <c r="R88" s="32" t="inlineStr">
        <is>
          <t>0%</t>
        </is>
      </c>
    </row>
    <row r="89" ht="87" customHeight="1" s="49">
      <c r="A89" s="32" t="inlineStr">
        <is>
          <t>A-085</t>
        </is>
      </c>
      <c r="B89" s="32" t="inlineStr">
        <is>
          <t>Accuracy prompt category</t>
        </is>
      </c>
      <c r="C89" s="32" t="inlineStr">
        <is>
          <t>1</t>
        </is>
      </c>
      <c r="D89" s="32" t="inlineStr">
        <is>
          <t>Accuracy prompt audit category A45: TEMPLATE 'あの Xは どこですか。' IN GRAMMAR.JSON</t>
        </is>
      </c>
      <c r="E89" s="32" t="inlineStr">
        <is>
          <t>1. Reference: prompts/Japanese language Accuracy check.txt A45
2. Run the category's manual sample / CI check
3. Cross-reference any JA-NN invariant noted below
4. Report findings as candidate bug rows</t>
        </is>
      </c>
      <c r="F89" s="32" t="inlineStr">
        <is>
          <t>0 findings against current corpus snapshot OR documented false-positive class (see FP-NN catalog in same prompt).</t>
        </is>
      </c>
      <c r="G89" s="32" t="inlineStr">
        <is>
          <t>P3</t>
        </is>
      </c>
      <c r="H89" s="32" t="inlineStr">
        <is>
          <t>Major</t>
        </is>
      </c>
      <c r="I89" s="32" t="inlineStr">
        <is>
          <t>Manual</t>
        </is>
      </c>
      <c r="J89" s="32" t="inlineStr">
        <is>
          <t>Cross-Artifact Sync 2026-05-17: per Rule 5 prompt → test-scenario sync. Source: prompts/Japanese language Accuracy check.txt A45. Hint: JA-83 also applies to grammar.json examples.</t>
        </is>
      </c>
      <c r="K89" s="32" t="inlineStr">
        <is>
          <t>30m</t>
        </is>
      </c>
      <c r="L89" s="32" t="inlineStr">
        <is>
          <t>Native-teacher reviewer</t>
        </is>
      </c>
      <c r="M89" s="32" t="inlineStr">
        <is>
          <t>prompts/Japanese language Accuracy check.txt</t>
        </is>
      </c>
      <c r="N89" s="70" t="n">
        <v>46159</v>
      </c>
      <c r="O89" s="32" t="inlineStr">
        <is>
          <t>PASS</t>
        </is>
      </c>
      <c r="P89" s="32" t="n"/>
      <c r="Q89" s="32" t="inlineStr">
        <is>
          <t>A45</t>
        </is>
      </c>
      <c r="R89" s="32" t="inlineStr">
        <is>
          <t>0%</t>
        </is>
      </c>
    </row>
    <row r="90" ht="87" customHeight="1" s="49">
      <c r="A90" s="32" t="inlineStr">
        <is>
          <t>A-086</t>
        </is>
      </c>
      <c r="B90" s="32" t="inlineStr">
        <is>
          <t>Accuracy prompt category</t>
        </is>
      </c>
      <c r="C90" s="32" t="inlineStr">
        <is>
          <t>1</t>
        </is>
      </c>
      <c r="D90" s="32" t="inlineStr">
        <is>
          <t>Accuracy prompt audit category A46: PITCH ACCENT VALIDATED AGAINST EXTERNAL REFERENCE</t>
        </is>
      </c>
      <c r="E90" s="32" t="inlineStr">
        <is>
          <t>1. Reference: prompts/Japanese language Accuracy check.txt A46
2. Run the category's manual sample / CI check
3. Cross-reference any JA-NN invariant noted below
4. Report findings as candidate bug rows</t>
        </is>
      </c>
      <c r="F90" s="32" t="inlineStr">
        <is>
          <t>0 findings against current corpus snapshot OR documented false-positive class (see FP-NN catalog in same prompt).</t>
        </is>
      </c>
      <c r="G90" s="32" t="inlineStr">
        <is>
          <t>P3</t>
        </is>
      </c>
      <c r="H90" s="32" t="inlineStr">
        <is>
          <t>Major</t>
        </is>
      </c>
      <c r="I90" s="32" t="inlineStr">
        <is>
          <t>Manual</t>
        </is>
      </c>
      <c r="J90" s="32" t="inlineStr">
        <is>
          <t>Cross-Artifact Sync 2026-05-17: per Rule 5 prompt → test-scenario sync. Source: prompts/Japanese language Accuracy check.txt A46. Hint: JA-90 vs kanjium; native auditory review for unverified 43.</t>
        </is>
      </c>
      <c r="K90" s="32" t="inlineStr">
        <is>
          <t>30m</t>
        </is>
      </c>
      <c r="L90" s="32" t="inlineStr">
        <is>
          <t>Native-teacher reviewer</t>
        </is>
      </c>
      <c r="M90" s="32" t="inlineStr">
        <is>
          <t>prompts/Japanese language Accuracy check.txt</t>
        </is>
      </c>
      <c r="N90" s="70" t="n">
        <v>46159</v>
      </c>
      <c r="O90" s="32" t="inlineStr">
        <is>
          <t>PASS</t>
        </is>
      </c>
      <c r="P90" s="32" t="n"/>
      <c r="Q90" s="32" t="inlineStr">
        <is>
          <t>A46</t>
        </is>
      </c>
      <c r="R90" s="32" t="inlineStr">
        <is>
          <t>0%</t>
        </is>
      </c>
    </row>
    <row r="91" ht="87" customHeight="1" s="49">
      <c r="A91" s="32" t="inlineStr">
        <is>
          <t>A-087</t>
        </is>
      </c>
      <c r="B91" s="32" t="inlineStr">
        <is>
          <t>Accuracy prompt category</t>
        </is>
      </c>
      <c r="C91" s="32" t="inlineStr">
        <is>
          <t>1</t>
        </is>
      </c>
      <c r="D91" s="32" t="inlineStr">
        <is>
          <t>Accuracy prompt audit category A47: AUDIO RENDERER NORMALIZATION GAP — bunsetsu-space particle drop</t>
        </is>
      </c>
      <c r="E91" s="32" t="inlineStr">
        <is>
          <t>1. Reference: prompts/Japanese language Accuracy check.txt A47
2. Run the category's manual sample / CI check
3. Cross-reference any JA-NN invariant noted below
4. Report findings as candidate bug rows</t>
        </is>
      </c>
      <c r="F91" s="32" t="inlineStr">
        <is>
          <t>0 findings against current corpus snapshot OR documented false-positive class (see FP-NN catalog in same prompt).</t>
        </is>
      </c>
      <c r="G91" s="32" t="inlineStr">
        <is>
          <t>P3</t>
        </is>
      </c>
      <c r="H91" s="32" t="inlineStr">
        <is>
          <t>Major</t>
        </is>
      </c>
      <c r="I91" s="32" t="inlineStr">
        <is>
          <t>Manual</t>
        </is>
      </c>
      <c r="J91" s="32" t="inlineStr">
        <is>
          <t>Cross-Artifact Sync 2026-05-17: per Rule 5 prompt → test-scenario sync. Source: prompts/Japanese language Accuracy check.txt A47. Hint: F.12 lesson; tested via Phase-0 audio re-render diff.</t>
        </is>
      </c>
      <c r="K91" s="32" t="inlineStr">
        <is>
          <t>30m</t>
        </is>
      </c>
      <c r="L91" s="32" t="inlineStr">
        <is>
          <t>Native-teacher reviewer</t>
        </is>
      </c>
      <c r="M91" s="32" t="inlineStr">
        <is>
          <t>prompts/Japanese language Accuracy check.txt</t>
        </is>
      </c>
      <c r="N91" s="70" t="n">
        <v>46159</v>
      </c>
      <c r="O91" s="32" t="inlineStr">
        <is>
          <t>PASS</t>
        </is>
      </c>
      <c r="P91" s="32" t="n"/>
      <c r="Q91" s="32" t="inlineStr">
        <is>
          <t>A47</t>
        </is>
      </c>
      <c r="R91" s="32" t="inlineStr">
        <is>
          <t>0%</t>
        </is>
      </c>
    </row>
    <row r="92" ht="72.5" customHeight="1" s="49">
      <c r="A92" s="32" t="inlineStr">
        <is>
          <t>A-088</t>
        </is>
      </c>
      <c r="B92" s="32" t="inlineStr">
        <is>
          <t>Accuracy prompt category</t>
        </is>
      </c>
      <c r="C92" s="32" t="inlineStr">
        <is>
          <t>1</t>
        </is>
      </c>
      <c r="D92" s="32" t="inlineStr">
        <is>
          <t>Accuracy prompt audit category A48: VERB-CLASS PARTICLE DISAMBIGUATION IN wcp / common_mistakes</t>
        </is>
      </c>
      <c r="E92" s="32" t="inlineStr">
        <is>
          <t>1. Reference: prompts/Japanese language Accuracy check.txt A48
2. Run the category's manual sample / CI check
3. Cross-reference any JA-NN invariant noted below
4. Report findings as candidate bug rows</t>
        </is>
      </c>
      <c r="F92" s="32" t="inlineStr">
        <is>
          <t>0 findings against current corpus snapshot OR documented false-positive class (see FP-NN catalog in same prompt).</t>
        </is>
      </c>
      <c r="G92" s="32" t="inlineStr">
        <is>
          <t>P3</t>
        </is>
      </c>
      <c r="H92" s="32" t="inlineStr">
        <is>
          <t>Major</t>
        </is>
      </c>
      <c r="I92" s="32" t="inlineStr">
        <is>
          <t>Manual</t>
        </is>
      </c>
      <c r="J92" s="32" t="inlineStr">
        <is>
          <t>Cross-Artifact Sync 2026-05-17: per Rule 5 prompt → test-scenario sync. Source: prompts/Japanese language Accuracy check.txt A48. Hint: JA-95 (planned); BUG-002 lineage.</t>
        </is>
      </c>
      <c r="K92" s="32" t="inlineStr">
        <is>
          <t>30m</t>
        </is>
      </c>
      <c r="L92" s="32" t="inlineStr">
        <is>
          <t>Native-teacher reviewer</t>
        </is>
      </c>
      <c r="M92" s="32" t="inlineStr">
        <is>
          <t>prompts/Japanese language Accuracy check.txt</t>
        </is>
      </c>
      <c r="N92" s="70" t="n">
        <v>46159</v>
      </c>
      <c r="O92" s="32" t="inlineStr">
        <is>
          <t>PASS</t>
        </is>
      </c>
      <c r="P92" s="32" t="n"/>
      <c r="Q92" s="32" t="inlineStr">
        <is>
          <t>A48</t>
        </is>
      </c>
      <c r="R92" s="32" t="inlineStr">
        <is>
          <t>0%</t>
        </is>
      </c>
    </row>
    <row r="93" ht="72.5" customHeight="1" s="49">
      <c r="A93" s="32" t="inlineStr">
        <is>
          <t>A-089</t>
        </is>
      </c>
      <c r="B93" s="32" t="inlineStr">
        <is>
          <t>Accuracy prompt category</t>
        </is>
      </c>
      <c r="C93" s="32" t="inlineStr">
        <is>
          <t>1</t>
        </is>
      </c>
      <c r="D93" s="32" t="inlineStr">
        <is>
          <t>Accuracy prompt audit category A49: CROSS-PATTERN EXPLANATION / TRANSLATION CONTAMINATION</t>
        </is>
      </c>
      <c r="E93" s="32" t="inlineStr">
        <is>
          <t>1. Reference: prompts/Japanese language Accuracy check.txt A49
2. Run the category's manual sample / CI check
3. Cross-reference any JA-NN invariant noted below
4. Report findings as candidate bug rows</t>
        </is>
      </c>
      <c r="F93" s="32" t="inlineStr">
        <is>
          <t>0 findings against current corpus snapshot OR documented false-positive class (see FP-NN catalog in same prompt).</t>
        </is>
      </c>
      <c r="G93" s="32" t="inlineStr">
        <is>
          <t>P3</t>
        </is>
      </c>
      <c r="H93" s="32" t="inlineStr">
        <is>
          <t>Major</t>
        </is>
      </c>
      <c r="I93" s="32" t="inlineStr">
        <is>
          <t>Manual</t>
        </is>
      </c>
      <c r="J93" s="32" t="inlineStr">
        <is>
          <t>Cross-Artifact Sync 2026-05-17: per Rule 5 prompt → test-scenario sync. Source: prompts/Japanese language Accuracy check.txt A49. Hint: JA-91 (planned); BUG-003/005 lineage.</t>
        </is>
      </c>
      <c r="K93" s="32" t="inlineStr">
        <is>
          <t>30m</t>
        </is>
      </c>
      <c r="L93" s="32" t="inlineStr">
        <is>
          <t>Native-teacher reviewer</t>
        </is>
      </c>
      <c r="M93" s="32" t="inlineStr">
        <is>
          <t>prompts/Japanese language Accuracy check.txt</t>
        </is>
      </c>
      <c r="N93" s="70" t="n">
        <v>46159</v>
      </c>
      <c r="O93" s="32" t="inlineStr">
        <is>
          <t>PASS</t>
        </is>
      </c>
      <c r="P93" s="32" t="n"/>
      <c r="Q93" s="32" t="inlineStr">
        <is>
          <t>A49</t>
        </is>
      </c>
      <c r="R93" s="32" t="inlineStr">
        <is>
          <t>0%</t>
        </is>
      </c>
    </row>
    <row r="94" ht="72.5" customHeight="1" s="49">
      <c r="A94" s="32" t="inlineStr">
        <is>
          <t>A-090</t>
        </is>
      </c>
      <c r="B94" s="32" t="inlineStr">
        <is>
          <t>Accuracy prompt category</t>
        </is>
      </c>
      <c r="C94" s="32" t="inlineStr">
        <is>
          <t>1</t>
        </is>
      </c>
      <c r="D94" s="32" t="inlineStr">
        <is>
          <t>Accuracy prompt audit category A50: MORA-COUNT SYSTEMATIC ERROR IN pitch_marks</t>
        </is>
      </c>
      <c r="E94" s="32" t="inlineStr">
        <is>
          <t>1. Reference: prompts/Japanese language Accuracy check.txt A50
2. Run the category's manual sample / CI check
3. Cross-reference any JA-NN invariant noted below
4. Report findings as candidate bug rows</t>
        </is>
      </c>
      <c r="F94" s="32" t="inlineStr">
        <is>
          <t>0 findings against current corpus snapshot OR documented false-positive class (see FP-NN catalog in same prompt).</t>
        </is>
      </c>
      <c r="G94" s="32" t="inlineStr">
        <is>
          <t>P3</t>
        </is>
      </c>
      <c r="H94" s="32" t="inlineStr">
        <is>
          <t>Major</t>
        </is>
      </c>
      <c r="I94" s="32" t="inlineStr">
        <is>
          <t>Manual</t>
        </is>
      </c>
      <c r="J94" s="32" t="inlineStr">
        <is>
          <t>Cross-Artifact Sync 2026-05-17: per Rule 5 prompt → test-scenario sync. Source: prompts/Japanese language Accuracy check.txt A50. Hint: JA-93 (planned); BUG-004 lineage.</t>
        </is>
      </c>
      <c r="K94" s="32" t="inlineStr">
        <is>
          <t>30m</t>
        </is>
      </c>
      <c r="L94" s="32" t="inlineStr">
        <is>
          <t>Native-teacher reviewer</t>
        </is>
      </c>
      <c r="M94" s="32" t="inlineStr">
        <is>
          <t>prompts/Japanese language Accuracy check.txt</t>
        </is>
      </c>
      <c r="N94" s="70" t="n">
        <v>46159</v>
      </c>
      <c r="O94" s="32" t="inlineStr">
        <is>
          <t>PASS</t>
        </is>
      </c>
      <c r="P94" s="32" t="n"/>
      <c r="Q94" s="32" t="inlineStr">
        <is>
          <t>A50</t>
        </is>
      </c>
      <c r="R94" s="32" t="inlineStr">
        <is>
          <t>0%</t>
        </is>
      </c>
    </row>
    <row r="95" ht="72.5" customHeight="1" s="49">
      <c r="A95" s="32" t="inlineStr">
        <is>
          <t>A-091</t>
        </is>
      </c>
      <c r="B95" s="32" t="inlineStr">
        <is>
          <t>Accuracy prompt category</t>
        </is>
      </c>
      <c r="C95" s="32" t="inlineStr">
        <is>
          <t>1</t>
        </is>
      </c>
      <c r="D95" s="32" t="inlineStr">
        <is>
          <t>Accuracy prompt audit category A51: PATTERN-INSTANCE CONTAMINATION</t>
        </is>
      </c>
      <c r="E95" s="32" t="inlineStr">
        <is>
          <t>1. Reference: prompts/Japanese language Accuracy check.txt A51
2. Run the category's manual sample / CI check
3. Cross-reference any JA-NN invariant noted below
4. Report findings as candidate bug rows</t>
        </is>
      </c>
      <c r="F95" s="32" t="inlineStr">
        <is>
          <t>0 findings against current corpus snapshot OR documented false-positive class (see FP-NN catalog in same prompt).</t>
        </is>
      </c>
      <c r="G95" s="32" t="inlineStr">
        <is>
          <t>P3</t>
        </is>
      </c>
      <c r="H95" s="32" t="inlineStr">
        <is>
          <t>Major</t>
        </is>
      </c>
      <c r="I95" s="32" t="inlineStr">
        <is>
          <t>Manual</t>
        </is>
      </c>
      <c r="J95" s="32" t="inlineStr">
        <is>
          <t>Cross-Artifact Sync 2026-05-17: per Rule 5 prompt → test-scenario sync. Source: prompts/Japanese language Accuracy check.txt A51. Hint: Manual review; BUG-006 lineage.</t>
        </is>
      </c>
      <c r="K95" s="32" t="inlineStr">
        <is>
          <t>30m</t>
        </is>
      </c>
      <c r="L95" s="32" t="inlineStr">
        <is>
          <t>Native-teacher reviewer</t>
        </is>
      </c>
      <c r="M95" s="32" t="inlineStr">
        <is>
          <t>prompts/Japanese language Accuracy check.txt</t>
        </is>
      </c>
      <c r="N95" s="70" t="n">
        <v>46159</v>
      </c>
      <c r="O95" s="32" t="inlineStr">
        <is>
          <t>PASS</t>
        </is>
      </c>
      <c r="P95" s="32" t="n"/>
      <c r="Q95" s="32" t="inlineStr">
        <is>
          <t>A51</t>
        </is>
      </c>
      <c r="R95" s="32" t="inlineStr">
        <is>
          <t>0%</t>
        </is>
      </c>
    </row>
    <row r="96" ht="87" customHeight="1" s="49">
      <c r="A96" s="32" t="inlineStr">
        <is>
          <t>A-092</t>
        </is>
      </c>
      <c r="B96" s="32" t="inlineStr">
        <is>
          <t>Accuracy prompt category</t>
        </is>
      </c>
      <c r="C96" s="32" t="inlineStr">
        <is>
          <t>1</t>
        </is>
      </c>
      <c r="D96" s="32" t="inlineStr">
        <is>
          <t>Accuracy prompt audit category A52: RIGHT/WRONG FRAMING FOR GRAMMATICALLY-VALID ALTERNATIVES</t>
        </is>
      </c>
      <c r="E96" s="32" t="inlineStr">
        <is>
          <t>1. Reference: prompts/Japanese language Accuracy check.txt A52
2. Run the category's manual sample / CI check
3. Cross-reference any JA-NN invariant noted below
4. Report findings as candidate bug rows</t>
        </is>
      </c>
      <c r="F96" s="32" t="inlineStr">
        <is>
          <t>0 findings against current corpus snapshot OR documented false-positive class (see FP-NN catalog in same prompt).</t>
        </is>
      </c>
      <c r="G96" s="32" t="inlineStr">
        <is>
          <t>P3</t>
        </is>
      </c>
      <c r="H96" s="32" t="inlineStr">
        <is>
          <t>Major</t>
        </is>
      </c>
      <c r="I96" s="32" t="inlineStr">
        <is>
          <t>Manual</t>
        </is>
      </c>
      <c r="J96" s="32" t="inlineStr">
        <is>
          <t>Cross-Artifact Sync 2026-05-17: per Rule 5 prompt → test-scenario sync. Source: prompts/Japanese language Accuracy check.txt A52. Hint: Manual review; BUG-007 lineage; register-variant framing.</t>
        </is>
      </c>
      <c r="K96" s="32" t="inlineStr">
        <is>
          <t>30m</t>
        </is>
      </c>
      <c r="L96" s="32" t="inlineStr">
        <is>
          <t>Native-teacher reviewer</t>
        </is>
      </c>
      <c r="M96" s="32" t="inlineStr">
        <is>
          <t>prompts/Japanese language Accuracy check.txt</t>
        </is>
      </c>
      <c r="N96" s="70" t="n">
        <v>46159</v>
      </c>
      <c r="O96" s="32" t="inlineStr">
        <is>
          <t>PASS</t>
        </is>
      </c>
      <c r="P96" s="32" t="n"/>
      <c r="Q96" s="32" t="inlineStr">
        <is>
          <t>A52</t>
        </is>
      </c>
      <c r="R96" s="32" t="inlineStr">
        <is>
          <t>0%</t>
        </is>
      </c>
    </row>
    <row r="97" ht="72.5" customHeight="1" s="49">
      <c r="A97" s="32" t="inlineStr">
        <is>
          <t>A-093</t>
        </is>
      </c>
      <c r="B97" s="32" t="inlineStr">
        <is>
          <t>Accuracy prompt category</t>
        </is>
      </c>
      <c r="C97" s="32" t="inlineStr">
        <is>
          <t>1</t>
        </is>
      </c>
      <c r="D97" s="32" t="inlineStr">
        <is>
          <t>Accuracy prompt audit category A54: PATTERN-PARTICLE MISMATCH IN CANONICAL EXAMPLES</t>
        </is>
      </c>
      <c r="E97" s="32" t="inlineStr">
        <is>
          <t>1. Reference: prompts/Japanese language Accuracy check.txt A54
2. Run the category's manual sample / CI check
3. Cross-reference any JA-NN invariant noted below
4. Report findings as candidate bug rows</t>
        </is>
      </c>
      <c r="F97" s="32" t="inlineStr">
        <is>
          <t>0 findings against current corpus snapshot OR documented false-positive class (see FP-NN catalog in same prompt).</t>
        </is>
      </c>
      <c r="G97" s="32" t="inlineStr">
        <is>
          <t>P3</t>
        </is>
      </c>
      <c r="H97" s="32" t="inlineStr">
        <is>
          <t>Major</t>
        </is>
      </c>
      <c r="I97" s="32" t="inlineStr">
        <is>
          <t>Manual</t>
        </is>
      </c>
      <c r="J97" s="32" t="inlineStr">
        <is>
          <t>Cross-Artifact Sync 2026-05-17: per Rule 5 prompt → test-scenario sync. Source: prompts/Japanese language Accuracy check.txt A54. Hint: JA-95 (planned); BUG-009 lineage.</t>
        </is>
      </c>
      <c r="K97" s="32" t="inlineStr">
        <is>
          <t>30m</t>
        </is>
      </c>
      <c r="L97" s="32" t="inlineStr">
        <is>
          <t>Native-teacher reviewer</t>
        </is>
      </c>
      <c r="M97" s="32" t="inlineStr">
        <is>
          <t>prompts/Japanese language Accuracy check.txt</t>
        </is>
      </c>
      <c r="N97" s="70" t="n">
        <v>46159</v>
      </c>
      <c r="O97" s="32" t="inlineStr">
        <is>
          <t>PASS</t>
        </is>
      </c>
      <c r="P97" s="32" t="n"/>
      <c r="Q97" s="32" t="inlineStr">
        <is>
          <t>A54</t>
        </is>
      </c>
      <c r="R97" s="32" t="inlineStr">
        <is>
          <t>0%</t>
        </is>
      </c>
    </row>
    <row r="98" ht="72.5" customHeight="1" s="49">
      <c r="A98" s="32" t="inlineStr">
        <is>
          <t>A-094</t>
        </is>
      </c>
      <c r="B98" s="32" t="inlineStr">
        <is>
          <t>Accuracy prompt category</t>
        </is>
      </c>
      <c r="C98" s="32" t="inlineStr">
        <is>
          <t>1</t>
        </is>
      </c>
      <c r="D98" s="32" t="inlineStr">
        <is>
          <t>Accuracy prompt audit category A55: MORA-COUNT, PATTERN-MARKER, AND PARTICLE-ALIGNMENT CI INVARIANTS</t>
        </is>
      </c>
      <c r="E98" s="32" t="inlineStr">
        <is>
          <t>1. Reference: prompts/Japanese language Accuracy check.txt A55
2. Run the category's manual sample / CI check
3. Cross-reference any JA-NN invariant noted below
4. Report findings as candidate bug rows</t>
        </is>
      </c>
      <c r="F98" s="32" t="inlineStr">
        <is>
          <t>0 findings against current corpus snapshot OR documented false-positive class (see FP-NN catalog in same prompt).</t>
        </is>
      </c>
      <c r="G98" s="32" t="inlineStr">
        <is>
          <t>P3</t>
        </is>
      </c>
      <c r="H98" s="32" t="inlineStr">
        <is>
          <t>Major</t>
        </is>
      </c>
      <c r="I98" s="32" t="inlineStr">
        <is>
          <t>Manual</t>
        </is>
      </c>
      <c r="J98" s="32" t="inlineStr">
        <is>
          <t>Cross-Artifact Sync 2026-05-17: per Rule 5 prompt → test-scenario sync. Source: prompts/Japanese language Accuracy check.txt A55. Hint: JA-93/94/95 trio (planned wiring).</t>
        </is>
      </c>
      <c r="K98" s="32" t="inlineStr">
        <is>
          <t>30m</t>
        </is>
      </c>
      <c r="L98" s="32" t="inlineStr">
        <is>
          <t>Native-teacher reviewer</t>
        </is>
      </c>
      <c r="M98" s="32" t="inlineStr">
        <is>
          <t>prompts/Japanese language Accuracy check.txt</t>
        </is>
      </c>
      <c r="N98" s="70" t="n">
        <v>46159</v>
      </c>
      <c r="O98" s="32" t="inlineStr">
        <is>
          <t>PASS</t>
        </is>
      </c>
      <c r="P98" s="32" t="n"/>
      <c r="Q98" s="32" t="inlineStr">
        <is>
          <t>A55</t>
        </is>
      </c>
      <c r="R98" s="32" t="inlineStr">
        <is>
          <t>0%</t>
        </is>
      </c>
    </row>
    <row r="99" ht="87" customHeight="1" s="49">
      <c r="A99" s="32" t="inlineStr">
        <is>
          <t>A-095</t>
        </is>
      </c>
      <c r="B99" s="32" t="inlineStr">
        <is>
          <t>Accuracy prompt category</t>
        </is>
      </c>
      <c r="C99" s="32" t="inlineStr">
        <is>
          <t>1</t>
        </is>
      </c>
      <c r="D99" s="32" t="inlineStr">
        <is>
          <t>Accuracy prompt audit category A56: STATIC-MIRROR COVERAGE (CRAWLABILITY) ACROSS ALL CONTENT SURFACES</t>
        </is>
      </c>
      <c r="E99" s="32" t="inlineStr">
        <is>
          <t>1. Reference: prompts/Japanese language Accuracy check.txt A56
2. Run the category's manual sample / CI check
3. Cross-reference any JA-NN invariant noted below
4. Report findings as candidate bug rows</t>
        </is>
      </c>
      <c r="F99" s="32" t="inlineStr">
        <is>
          <t>0 findings against current corpus snapshot OR documented false-positive class (see FP-NN catalog in same prompt).</t>
        </is>
      </c>
      <c r="G99" s="32" t="inlineStr">
        <is>
          <t>P3</t>
        </is>
      </c>
      <c r="H99" s="32" t="inlineStr">
        <is>
          <t>Major</t>
        </is>
      </c>
      <c r="I99" s="32" t="inlineStr">
        <is>
          <t>Manual</t>
        </is>
      </c>
      <c r="J99" s="32" t="inlineStr">
        <is>
          <t>Cross-Artifact Sync 2026-05-17: per Rule 5 prompt → test-scenario sync. Source: prompts/Japanese language Accuracy check.txt A56. Hint: Phase-0 static-mirror block; BUG-010 close-out.</t>
        </is>
      </c>
      <c r="K99" s="32" t="inlineStr">
        <is>
          <t>30m</t>
        </is>
      </c>
      <c r="L99" s="32" t="inlineStr">
        <is>
          <t>Native-teacher reviewer</t>
        </is>
      </c>
      <c r="M99" s="32" t="inlineStr">
        <is>
          <t>prompts/Japanese language Accuracy check.txt</t>
        </is>
      </c>
      <c r="N99" s="70" t="n">
        <v>46159</v>
      </c>
      <c r="O99" s="32" t="inlineStr">
        <is>
          <t>PASS</t>
        </is>
      </c>
      <c r="P99" s="32" t="n"/>
      <c r="Q99" s="32" t="inlineStr">
        <is>
          <t>A56</t>
        </is>
      </c>
      <c r="R99" s="32" t="inlineStr">
        <is>
          <t>0%</t>
        </is>
      </c>
    </row>
    <row r="100" ht="72.5" customHeight="1" s="49">
      <c r="A100" s="32" t="inlineStr">
        <is>
          <t>A-096</t>
        </is>
      </c>
      <c r="B100" s="32" t="inlineStr">
        <is>
          <t>Accuracy prompt category</t>
        </is>
      </c>
      <c r="C100" s="32" t="inlineStr">
        <is>
          <t>1</t>
        </is>
      </c>
      <c r="D100" s="32" t="inlineStr">
        <is>
          <t>Accuracy prompt audit category A58: PROVENANCE-LABEL DISAMBIGUATION (HUMAN vs AI REVIEW)</t>
        </is>
      </c>
      <c r="E100" s="32" t="inlineStr">
        <is>
          <t>1. Reference: prompts/Japanese language Accuracy check.txt A58
2. Run the category's manual sample / CI check
3. Cross-reference any JA-NN invariant noted below
4. Report findings as candidate bug rows</t>
        </is>
      </c>
      <c r="F100" s="32" t="inlineStr">
        <is>
          <t>0 findings against current corpus snapshot OR documented false-positive class (see FP-NN catalog in same prompt).</t>
        </is>
      </c>
      <c r="G100" s="32" t="inlineStr">
        <is>
          <t>P3</t>
        </is>
      </c>
      <c r="H100" s="32" t="inlineStr">
        <is>
          <t>Major</t>
        </is>
      </c>
      <c r="I100" s="32" t="inlineStr">
        <is>
          <t>Manual</t>
        </is>
      </c>
      <c r="J100" s="32" t="inlineStr">
        <is>
          <t>Cross-Artifact Sync 2026-05-17: per Rule 5 prompt → test-scenario sync. Source: prompts/Japanese language Accuracy check.txt A58. Hint: JA-35 closed-enum; BUG-012 lineage.</t>
        </is>
      </c>
      <c r="K100" s="32" t="inlineStr">
        <is>
          <t>30m</t>
        </is>
      </c>
      <c r="L100" s="32" t="inlineStr">
        <is>
          <t>Native-teacher reviewer</t>
        </is>
      </c>
      <c r="M100" s="32" t="inlineStr">
        <is>
          <t>prompts/Japanese language Accuracy check.txt</t>
        </is>
      </c>
      <c r="N100" s="70" t="n">
        <v>46159</v>
      </c>
      <c r="O100" s="32" t="inlineStr">
        <is>
          <t>PASS</t>
        </is>
      </c>
      <c r="P100" s="32" t="n"/>
      <c r="Q100" s="32" t="inlineStr">
        <is>
          <t>A58</t>
        </is>
      </c>
      <c r="R100" s="32" t="inlineStr">
        <is>
          <t>0%</t>
        </is>
      </c>
    </row>
    <row r="101" ht="72.5" customHeight="1" s="49">
      <c r="A101" s="32" t="inlineStr">
        <is>
          <t>A-097</t>
        </is>
      </c>
      <c r="B101" s="32" t="inlineStr">
        <is>
          <t>Accuracy prompt category</t>
        </is>
      </c>
      <c r="C101" s="32" t="inlineStr">
        <is>
          <t>1</t>
        </is>
      </c>
      <c r="D101" s="32" t="inlineStr">
        <is>
          <t>Accuracy prompt audit category A59: READING.JSON BATCH-DRIFT — 6 FIELD DIVERGENCES (BUG-041..046)</t>
        </is>
      </c>
      <c r="E101" s="32" t="inlineStr">
        <is>
          <t>1. Reference: prompts/Japanese language Accuracy check.txt A59
2. Run the category's manual sample / CI check
3. Cross-reference any JA-NN invariant noted below
4. Report findings as candidate bug rows</t>
        </is>
      </c>
      <c r="F101" s="32" t="inlineStr">
        <is>
          <t>0 findings against current corpus snapshot OR documented false-positive class (see FP-NN catalog in same prompt).</t>
        </is>
      </c>
      <c r="G101" s="32" t="inlineStr">
        <is>
          <t>P3</t>
        </is>
      </c>
      <c r="H101" s="32" t="inlineStr">
        <is>
          <t>Major</t>
        </is>
      </c>
      <c r="I101" s="32" t="inlineStr">
        <is>
          <t>Manual</t>
        </is>
      </c>
      <c r="J101" s="32" t="inlineStr">
        <is>
          <t>Cross-Artifact Sync 2026-05-17: per Rule 5 prompt → test-scenario sync. Source: prompts/Japanese language Accuracy check.txt A59. Hint: JA-104/105/106 lock; F.23 lessons.</t>
        </is>
      </c>
      <c r="K101" s="32" t="inlineStr">
        <is>
          <t>30m</t>
        </is>
      </c>
      <c r="L101" s="32" t="inlineStr">
        <is>
          <t>Native-teacher reviewer</t>
        </is>
      </c>
      <c r="M101" s="32" t="inlineStr">
        <is>
          <t>prompts/Japanese language Accuracy check.txt</t>
        </is>
      </c>
      <c r="N101" s="70" t="n">
        <v>46159</v>
      </c>
      <c r="O101" s="32" t="inlineStr">
        <is>
          <t>PASS</t>
        </is>
      </c>
      <c r="P101" s="32" t="n"/>
      <c r="Q101" s="32" t="inlineStr">
        <is>
          <t>A59</t>
        </is>
      </c>
      <c r="R101" s="32" t="inlineStr">
        <is>
          <t>0%</t>
        </is>
      </c>
    </row>
    <row r="102" ht="72.5" customHeight="1" s="49">
      <c r="A102" s="32" t="inlineStr">
        <is>
          <t>A-098</t>
        </is>
      </c>
      <c r="B102" s="32" t="inlineStr">
        <is>
          <t>Accuracy prompt category</t>
        </is>
      </c>
      <c r="C102" s="32" t="inlineStr">
        <is>
          <t>1</t>
        </is>
      </c>
      <c r="D102" s="32" t="inlineStr">
        <is>
          <t>Accuracy prompt audit category A60: LISTENING.JSON MIGRATION DRIFT — 7 FIELD DIVERGENCES (BUG-047..053)</t>
        </is>
      </c>
      <c r="E102" s="32" t="inlineStr">
        <is>
          <t>1. Reference: prompts/Japanese language Accuracy check.txt A60
2. Run the category's manual sample / CI check
3. Cross-reference any JA-NN invariant noted below
4. Report findings as candidate bug rows</t>
        </is>
      </c>
      <c r="F102" s="32" t="inlineStr">
        <is>
          <t>0 findings against current corpus snapshot OR documented false-positive class (see FP-NN catalog in same prompt).</t>
        </is>
      </c>
      <c r="G102" s="32" t="inlineStr">
        <is>
          <t>P3</t>
        </is>
      </c>
      <c r="H102" s="32" t="inlineStr">
        <is>
          <t>Major</t>
        </is>
      </c>
      <c r="I102" s="32" t="inlineStr">
        <is>
          <t>Manual</t>
        </is>
      </c>
      <c r="J102" s="32" t="inlineStr">
        <is>
          <t>Cross-Artifact Sync 2026-05-17: per Rule 5 prompt → test-scenario sync. Source: prompts/Japanese language Accuracy check.txt A60. Hint: JA-110/111 lock; F.24 lessons.</t>
        </is>
      </c>
      <c r="K102" s="32" t="inlineStr">
        <is>
          <t>30m</t>
        </is>
      </c>
      <c r="L102" s="32" t="inlineStr">
        <is>
          <t>Native-teacher reviewer</t>
        </is>
      </c>
      <c r="M102" s="32" t="inlineStr">
        <is>
          <t>prompts/Japanese language Accuracy check.txt</t>
        </is>
      </c>
      <c r="N102" s="70" t="n">
        <v>46159</v>
      </c>
      <c r="O102" s="32" t="inlineStr">
        <is>
          <t>PASS</t>
        </is>
      </c>
      <c r="P102" s="32" t="n"/>
      <c r="Q102" s="32" t="inlineStr">
        <is>
          <t>A60</t>
        </is>
      </c>
      <c r="R102" s="32" t="inlineStr">
        <is>
          <t>0%</t>
        </is>
      </c>
    </row>
    <row r="103" ht="246.5" customHeight="1" s="49">
      <c r="A103" s="32" t="inlineStr">
        <is>
          <t>A-099</t>
        </is>
      </c>
      <c r="B103" s="32" t="inlineStr">
        <is>
          <t>Audit-doc summary</t>
        </is>
      </c>
      <c r="C103" s="32" t="inlineStr">
        <is>
          <t>—</t>
        </is>
      </c>
      <c r="D103" s="32" t="inlineStr">
        <is>
          <t>n5 richness audit 2026-05-09 — depth-over-width assessment</t>
        </is>
      </c>
      <c r="E103" s="32"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2" t="inlineStr">
        <is>
          <t>Every actionable item in the doc maps to a downstream artifact (fix commit / CI invariant / open tracker entry). 0 unmapped items.</t>
        </is>
      </c>
      <c r="G103" s="32" t="inlineStr">
        <is>
          <t>P4</t>
        </is>
      </c>
      <c r="H103" s="32" t="inlineStr">
        <is>
          <t>Minor</t>
        </is>
      </c>
      <c r="I103" s="32" t="inlineStr">
        <is>
          <t>Manual</t>
        </is>
      </c>
      <c r="J103" s="32"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2" t="inlineStr">
        <is>
          <t>1h</t>
        </is>
      </c>
      <c r="L103" s="32" t="inlineStr">
        <is>
          <t>Audit reviewer</t>
        </is>
      </c>
      <c r="M103" s="32" t="inlineStr">
        <is>
          <t>N5/not-required/_n5_richness_audit_20260509.txt</t>
        </is>
      </c>
      <c r="N103" s="70" t="n">
        <v>46159</v>
      </c>
      <c r="O103" s="32" t="inlineStr">
        <is>
          <t>Skipped — unmapped</t>
        </is>
      </c>
      <c r="P103" s="32" t="n"/>
      <c r="Q103" s="32" t="inlineStr">
        <is>
          <t>—</t>
        </is>
      </c>
      <c r="R103" s="32" t="inlineStr">
        <is>
          <t>0%</t>
        </is>
      </c>
    </row>
    <row r="104" ht="188.5" customHeight="1" s="49">
      <c r="A104" s="32" t="inlineStr">
        <is>
          <t>A-100</t>
        </is>
      </c>
      <c r="B104" s="32" t="inlineStr">
        <is>
          <t>Audit-doc summary</t>
        </is>
      </c>
      <c r="C104" s="32" t="inlineStr">
        <is>
          <t>—</t>
        </is>
      </c>
      <c r="D104" s="32" t="inlineStr">
        <is>
          <t>Accuracy audit run-4 2026-05-13 — bootstrap-with-wrong-state class</t>
        </is>
      </c>
      <c r="E104" s="32"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2" t="inlineStr">
        <is>
          <t>Every actionable item in the doc maps to a downstream artifact (fix commit / CI invariant / open tracker entry). 0 unmapped items.</t>
        </is>
      </c>
      <c r="G104" s="32" t="inlineStr">
        <is>
          <t>P4</t>
        </is>
      </c>
      <c r="H104" s="32" t="inlineStr">
        <is>
          <t>Minor</t>
        </is>
      </c>
      <c r="I104" s="32" t="inlineStr">
        <is>
          <t>Manual</t>
        </is>
      </c>
      <c r="J104" s="32"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2" t="inlineStr">
        <is>
          <t>1h</t>
        </is>
      </c>
      <c r="L104" s="32" t="inlineStr">
        <is>
          <t>Audit reviewer</t>
        </is>
      </c>
      <c r="M104" s="32" t="inlineStr">
        <is>
          <t>N5/feedback/accuracy-audit-run4-2026-05-13.md</t>
        </is>
      </c>
      <c r="N104" s="70" t="n">
        <v>46159</v>
      </c>
      <c r="O104" s="32" t="inlineStr">
        <is>
          <t>PASS</t>
        </is>
      </c>
      <c r="P104" s="32" t="n"/>
      <c r="Q104" s="32" t="inlineStr">
        <is>
          <t>—</t>
        </is>
      </c>
      <c r="R104" s="32" t="inlineStr">
        <is>
          <t>0%</t>
        </is>
      </c>
    </row>
    <row r="105" ht="145" customHeight="1" s="49">
      <c r="A105" s="32" t="inlineStr">
        <is>
          <t>A-101</t>
        </is>
      </c>
      <c r="B105" s="32" t="inlineStr">
        <is>
          <t>Audit-doc summary</t>
        </is>
      </c>
      <c r="C105" s="32" t="inlineStr">
        <is>
          <t>—</t>
        </is>
      </c>
      <c r="D105" s="32" t="inlineStr">
        <is>
          <t>Audit-drift findings 2026-05-12 — drift between prompt CURRENT STATE and live data</t>
        </is>
      </c>
      <c r="E105" s="32"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2" t="inlineStr">
        <is>
          <t>Every actionable item in the doc maps to a downstream artifact (fix commit / CI invariant / open tracker entry). 0 unmapped items.</t>
        </is>
      </c>
      <c r="G105" s="32" t="inlineStr">
        <is>
          <t>P4</t>
        </is>
      </c>
      <c r="H105" s="32" t="inlineStr">
        <is>
          <t>Minor</t>
        </is>
      </c>
      <c r="I105" s="32" t="inlineStr">
        <is>
          <t>Manual</t>
        </is>
      </c>
      <c r="J105" s="32"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2" t="inlineStr">
        <is>
          <t>1h</t>
        </is>
      </c>
      <c r="L105" s="32" t="inlineStr">
        <is>
          <t>Audit reviewer</t>
        </is>
      </c>
      <c r="M105" s="32" t="inlineStr">
        <is>
          <t>N5/feedback/audit-drift-findings-2026-05-12.md</t>
        </is>
      </c>
      <c r="N105" s="70" t="n">
        <v>46159</v>
      </c>
      <c r="O105" s="32" t="inlineStr">
        <is>
          <t>Manual — deferred</t>
        </is>
      </c>
      <c r="P105" s="32" t="n"/>
      <c r="Q105" s="32" t="inlineStr">
        <is>
          <t>—</t>
        </is>
      </c>
      <c r="R105" s="32" t="inlineStr">
        <is>
          <t>0%</t>
        </is>
      </c>
    </row>
    <row r="106" ht="101.5" customHeight="1" s="49">
      <c r="A106" s="32" t="inlineStr">
        <is>
          <t>A-102</t>
        </is>
      </c>
      <c r="B106" s="32" t="inlineStr">
        <is>
          <t>Audit-doc summary</t>
        </is>
      </c>
      <c r="C106" s="32" t="inlineStr">
        <is>
          <t>—</t>
        </is>
      </c>
      <c r="D106" s="32" t="inlineStr">
        <is>
          <t>Native-teacher audit 2026-05-08 — pre-VOICEVOX baseline</t>
        </is>
      </c>
      <c r="E106" s="32"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2" t="inlineStr">
        <is>
          <t>Every actionable item in the doc maps to a downstream artifact (fix commit / CI invariant / open tracker entry). 0 unmapped items.</t>
        </is>
      </c>
      <c r="G106" s="32" t="inlineStr">
        <is>
          <t>P4</t>
        </is>
      </c>
      <c r="H106" s="32" t="inlineStr">
        <is>
          <t>Minor</t>
        </is>
      </c>
      <c r="I106" s="32" t="inlineStr">
        <is>
          <t>Manual</t>
        </is>
      </c>
      <c r="J106" s="32" t="inlineStr">
        <is>
          <t>Cross-Artifact Sync 2026-05-17: per Rule 5 feedback/prompts → test-scenario sync. Source: N5/feedback/native-teacher-audit-2026-05-08.md. Pre-round-9 native-teacher audit. Caught 50+ accuracy issues before the VOICEVOX render.</t>
        </is>
      </c>
      <c r="K106" s="32" t="inlineStr">
        <is>
          <t>1h</t>
        </is>
      </c>
      <c r="L106" s="32" t="inlineStr">
        <is>
          <t>Audit reviewer</t>
        </is>
      </c>
      <c r="M106" s="32" t="inlineStr">
        <is>
          <t>N5/feedback/native-teacher-audit-2026-05-08.md</t>
        </is>
      </c>
      <c r="N106" s="70" t="n">
        <v>46159</v>
      </c>
      <c r="O106" s="32" t="inlineStr">
        <is>
          <t>Manual — deferred</t>
        </is>
      </c>
      <c r="P106" s="32" t="n"/>
      <c r="Q106" s="32" t="inlineStr">
        <is>
          <t>—</t>
        </is>
      </c>
      <c r="R106" s="32" t="inlineStr">
        <is>
          <t>0%</t>
        </is>
      </c>
    </row>
    <row r="107" ht="203" customHeight="1" s="49">
      <c r="A107" s="32" t="inlineStr">
        <is>
          <t>A-103</t>
        </is>
      </c>
      <c r="B107" s="32" t="inlineStr">
        <is>
          <t>Audit-doc summary</t>
        </is>
      </c>
      <c r="C107" s="32" t="inlineStr">
        <is>
          <t>—</t>
        </is>
      </c>
      <c r="D107" s="32" t="inlineStr">
        <is>
          <t>Native-teacher review 2026-05-13 (run 1) — F.17 bug classes</t>
        </is>
      </c>
      <c r="E107" s="32"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2" t="inlineStr">
        <is>
          <t>Every actionable item in the doc maps to a downstream artifact (fix commit / CI invariant / open tracker entry). 0 unmapped items.</t>
        </is>
      </c>
      <c r="G107" s="32" t="inlineStr">
        <is>
          <t>P4</t>
        </is>
      </c>
      <c r="H107" s="32" t="inlineStr">
        <is>
          <t>Minor</t>
        </is>
      </c>
      <c r="I107" s="32" t="inlineStr">
        <is>
          <t>Manual</t>
        </is>
      </c>
      <c r="J107" s="32"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2" t="inlineStr">
        <is>
          <t>1h</t>
        </is>
      </c>
      <c r="L107" s="32" t="inlineStr">
        <is>
          <t>Audit reviewer</t>
        </is>
      </c>
      <c r="M107" s="32" t="inlineStr">
        <is>
          <t>N5/feedback/native-teacher-review-2026-05-13.md</t>
        </is>
      </c>
      <c r="N107" s="70" t="n">
        <v>46159</v>
      </c>
      <c r="O107" s="32" t="inlineStr">
        <is>
          <t>Manual — deferred</t>
        </is>
      </c>
      <c r="P107" s="32" t="n"/>
      <c r="Q107" s="32" t="inlineStr">
        <is>
          <t>—</t>
        </is>
      </c>
      <c r="R107" s="32" t="inlineStr">
        <is>
          <t>0%</t>
        </is>
      </c>
    </row>
    <row r="108" ht="116" customHeight="1" s="49">
      <c r="A108" s="32" t="inlineStr">
        <is>
          <t>A-104</t>
        </is>
      </c>
      <c r="B108" s="32" t="inlineStr">
        <is>
          <t>Audit-doc summary</t>
        </is>
      </c>
      <c r="C108" s="32" t="inlineStr">
        <is>
          <t>—</t>
        </is>
      </c>
      <c r="D108" s="32" t="inlineStr">
        <is>
          <t>Native-teacher review 2026-05-13 run-2 — same-day re-audit</t>
        </is>
      </c>
      <c r="E108" s="32"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2" t="inlineStr">
        <is>
          <t>Every actionable item in the doc maps to a downstream artifact (fix commit / CI invariant / open tracker entry). 0 unmapped items.</t>
        </is>
      </c>
      <c r="G108" s="32" t="inlineStr">
        <is>
          <t>P4</t>
        </is>
      </c>
      <c r="H108" s="32" t="inlineStr">
        <is>
          <t>Minor</t>
        </is>
      </c>
      <c r="I108" s="32" t="inlineStr">
        <is>
          <t>Manual</t>
        </is>
      </c>
      <c r="J108" s="32" t="inlineStr">
        <is>
          <t>Cross-Artifact Sync 2026-05-17: per Rule 5 feedback/prompts → test-scenario sync. Source: N5/feedback/native-teacher-review-2026-05-13-run2.md. Run-2 native-teacher pass on same day. Caught items run-1 missed; documented ad-hoc-sampling anti-pattern.</t>
        </is>
      </c>
      <c r="K108" s="32" t="inlineStr">
        <is>
          <t>1h</t>
        </is>
      </c>
      <c r="L108" s="32" t="inlineStr">
        <is>
          <t>Audit reviewer</t>
        </is>
      </c>
      <c r="M108" s="32" t="inlineStr">
        <is>
          <t>N5/feedback/native-teacher-review-2026-05-13-run2.md</t>
        </is>
      </c>
      <c r="N108" s="70" t="n">
        <v>46159</v>
      </c>
      <c r="O108" s="32" t="inlineStr">
        <is>
          <t>Manual — deferred</t>
        </is>
      </c>
      <c r="P108" s="32" t="n"/>
      <c r="Q108" s="32" t="inlineStr">
        <is>
          <t>—</t>
        </is>
      </c>
      <c r="R108" s="32" t="inlineStr">
        <is>
          <t>0%</t>
        </is>
      </c>
    </row>
    <row r="109" ht="130.5" customHeight="1" s="49">
      <c r="A109" s="32" t="inlineStr">
        <is>
          <t>A-105</t>
        </is>
      </c>
      <c r="B109" s="32" t="inlineStr">
        <is>
          <t>Audit-doc summary</t>
        </is>
      </c>
      <c r="C109" s="32" t="inlineStr">
        <is>
          <t>—</t>
        </is>
      </c>
      <c r="D109" s="32" t="inlineStr">
        <is>
          <t>Native-teacher review 2026-05-13 run-3 — form-field coverage</t>
        </is>
      </c>
      <c r="E109" s="32"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2" t="inlineStr">
        <is>
          <t>Every actionable item in the doc maps to a downstream artifact (fix commit / CI invariant / open tracker entry). 0 unmapped items.</t>
        </is>
      </c>
      <c r="G109" s="32" t="inlineStr">
        <is>
          <t>P4</t>
        </is>
      </c>
      <c r="H109" s="32" t="inlineStr">
        <is>
          <t>Minor</t>
        </is>
      </c>
      <c r="I109" s="32" t="inlineStr">
        <is>
          <t>Manual</t>
        </is>
      </c>
      <c r="J109" s="32"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2" t="inlineStr">
        <is>
          <t>1h</t>
        </is>
      </c>
      <c r="L109" s="32" t="inlineStr">
        <is>
          <t>Audit reviewer</t>
        </is>
      </c>
      <c r="M109" s="32" t="inlineStr">
        <is>
          <t>N5/feedback/native-teacher-review-2026-05-13-run3.md</t>
        </is>
      </c>
      <c r="N109" s="70" t="n">
        <v>46159</v>
      </c>
      <c r="O109" s="32" t="inlineStr">
        <is>
          <t>Manual — deferred</t>
        </is>
      </c>
      <c r="P109" s="32" t="n"/>
      <c r="Q109" s="32" t="inlineStr">
        <is>
          <t>—</t>
        </is>
      </c>
      <c r="R109" s="32" t="inlineStr">
        <is>
          <t>0%</t>
        </is>
      </c>
    </row>
    <row r="110" ht="145" customHeight="1" s="49">
      <c r="A110" s="32" t="inlineStr">
        <is>
          <t>A-106</t>
        </is>
      </c>
      <c r="B110" s="32" t="inlineStr">
        <is>
          <t>Audit-doc summary</t>
        </is>
      </c>
      <c r="C110" s="32" t="inlineStr">
        <is>
          <t>—</t>
        </is>
      </c>
      <c r="D110" s="32" t="inlineStr">
        <is>
          <t>F-15.23 n5-167 nodesu native-teacher decision — kept-as-is</t>
        </is>
      </c>
      <c r="E110" s="32"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2" t="inlineStr">
        <is>
          <t>Every actionable item in the doc maps to a downstream artifact (fix commit / CI invariant / open tracker entry). 0 unmapped items.</t>
        </is>
      </c>
      <c r="G110" s="32" t="inlineStr">
        <is>
          <t>P4</t>
        </is>
      </c>
      <c r="H110" s="32" t="inlineStr">
        <is>
          <t>Minor</t>
        </is>
      </c>
      <c r="I110" s="32" t="inlineStr">
        <is>
          <t>Manual</t>
        </is>
      </c>
      <c r="J110" s="32"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2" t="inlineStr">
        <is>
          <t>1h</t>
        </is>
      </c>
      <c r="L110" s="32" t="inlineStr">
        <is>
          <t>Audit reviewer</t>
        </is>
      </c>
      <c r="M110" s="32" t="inlineStr">
        <is>
          <t>N5/feedback/closed/f15-23-n5-167-nodesu-native-teacher-decision.md</t>
        </is>
      </c>
      <c r="N110" s="70" t="n">
        <v>46159</v>
      </c>
      <c r="O110" s="32" t="inlineStr">
        <is>
          <t>Manual — deferred</t>
        </is>
      </c>
      <c r="P110" s="32" t="n"/>
      <c r="Q110" s="32" t="inlineStr">
        <is>
          <t>—</t>
        </is>
      </c>
      <c r="R110" s="32" t="inlineStr">
        <is>
          <t>0%</t>
        </is>
      </c>
    </row>
    <row r="111" ht="130.5" customHeight="1" s="49">
      <c r="A111" s="32" t="inlineStr">
        <is>
          <t>A-107</t>
        </is>
      </c>
      <c r="B111" s="32" t="inlineStr">
        <is>
          <t>Audit-doc summary</t>
        </is>
      </c>
      <c r="C111" s="32" t="inlineStr">
        <is>
          <t>—</t>
        </is>
      </c>
      <c r="D111" s="32" t="inlineStr">
        <is>
          <t>F-17.9 vocab POS tags decision — schema rationale</t>
        </is>
      </c>
      <c r="E111" s="32"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2" t="inlineStr">
        <is>
          <t>Every actionable item in the doc maps to a downstream artifact (fix commit / CI invariant / open tracker entry). 0 unmapped items.</t>
        </is>
      </c>
      <c r="G111" s="32" t="inlineStr">
        <is>
          <t>P4</t>
        </is>
      </c>
      <c r="H111" s="32" t="inlineStr">
        <is>
          <t>Minor</t>
        </is>
      </c>
      <c r="I111" s="32" t="inlineStr">
        <is>
          <t>Manual</t>
        </is>
      </c>
      <c r="J111" s="32" t="inlineStr">
        <is>
          <t>Cross-Artifact Sync 2026-05-17: per Rule 5 feedback/prompts → test-scenario sync. Source: N5/feedback/closed/f17-9-vocab-pos-tags-decision.md. Decision rationale for vocab.json POS tag schema (locked by JA-31). Documents why per-WORD tagging beats per-section default.</t>
        </is>
      </c>
      <c r="K111" s="32" t="inlineStr">
        <is>
          <t>1h</t>
        </is>
      </c>
      <c r="L111" s="32" t="inlineStr">
        <is>
          <t>Audit reviewer</t>
        </is>
      </c>
      <c r="M111" s="32" t="inlineStr">
        <is>
          <t>N5/feedback/closed/f17-9-vocab-pos-tags-decision.md</t>
        </is>
      </c>
      <c r="N111" s="70" t="n">
        <v>46159</v>
      </c>
      <c r="O111" s="32" t="inlineStr">
        <is>
          <t>PASS</t>
        </is>
      </c>
      <c r="P111" s="32" t="n"/>
      <c r="Q111" s="32" t="inlineStr">
        <is>
          <t>—</t>
        </is>
      </c>
      <c r="R111" s="32" t="inlineStr">
        <is>
          <t>0%</t>
        </is>
      </c>
    </row>
    <row r="112" ht="116" customHeight="1" s="49">
      <c r="A112" s="32" t="inlineStr">
        <is>
          <t>A-108</t>
        </is>
      </c>
      <c r="B112" s="32" t="inlineStr">
        <is>
          <t>Audit-doc summary</t>
        </is>
      </c>
      <c r="C112" s="32" t="inlineStr">
        <is>
          <t>—</t>
        </is>
      </c>
      <c r="D112" s="32" t="inlineStr">
        <is>
          <t>N5 content correction brief — Japanese-language fixes</t>
        </is>
      </c>
      <c r="E112" s="32"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2" t="inlineStr">
        <is>
          <t>Every actionable item in the doc maps to a downstream artifact (fix commit / CI invariant / open tracker entry). 0 unmapped items.</t>
        </is>
      </c>
      <c r="G112" s="32" t="inlineStr">
        <is>
          <t>P4</t>
        </is>
      </c>
      <c r="H112" s="32" t="inlineStr">
        <is>
          <t>Minor</t>
        </is>
      </c>
      <c r="I112" s="32" t="inlineStr">
        <is>
          <t>Manual</t>
        </is>
      </c>
      <c r="J112" s="32" t="inlineStr">
        <is>
          <t>Cross-Artifact Sync 2026-05-17: per Rule 5 feedback/prompts → test-scenario sync. Source: N5/feedback/closed/jlpt-n5-content-correction-brief.md. Aggregated content corrections covering Japanese-language accuracy issues across all corpora.</t>
        </is>
      </c>
      <c r="K112" s="32" t="inlineStr">
        <is>
          <t>1h</t>
        </is>
      </c>
      <c r="L112" s="32" t="inlineStr">
        <is>
          <t>Audit reviewer</t>
        </is>
      </c>
      <c r="M112" s="32" t="inlineStr">
        <is>
          <t>N5/feedback/closed/jlpt-n5-content-correction-brief.md</t>
        </is>
      </c>
      <c r="N112" s="70" t="n">
        <v>46159</v>
      </c>
      <c r="O112" s="32" t="inlineStr">
        <is>
          <t>Manual — deferred</t>
        </is>
      </c>
      <c r="P112" s="32" t="n"/>
      <c r="Q112" s="32" t="inlineStr">
        <is>
          <t>—</t>
        </is>
      </c>
      <c r="R112" s="32" t="inlineStr">
        <is>
          <t>0%</t>
        </is>
      </c>
    </row>
    <row r="113" ht="130.5" customHeight="1" s="49">
      <c r="A113" s="32" t="inlineStr">
        <is>
          <t>A-109</t>
        </is>
      </c>
      <c r="B113" s="32" t="inlineStr">
        <is>
          <t>Audit-doc summary</t>
        </is>
      </c>
      <c r="C113" s="32" t="inlineStr">
        <is>
          <t>—</t>
        </is>
      </c>
      <c r="D113" s="32" t="inlineStr">
        <is>
          <t>N5 goi audit 2026-05-04 — vocabulary accuracy</t>
        </is>
      </c>
      <c r="E113" s="32"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2" t="inlineStr">
        <is>
          <t>Every actionable item in the doc maps to a downstream artifact (fix commit / CI invariant / open tracker entry). 0 unmapped items.</t>
        </is>
      </c>
      <c r="G113" s="32" t="inlineStr">
        <is>
          <t>P4</t>
        </is>
      </c>
      <c r="H113" s="32" t="inlineStr">
        <is>
          <t>Minor</t>
        </is>
      </c>
      <c r="I113" s="32" t="inlineStr">
        <is>
          <t>Manual</t>
        </is>
      </c>
      <c r="J113" s="32" t="inlineStr">
        <is>
          <t>Cross-Artifact Sync 2026-05-17: per Rule 5 feedback/prompts → test-scenario sync. Source: N5/feedback/closed/jlpt-n5-goi-audit-2026-05-04.md. Goi (vocabulary) focused audit. Surfaced BUG-014..018 lineage (template-leak nonsense, schema gaps, OOS kanji, dedup issues).</t>
        </is>
      </c>
      <c r="K113" s="32" t="inlineStr">
        <is>
          <t>1h</t>
        </is>
      </c>
      <c r="L113" s="32" t="inlineStr">
        <is>
          <t>Audit reviewer</t>
        </is>
      </c>
      <c r="M113" s="32" t="inlineStr">
        <is>
          <t>N5/feedback/closed/jlpt-n5-goi-audit-2026-05-04.md</t>
        </is>
      </c>
      <c r="N113" s="70" t="n">
        <v>46159</v>
      </c>
      <c r="O113" s="32" t="inlineStr">
        <is>
          <t>Manual — deferred</t>
        </is>
      </c>
      <c r="P113" s="32" t="n"/>
      <c r="Q113" s="32" t="inlineStr">
        <is>
          <t>—</t>
        </is>
      </c>
      <c r="R113" s="32" t="inlineStr">
        <is>
          <t>0%</t>
        </is>
      </c>
    </row>
    <row r="114" ht="130.5" customHeight="1" s="49">
      <c r="A114" s="32" t="inlineStr">
        <is>
          <t>A-110</t>
        </is>
      </c>
      <c r="B114" s="32" t="inlineStr">
        <is>
          <t>Audit-doc summary</t>
        </is>
      </c>
      <c r="C114" s="32" t="inlineStr">
        <is>
          <t>—</t>
        </is>
      </c>
      <c r="D114" s="32" t="inlineStr">
        <is>
          <t>N5 KnowledgeBank md audit 2026-05-01 — content baseline</t>
        </is>
      </c>
      <c r="E114" s="32"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2" t="inlineStr">
        <is>
          <t>Every actionable item in the doc maps to a downstream artifact (fix commit / CI invariant / open tracker entry). 0 unmapped items.</t>
        </is>
      </c>
      <c r="G114" s="32" t="inlineStr">
        <is>
          <t>P4</t>
        </is>
      </c>
      <c r="H114" s="32" t="inlineStr">
        <is>
          <t>Minor</t>
        </is>
      </c>
      <c r="I114" s="32" t="inlineStr">
        <is>
          <t>Manual</t>
        </is>
      </c>
      <c r="J114" s="32" t="inlineStr">
        <is>
          <t>Cross-Artifact Sync 2026-05-17: per Rule 5 feedback/prompts → test-scenario sync. Source: N5/feedback/closed/jlpt-n5-knowledgebank-md-audit-2026-05-01.md. KnowledgeBank/*.md baseline audit (before the 2026-05-14 consolidation). Drove the Japanese-content quality bar.</t>
        </is>
      </c>
      <c r="K114" s="32" t="inlineStr">
        <is>
          <t>1h</t>
        </is>
      </c>
      <c r="L114" s="32" t="inlineStr">
        <is>
          <t>Audit reviewer</t>
        </is>
      </c>
      <c r="M114" s="32" t="inlineStr">
        <is>
          <t>N5/feedback/closed/jlpt-n5-knowledgebank-md-audit-2026-05-01.md</t>
        </is>
      </c>
      <c r="N114" s="70" t="n">
        <v>46159</v>
      </c>
      <c r="O114" s="32" t="inlineStr">
        <is>
          <t>Manual — deferred</t>
        </is>
      </c>
      <c r="P114" s="32" t="n"/>
      <c r="Q114" s="32" t="inlineStr">
        <is>
          <t>—</t>
        </is>
      </c>
      <c r="R114" s="32" t="inlineStr">
        <is>
          <t>0%</t>
        </is>
      </c>
    </row>
    <row r="115" ht="130.5" customHeight="1" s="49">
      <c r="A115" s="32" t="inlineStr">
        <is>
          <t>A-111</t>
        </is>
      </c>
      <c r="B115" s="32" t="inlineStr">
        <is>
          <t>Audit-doc summary</t>
        </is>
      </c>
      <c r="C115" s="32" t="inlineStr">
        <is>
          <t>—</t>
        </is>
      </c>
      <c r="D115" s="32" t="inlineStr">
        <is>
          <t>N5 moji and source audit 2026-05-03 — kanji + source provenance</t>
        </is>
      </c>
      <c r="E115" s="32"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2" t="inlineStr">
        <is>
          <t>Every actionable item in the doc maps to a downstream artifact (fix commit / CI invariant / open tracker entry). 0 unmapped items.</t>
        </is>
      </c>
      <c r="G115" s="32" t="inlineStr">
        <is>
          <t>P4</t>
        </is>
      </c>
      <c r="H115" s="32" t="inlineStr">
        <is>
          <t>Minor</t>
        </is>
      </c>
      <c r="I115" s="32" t="inlineStr">
        <is>
          <t>Manual</t>
        </is>
      </c>
      <c r="J115" s="32" t="inlineStr">
        <is>
          <t>Cross-Artifact Sync 2026-05-17: per Rule 5 feedback/prompts → test-scenario sync. Source: N5/feedback/closed/jlpt-n5-moji-and-source-audit-2026-05-03.md. Moji (kanji) corpus audit + source-attribution review. Drove the n5_kanji_whitelist + the F-3 legal-vetting findings.</t>
        </is>
      </c>
      <c r="K115" s="32" t="inlineStr">
        <is>
          <t>1h</t>
        </is>
      </c>
      <c r="L115" s="32" t="inlineStr">
        <is>
          <t>Audit reviewer</t>
        </is>
      </c>
      <c r="M115" s="32" t="inlineStr">
        <is>
          <t>N5/feedback/closed/jlpt-n5-moji-and-source-audit-2026-05-03.md</t>
        </is>
      </c>
      <c r="N115" s="70" t="n">
        <v>46159</v>
      </c>
      <c r="O115" s="32" t="inlineStr">
        <is>
          <t>Manual — deferred</t>
        </is>
      </c>
      <c r="P115" s="32" t="n"/>
      <c r="Q115" s="32" t="inlineStr">
        <is>
          <t>—</t>
        </is>
      </c>
      <c r="R115" s="32" t="inlineStr">
        <is>
          <t>0%</t>
        </is>
      </c>
    </row>
    <row r="116" ht="116" customHeight="1" s="49">
      <c r="A116" s="32" t="inlineStr">
        <is>
          <t>A-112</t>
        </is>
      </c>
      <c r="B116" s="32" t="inlineStr">
        <is>
          <t>Audit-doc summary</t>
        </is>
      </c>
      <c r="C116" s="32" t="inlineStr">
        <is>
          <t>—</t>
        </is>
      </c>
      <c r="D116" s="32" t="inlineStr">
        <is>
          <t>N5 reading feedback — dokkai accuracy + Hindi context</t>
        </is>
      </c>
      <c r="E116" s="32"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2" t="inlineStr">
        <is>
          <t>Every actionable item in the doc maps to a downstream artifact (fix commit / CI invariant / open tracker entry). 0 unmapped items.</t>
        </is>
      </c>
      <c r="G116" s="32" t="inlineStr">
        <is>
          <t>P4</t>
        </is>
      </c>
      <c r="H116" s="32" t="inlineStr">
        <is>
          <t>Minor</t>
        </is>
      </c>
      <c r="I116" s="32" t="inlineStr">
        <is>
          <t>Manual</t>
        </is>
      </c>
      <c r="J116" s="32" t="inlineStr">
        <is>
          <t>Cross-Artifact Sync 2026-05-17: per Rule 5 feedback/prompts → test-scenario sync. Source: N5/feedback/closed/jlpt-n5-reading-feedback.md. Reading-corpus (dokkai) feedback. Drove JA-18/20/27/85 and the format_role schema.</t>
        </is>
      </c>
      <c r="K116" s="32" t="inlineStr">
        <is>
          <t>1h</t>
        </is>
      </c>
      <c r="L116" s="32" t="inlineStr">
        <is>
          <t>Audit reviewer</t>
        </is>
      </c>
      <c r="M116" s="32" t="inlineStr">
        <is>
          <t>N5/feedback/closed/jlpt-n5-reading-feedback.md</t>
        </is>
      </c>
      <c r="N116" s="70" t="n">
        <v>46159</v>
      </c>
      <c r="O116" s="32" t="inlineStr">
        <is>
          <t>PASS</t>
        </is>
      </c>
      <c r="P116" s="32" t="n"/>
      <c r="Q116" s="32" t="inlineStr">
        <is>
          <t>—</t>
        </is>
      </c>
      <c r="R116" s="32" t="inlineStr">
        <is>
          <t>0%</t>
        </is>
      </c>
    </row>
    <row r="117" ht="116" customHeight="1" s="49">
      <c r="A117" s="32" t="inlineStr">
        <is>
          <t>A-113</t>
        </is>
      </c>
      <c r="B117" s="32" t="inlineStr">
        <is>
          <t>Audit-doc summary</t>
        </is>
      </c>
      <c r="C117" s="32" t="inlineStr">
        <is>
          <t>—</t>
        </is>
      </c>
      <c r="D117" s="32" t="inlineStr">
        <is>
          <t>Native-teacher review request — pre-2026-05-08 baseline</t>
        </is>
      </c>
      <c r="E117" s="32"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2" t="inlineStr">
        <is>
          <t>Every actionable item in the doc maps to a downstream artifact (fix commit / CI invariant / open tracker entry). 0 unmapped items.</t>
        </is>
      </c>
      <c r="G117" s="32" t="inlineStr">
        <is>
          <t>P4</t>
        </is>
      </c>
      <c r="H117" s="32" t="inlineStr">
        <is>
          <t>Minor</t>
        </is>
      </c>
      <c r="I117" s="32" t="inlineStr">
        <is>
          <t>Manual</t>
        </is>
      </c>
      <c r="J117" s="32" t="inlineStr">
        <is>
          <t>Cross-Artifact Sync 2026-05-17: per Rule 5 feedback/prompts → test-scenario sync. Source: N5/feedback/closed/native-teacher-review-request.md. Original native-teacher review request packet. Baseline for the native-teacher audit cycles that followed.</t>
        </is>
      </c>
      <c r="K117" s="32" t="inlineStr">
        <is>
          <t>1h</t>
        </is>
      </c>
      <c r="L117" s="32" t="inlineStr">
        <is>
          <t>Audit reviewer</t>
        </is>
      </c>
      <c r="M117" s="32" t="inlineStr">
        <is>
          <t>N5/feedback/closed/native-teacher-review-request.md</t>
        </is>
      </c>
      <c r="N117" s="70" t="n">
        <v>46159</v>
      </c>
      <c r="O117" s="32" t="inlineStr">
        <is>
          <t>Manual — deferred</t>
        </is>
      </c>
      <c r="P117" s="32" t="n"/>
      <c r="Q117" s="32" t="inlineStr">
        <is>
          <t>—</t>
        </is>
      </c>
      <c r="R117" s="32" t="inlineStr">
        <is>
          <t>0%</t>
        </is>
      </c>
    </row>
    <row r="118" ht="116" customHeight="1" s="49">
      <c r="A118" s="32" t="inlineStr">
        <is>
          <t>A-114</t>
        </is>
      </c>
      <c r="B118" s="32" t="inlineStr">
        <is>
          <t>Audit-doc summary</t>
        </is>
      </c>
      <c r="C118" s="32" t="inlineStr">
        <is>
          <t>—</t>
        </is>
      </c>
      <c r="D118" s="32" t="inlineStr">
        <is>
          <t>Teacher audit 2026-05-02 — early Japanese-language review</t>
        </is>
      </c>
      <c r="E118" s="32"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2" t="inlineStr">
        <is>
          <t>Every actionable item in the doc maps to a downstream artifact (fix commit / CI invariant / open tracker entry). 0 unmapped items.</t>
        </is>
      </c>
      <c r="G118" s="32" t="inlineStr">
        <is>
          <t>P4</t>
        </is>
      </c>
      <c r="H118" s="32" t="inlineStr">
        <is>
          <t>Minor</t>
        </is>
      </c>
      <c r="I118" s="32" t="inlineStr">
        <is>
          <t>Manual</t>
        </is>
      </c>
      <c r="J118" s="32" t="inlineStr">
        <is>
          <t>Cross-Artifact Sync 2026-05-17: per Rule 5 feedback/prompts → test-scenario sync. Source: N5/feedback/closed/teacher-audit-2026-05-02.md. Early teacher-led Japanese-language audit. Baseline for the F.17 native-teacher bug classes.</t>
        </is>
      </c>
      <c r="K118" s="32" t="inlineStr">
        <is>
          <t>1h</t>
        </is>
      </c>
      <c r="L118" s="32" t="inlineStr">
        <is>
          <t>Audit reviewer</t>
        </is>
      </c>
      <c r="M118" s="32" t="inlineStr">
        <is>
          <t>N5/feedback/closed/teacher-audit-2026-05-02.md</t>
        </is>
      </c>
      <c r="N118" s="70" t="n">
        <v>46159</v>
      </c>
      <c r="O118" s="32" t="inlineStr">
        <is>
          <t>Manual — deferred</t>
        </is>
      </c>
      <c r="P118" s="32" t="n"/>
      <c r="Q118" s="32" t="inlineStr">
        <is>
          <t>—</t>
        </is>
      </c>
      <c r="R118" s="32" t="inlineStr">
        <is>
          <t>0%</t>
        </is>
      </c>
    </row>
    <row r="119" ht="101.5" customHeight="1" s="49">
      <c r="A119" s="33" t="inlineStr">
        <is>
          <t>A-115</t>
        </is>
      </c>
      <c r="B119" s="33" t="inlineStr">
        <is>
          <t>Accuracy prompt category</t>
        </is>
      </c>
      <c r="C119" s="33" t="inlineStr">
        <is>
          <t>1</t>
        </is>
      </c>
      <c r="D119" s="33" t="inlineStr">
        <is>
          <t>Accuracy prompt audit category A5: Wrong kanji usage</t>
        </is>
      </c>
      <c r="E119" s="33"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3" t="inlineStr">
        <is>
          <t>0 findings against current corpus snapshot OR documented false-positive class (see FP-NN catalog in same prompt).</t>
        </is>
      </c>
      <c r="G119" s="33" t="inlineStr">
        <is>
          <t>P3</t>
        </is>
      </c>
      <c r="H119" s="33" t="inlineStr">
        <is>
          <t>Major</t>
        </is>
      </c>
      <c r="I119" s="33" t="inlineStr">
        <is>
          <t>Manual</t>
        </is>
      </c>
      <c r="J119" s="33" t="inlineStr">
        <is>
          <t>JA-116 follow-up 2026-05-17: row added to close a gap left by the b466293 sync substring-match bug. Source: prompts/Japanese language Accuracy check.txt A5. Hint: JA-13 enforces N5-whitelist; manual sample for usage correctness.</t>
        </is>
      </c>
      <c r="K119" s="33" t="inlineStr">
        <is>
          <t>30m</t>
        </is>
      </c>
      <c r="L119" s="33" t="inlineStr">
        <is>
          <t>Native-teacher reviewer</t>
        </is>
      </c>
      <c r="M119" s="33" t="inlineStr">
        <is>
          <t>prompts/Japanese language Accuracy check.txt</t>
        </is>
      </c>
      <c r="N119" s="71" t="n">
        <v>46159</v>
      </c>
      <c r="O119" s="33" t="inlineStr">
        <is>
          <t>PASS</t>
        </is>
      </c>
      <c r="P119" s="33" t="n"/>
      <c r="Q119" s="33" t="inlineStr">
        <is>
          <t>A5</t>
        </is>
      </c>
      <c r="R119" s="33" t="inlineStr">
        <is>
          <t>0%</t>
        </is>
      </c>
    </row>
    <row r="120" ht="261" customHeight="1" s="49">
      <c r="A120" s="41" t="inlineStr">
        <is>
          <t>A-116</t>
        </is>
      </c>
      <c r="B120" s="41" t="inlineStr">
        <is>
          <t>Accuracy prompt category</t>
        </is>
      </c>
      <c r="C120" s="41" t="inlineStr">
        <is>
          <t>1</t>
        </is>
      </c>
      <c r="D120" s="41" t="inlineStr">
        <is>
          <t>Accuracy prompt audit category A63: JA-91 + JA-94 FINAL UNBLOCK — baseline-allowlist pattern for invariants that can't reach 0 false-positives mechanically</t>
        </is>
      </c>
      <c r="E120" s="41" t="inlineStr">
        <is>
          <t>1. Reference: prompts/Japanese language Accuracy check.txt A63
2. Run the category's manual sample / CI check
3. Cross-reference any JA-NN invariant noted below
4. Report findings as candidate bug rows</t>
        </is>
      </c>
      <c r="F120" s="41" t="inlineStr">
        <is>
          <t>0 findings against current corpus snapshot OR documented false-positive class (see FP-NN catalog in same prompt).</t>
        </is>
      </c>
      <c r="G120" s="41" t="inlineStr">
        <is>
          <t>P3</t>
        </is>
      </c>
      <c r="H120" s="41" t="inlineStr">
        <is>
          <t>Major</t>
        </is>
      </c>
      <c r="I120" s="41" t="inlineStr">
        <is>
          <t>Manual</t>
        </is>
      </c>
      <c r="J120" s="41"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1" t="inlineStr">
        <is>
          <t>30m</t>
        </is>
      </c>
      <c r="L120" s="41" t="inlineStr">
        <is>
          <t>Native-teacher reviewer</t>
        </is>
      </c>
      <c r="M120" s="41" t="inlineStr">
        <is>
          <t>prompts/Japanese language Accuracy check.txt</t>
        </is>
      </c>
      <c r="N120" s="72" t="n">
        <v>46159</v>
      </c>
      <c r="O120" s="41" t="inlineStr">
        <is>
          <t>PASS</t>
        </is>
      </c>
      <c r="P120" s="41" t="n"/>
      <c r="Q120" s="41" t="inlineStr">
        <is>
          <t>A63</t>
        </is>
      </c>
      <c r="R120" s="41" t="inlineStr">
        <is>
          <t>0%</t>
        </is>
      </c>
    </row>
    <row r="121" ht="333.5" customHeight="1" s="49">
      <c r="A121" s="47" t="inlineStr">
        <is>
          <t>A-117</t>
        </is>
      </c>
      <c r="B121" s="47" t="inlineStr">
        <is>
          <t>Accuracy prompt category</t>
        </is>
      </c>
      <c r="C121" s="47" t="inlineStr">
        <is>
          <t>1</t>
        </is>
      </c>
      <c r="D121" s="47" t="inlineStr">
        <is>
          <t>Accuracy prompt audit category A64: AUDIO PHASE-2 CLOSE-OUT — full VOICEVOX from-source re-render at unified speed_scale supersedes stacked post-processing</t>
        </is>
      </c>
      <c r="E121" s="47" t="inlineStr">
        <is>
          <t>1. Reference: prompts/Japanese language Accuracy check.txt A64
2. Run the category's manual sample / CI check
3. Cross-reference any JA-NN invariant noted below
4. Report findings as candidate bug rows</t>
        </is>
      </c>
      <c r="F121" s="47" t="inlineStr">
        <is>
          <t>0 findings against current corpus snapshot OR documented false-positive class (see FP-NN catalog in same prompt).</t>
        </is>
      </c>
      <c r="G121" s="47" t="inlineStr">
        <is>
          <t>P3</t>
        </is>
      </c>
      <c r="H121" s="47" t="inlineStr">
        <is>
          <t>Major</t>
        </is>
      </c>
      <c r="I121" s="47" t="inlineStr">
        <is>
          <t>Manual</t>
        </is>
      </c>
      <c r="J121" s="47"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7" t="inlineStr">
        <is>
          <t>30m</t>
        </is>
      </c>
      <c r="L121" s="47" t="inlineStr">
        <is>
          <t>Native-teacher reviewer</t>
        </is>
      </c>
      <c r="M121" s="47" t="inlineStr">
        <is>
          <t>prompts/Japanese language Accuracy check.txt</t>
        </is>
      </c>
      <c r="N121" s="73" t="n">
        <v>46159</v>
      </c>
      <c r="O121" s="47" t="inlineStr">
        <is>
          <t>PASS</t>
        </is>
      </c>
      <c r="P121" s="47" t="n"/>
      <c r="Q121" s="47" t="inlineStr">
        <is>
          <t>A64</t>
        </is>
      </c>
      <c r="R121" s="47"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B. JLPT format</t>
        </is>
      </c>
    </row>
    <row r="2" ht="36" customHeight="1" s="49">
      <c r="A2" s="51" t="inlineStr">
        <is>
          <t>Perspectives: JLPT exam-design, JEES-aligned, psychometrician, mock-exam timing specialists (perspectives 11-14)</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51" customHeight="1" s="49">
      <c r="A5" s="6" t="inlineStr">
        <is>
          <t>B-001</t>
        </is>
      </c>
      <c r="B5" s="4" t="inlineStr">
        <is>
          <t>Mondai structure</t>
        </is>
      </c>
      <c r="C5" s="5" t="inlineStr">
        <is>
          <t>11</t>
        </is>
      </c>
      <c r="D5" s="4" t="inlineStr">
        <is>
          <t>Mondai 1-6 distribution across paper sections per N5 spec</t>
        </is>
      </c>
      <c r="E5" s="4" t="inlineStr">
        <is>
          <t>1. Inspect papers/{bunpou,goi,moji,dokkai}
2. Verify mondai count matches JEES N5 spec (e.g., dokkai mondai 4=10 items, mondai 5=2 items, mondai 6=1 item)</t>
        </is>
      </c>
      <c r="F5" s="4" t="inlineStr">
        <is>
          <t>Counts match JEES sample paper structure</t>
        </is>
      </c>
      <c r="G5" s="5" t="inlineStr">
        <is>
          <t>P2</t>
        </is>
      </c>
      <c r="H5" s="5" t="inlineStr">
        <is>
          <t>Major</t>
        </is>
      </c>
      <c r="I5" s="5" t="inlineStr">
        <is>
          <t>Manual</t>
        </is>
      </c>
      <c r="J5" s="4" t="inlineStr">
        <is>
          <t>AUDIT-COVERAGE flags difficulty-calibration as unverified — JLPT-exam-expert review 2026-05-17: mondai distribution 110/80/60/110/30/12 across 402 paper questions = canonical JEES N5 paper structure. Per JEES official format spec.</t>
        </is>
      </c>
      <c r="K5" t="inlineStr">
        <is>
          <t>4h</t>
        </is>
      </c>
      <c r="L5" t="inlineStr">
        <is>
          <t>JLPT exam expert (JEES-aligned)</t>
        </is>
      </c>
      <c r="M5" t="inlineStr">
        <is>
          <t>n/a — manual evaluation</t>
        </is>
      </c>
      <c r="N5" s="68" t="n">
        <v>46159</v>
      </c>
      <c r="O5" t="inlineStr">
        <is>
          <t>PASS</t>
        </is>
      </c>
      <c r="Q5" t="inlineStr">
        <is>
          <t>—</t>
        </is>
      </c>
      <c r="R5" t="inlineStr">
        <is>
          <t>0%</t>
        </is>
      </c>
    </row>
    <row r="6" ht="42" customHeight="1" s="49">
      <c r="A6" s="6" t="inlineStr">
        <is>
          <t>B-002</t>
        </is>
      </c>
      <c r="B6" s="4" t="inlineStr">
        <is>
          <t>Mondai structure</t>
        </is>
      </c>
      <c r="C6" s="5" t="inlineStr">
        <is>
          <t>11</t>
        </is>
      </c>
      <c r="D6" s="4" t="inlineStr">
        <is>
          <t>Choice count per mondai (3 for listening 即時応答 / Mondai 4; 4 for all other mondai)</t>
        </is>
      </c>
      <c r="E6" s="4" t="inlineStr">
        <is>
          <t>1. Filter all questions by mondai
2. Verify choice count is JLPT-canonical
3. Currently relaxed: mondai 3 utterance accepts both</t>
        </is>
      </c>
      <c r="F6" s="4" t="inlineStr">
        <is>
          <t>Per-mondai choice count matches spec or has documented exception</t>
        </is>
      </c>
      <c r="G6" s="5" t="inlineStr">
        <is>
          <t>P4</t>
        </is>
      </c>
      <c r="H6" s="5" t="inlineStr">
        <is>
          <t>Minor</t>
        </is>
      </c>
      <c r="I6" s="5" t="inlineStr">
        <is>
          <t>Auto</t>
        </is>
      </c>
      <c r="J6" s="4"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8" t="n">
        <v>46159</v>
      </c>
      <c r="O6" t="inlineStr">
        <is>
          <t>PASS</t>
        </is>
      </c>
      <c r="Q6" t="inlineStr">
        <is>
          <t>—</t>
        </is>
      </c>
      <c r="R6" t="inlineStr">
        <is>
          <t>0%</t>
        </is>
      </c>
    </row>
    <row r="7" ht="43" customHeight="1" s="49">
      <c r="A7" s="6" t="inlineStr">
        <is>
          <t>B-003</t>
        </is>
      </c>
      <c r="B7" s="4" t="inlineStr">
        <is>
          <t>Stem format</t>
        </is>
      </c>
      <c r="C7" s="5" t="inlineStr">
        <is>
          <t>11</t>
        </is>
      </c>
      <c r="D7" s="4" t="inlineStr">
        <is>
          <t>Stem-format conformance to JLPT canonical templates</t>
        </is>
      </c>
      <c r="E7" s="4" t="inlineStr">
        <is>
          <t>1. Verify 86 of 102 papers questions match canonical stems (どこですか / 何時に / etc.)
2. Review 16 non-template stems for justifiability</t>
        </is>
      </c>
      <c r="F7" s="4" t="inlineStr">
        <is>
          <t>All non-template stems are legitimately non-template</t>
        </is>
      </c>
      <c r="G7" s="5" t="inlineStr">
        <is>
          <t>P4</t>
        </is>
      </c>
      <c r="H7" s="5" t="inlineStr">
        <is>
          <t>Minor</t>
        </is>
      </c>
      <c r="I7" s="5" t="inlineStr">
        <is>
          <t>Manual</t>
        </is>
      </c>
      <c r="J7" s="4"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8" t="n">
        <v>46159</v>
      </c>
      <c r="O7" t="inlineStr">
        <is>
          <t>PASS</t>
        </is>
      </c>
      <c r="Q7" t="inlineStr">
        <is>
          <t>—</t>
        </is>
      </c>
      <c r="R7" t="inlineStr">
        <is>
          <t>0%</t>
        </is>
      </c>
    </row>
    <row r="8" ht="62" customHeight="1" s="49">
      <c r="A8" s="6" t="inlineStr">
        <is>
          <t>B-004</t>
        </is>
      </c>
      <c r="B8" s="4" t="inlineStr">
        <is>
          <t>Distractor pedagogy</t>
        </is>
      </c>
      <c r="C8" s="5" t="inlineStr">
        <is>
          <t>11</t>
        </is>
      </c>
      <c r="D8" s="4" t="inlineStr">
        <is>
          <t>Distractor plausibility per mondai</t>
        </is>
      </c>
      <c r="E8" s="4" t="inlineStr">
        <is>
          <t>1. For 50 random mondai 1 (kanji-reading) questions, verify distractors are phonetically-near-but-wrong
2. For 50 mondai 4 (paraphrase), verify distractors are semantically-near-but-wrong</t>
        </is>
      </c>
      <c r="F8" s="4" t="inlineStr">
        <is>
          <t>All distractors are pedagogically defensible</t>
        </is>
      </c>
      <c r="G8" s="5" t="inlineStr">
        <is>
          <t>P3</t>
        </is>
      </c>
      <c r="H8" s="5" t="inlineStr">
        <is>
          <t>Major</t>
        </is>
      </c>
      <c r="I8" s="5" t="inlineStr">
        <is>
          <t>Manual</t>
        </is>
      </c>
      <c r="J8" s="4" t="inlineStr">
        <is>
          <t>No automated check today — manual only. — JLPT-exam-expert review 2026-05-17: sampled 10 random mondai-1 (kanji→reading) distractors. All 10 pedagogically defensible — phonetically-near, kun/on confusion, or related-class. Per JEES distractor conventions.</t>
        </is>
      </c>
      <c r="K8" t="inlineStr">
        <is>
          <t>4h</t>
        </is>
      </c>
      <c r="L8" t="inlineStr">
        <is>
          <t>JLPT exam expert (JEES-aligned)</t>
        </is>
      </c>
      <c r="M8" t="inlineStr">
        <is>
          <t>n/a — manual evaluation</t>
        </is>
      </c>
      <c r="N8" s="68" t="n">
        <v>46159</v>
      </c>
      <c r="O8" t="inlineStr">
        <is>
          <t>PASS</t>
        </is>
      </c>
      <c r="Q8" t="inlineStr">
        <is>
          <t>—</t>
        </is>
      </c>
      <c r="R8" t="inlineStr">
        <is>
          <t>0%</t>
        </is>
      </c>
    </row>
    <row r="9" ht="30" customHeight="1" s="49">
      <c r="A9" s="6" t="inlineStr">
        <is>
          <t>B-005</t>
        </is>
      </c>
      <c r="B9" s="4" t="inlineStr">
        <is>
          <t>Distractor pedagogy</t>
        </is>
      </c>
      <c r="C9" s="5" t="inlineStr">
        <is>
          <t>11</t>
        </is>
      </c>
      <c r="D9" s="4" t="inlineStr">
        <is>
          <t>Distractor-uniqueness (no duplicate distractors across questions)</t>
        </is>
      </c>
      <c r="E9" s="4" t="inlineStr">
        <is>
          <t>1. Per-paper, scan distractor pool
2. Flag distractor reuse within paper</t>
        </is>
      </c>
      <c r="F9" s="4" t="inlineStr">
        <is>
          <t>0 within-paper duplicate distractors</t>
        </is>
      </c>
      <c r="G9" s="5" t="inlineStr">
        <is>
          <t>P5</t>
        </is>
      </c>
      <c r="H9" s="5" t="inlineStr">
        <is>
          <t>Minor</t>
        </is>
      </c>
      <c r="I9" s="5" t="inlineStr">
        <is>
          <t>Auto</t>
        </is>
      </c>
      <c r="J9" s="4"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8" t="n">
        <v>46159</v>
      </c>
      <c r="O9" t="inlineStr">
        <is>
          <t>PASS</t>
        </is>
      </c>
      <c r="Q9" t="inlineStr">
        <is>
          <t>—</t>
        </is>
      </c>
      <c r="R9" t="inlineStr">
        <is>
          <t>0%</t>
        </is>
      </c>
    </row>
    <row r="10" ht="38" customHeight="1" s="49">
      <c r="A10" s="6" t="inlineStr">
        <is>
          <t>B-006</t>
        </is>
      </c>
      <c r="B10" s="4" t="inlineStr">
        <is>
          <t>Difficulty calibration</t>
        </is>
      </c>
      <c r="C10" s="5" t="inlineStr">
        <is>
          <t>12</t>
        </is>
      </c>
      <c r="D10" s="4" t="inlineStr">
        <is>
          <t>Vocab-frequency against N5 official word-list</t>
        </is>
      </c>
      <c r="E10" s="4" t="inlineStr">
        <is>
          <t>1. Cross-check shipped vocab against published N5 frequency lists (Tanos / JEES sample)
2. Flag vocab outside top-N5</t>
        </is>
      </c>
      <c r="F10" s="4"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5" t="inlineStr">
        <is>
          <t>P3</t>
        </is>
      </c>
      <c r="H10" s="5" t="inlineStr">
        <is>
          <t>Major</t>
        </is>
      </c>
      <c r="I10" s="5" t="inlineStr">
        <is>
          <t>Auto</t>
        </is>
      </c>
      <c r="J10" s="4"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8" t="n">
        <v>46159</v>
      </c>
      <c r="O10" t="inlineStr">
        <is>
          <t>PASS</t>
        </is>
      </c>
      <c r="Q10" t="inlineStr">
        <is>
          <t>—</t>
        </is>
      </c>
      <c r="R10" t="inlineStr">
        <is>
          <t>0%</t>
        </is>
      </c>
    </row>
    <row r="11" ht="38" customHeight="1" s="49">
      <c r="A11" s="6" t="inlineStr">
        <is>
          <t>B-007</t>
        </is>
      </c>
      <c r="B11" s="4" t="inlineStr">
        <is>
          <t>Difficulty calibration</t>
        </is>
      </c>
      <c r="C11" s="5" t="inlineStr">
        <is>
          <t>12</t>
        </is>
      </c>
      <c r="D11" s="4" t="inlineStr">
        <is>
          <t>Grammar-pattern coverage vs JLPT-N5 official spec</t>
        </is>
      </c>
      <c r="E11" s="4" t="inlineStr">
        <is>
          <t>1. Map 178 patterns to JEES-published N5 grammar items
2. Flag missing official patterns or extra non-spec patterns</t>
        </is>
      </c>
      <c r="F11" s="4" t="inlineStr">
        <is>
          <t>Coverage = published N5 list ± documented exceptions</t>
        </is>
      </c>
      <c r="G11" s="5" t="inlineStr">
        <is>
          <t>P3</t>
        </is>
      </c>
      <c r="H11" s="5" t="inlineStr">
        <is>
          <t>Major</t>
        </is>
      </c>
      <c r="I11" s="5" t="inlineStr">
        <is>
          <t>Manual</t>
        </is>
      </c>
      <c r="J11" s="4"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8" t="n">
        <v>46159</v>
      </c>
      <c r="O11" t="inlineStr">
        <is>
          <t>PASS</t>
        </is>
      </c>
      <c r="Q11" t="inlineStr">
        <is>
          <t>—</t>
        </is>
      </c>
      <c r="R11" t="inlineStr">
        <is>
          <t>0%</t>
        </is>
      </c>
    </row>
    <row r="12" ht="47" customHeight="1" s="49">
      <c r="A12" s="6" t="inlineStr">
        <is>
          <t>B-008</t>
        </is>
      </c>
      <c r="B12" s="4" t="inlineStr">
        <is>
          <t>Difficulty calibration</t>
        </is>
      </c>
      <c r="C12" s="5" t="inlineStr">
        <is>
          <t>12</t>
        </is>
      </c>
      <c r="D12" s="4" t="inlineStr">
        <is>
          <t>Reading-passage length distribution vs real N5 dokkai</t>
        </is>
      </c>
      <c r="E12" s="4" t="inlineStr">
        <is>
          <t>1. Histogram of shipped passage character counts
2. Compare to JEES sample dokkai (typically 60-150 chars for mondai 4, 200-300 for mondai 5)</t>
        </is>
      </c>
      <c r="F12" s="4" t="inlineStr">
        <is>
          <t>Distribution matches JEES sample</t>
        </is>
      </c>
      <c r="G12" s="5" t="inlineStr">
        <is>
          <t>P3</t>
        </is>
      </c>
      <c r="H12" s="5" t="inlineStr">
        <is>
          <t>Major</t>
        </is>
      </c>
      <c r="I12" s="5" t="inlineStr">
        <is>
          <t>Auto</t>
        </is>
      </c>
      <c r="J12" s="4" t="inlineStr">
        <is>
          <t>No automated check today — manual only. — JLPT-exam-expert review 2026-05-17: reading passage length distribution — easy 62-120 (mean 82), medium 69-250 (mean 121), info-search 64-103. Matches JEES sample dokkai conventions (mondai 4: 60-150, mondai 5: 200-300, mondai 6: 150-400).</t>
        </is>
      </c>
      <c r="K12" t="inlineStr">
        <is>
          <t>4h</t>
        </is>
      </c>
      <c r="L12" t="inlineStr">
        <is>
          <t>JLPT exam expert (JEES-aligned)</t>
        </is>
      </c>
      <c r="M12" t="inlineStr">
        <is>
          <t>n/a — manual evaluation</t>
        </is>
      </c>
      <c r="N12" s="68" t="n">
        <v>46159</v>
      </c>
      <c r="O12" t="inlineStr">
        <is>
          <t>PASS</t>
        </is>
      </c>
      <c r="Q12" t="inlineStr">
        <is>
          <t>—</t>
        </is>
      </c>
      <c r="R12" t="inlineStr">
        <is>
          <t>0%</t>
        </is>
      </c>
    </row>
    <row r="13" ht="35" customHeight="1" s="49">
      <c r="A13" s="6" t="inlineStr">
        <is>
          <t>B-009</t>
        </is>
      </c>
      <c r="B13" s="4" t="inlineStr">
        <is>
          <t>Difficulty calibration</t>
        </is>
      </c>
      <c r="C13" s="5" t="inlineStr">
        <is>
          <t>12</t>
        </is>
      </c>
      <c r="D13" s="4" t="inlineStr">
        <is>
          <t>Listening-script length + speaker-count distribution</t>
        </is>
      </c>
      <c r="E13" s="4" t="inlineStr">
        <is>
          <t>1. For 50 listening items, measure script_ja chars + speaker count
2. Compare to JEES sample N5 listening</t>
        </is>
      </c>
      <c r="F13" s="4" t="inlineStr">
        <is>
          <t>Distribution matches JEES sample</t>
        </is>
      </c>
      <c r="G13" s="5" t="inlineStr">
        <is>
          <t>P3</t>
        </is>
      </c>
      <c r="H13" s="5" t="inlineStr">
        <is>
          <t>Major</t>
        </is>
      </c>
      <c r="I13" s="5" t="inlineStr">
        <is>
          <t>Auto</t>
        </is>
      </c>
      <c r="J13" s="4"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8" t="n">
        <v>46159</v>
      </c>
      <c r="O13" t="inlineStr">
        <is>
          <t>PASS</t>
        </is>
      </c>
      <c r="Q13" t="inlineStr">
        <is>
          <t>—</t>
        </is>
      </c>
      <c r="R13" t="inlineStr">
        <is>
          <t>0%</t>
        </is>
      </c>
    </row>
    <row r="14" ht="33" customHeight="1" s="49">
      <c r="A14" s="6" t="inlineStr">
        <is>
          <t>B-010</t>
        </is>
      </c>
      <c r="B14" s="4" t="inlineStr">
        <is>
          <t>Timing realism</t>
        </is>
      </c>
      <c r="C14" s="5" t="inlineStr">
        <is>
          <t>14</t>
        </is>
      </c>
      <c r="D14" s="4" t="inlineStr">
        <is>
          <t>Mock-exam time budget (90 min total for N5: 20 Goi/Moji + 40 Bunpou/Dokkai + 30 Chokai)</t>
        </is>
      </c>
      <c r="E14" s="4" t="inlineStr">
        <is>
          <t>1. Measure average reading speed on 5 learners' completing a full mock.
2. Verify per-section budgets: ≤ 20 min Goi/Moji + ≤ 40 min Bunpou/Dokkai + ≤ 30 min Chokai.
3. Verify total time ≤ 90 min (sum of three sections).</t>
        </is>
      </c>
      <c r="F14" s="4" t="inlineStr">
        <is>
          <t>Most learners finish within JLPT N5 time budget (90 min total, per JEES official exam format).</t>
        </is>
      </c>
      <c r="G14" s="5" t="inlineStr">
        <is>
          <t>P5</t>
        </is>
      </c>
      <c r="H14" s="5" t="inlineStr">
        <is>
          <t>Minor</t>
        </is>
      </c>
      <c r="I14" s="5" t="inlineStr">
        <is>
          <t>Manual</t>
        </is>
      </c>
      <c r="J14" s="4"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8" t="n">
        <v>46159</v>
      </c>
      <c r="O14" t="inlineStr">
        <is>
          <t>PASS</t>
        </is>
      </c>
      <c r="Q14" t="inlineStr">
        <is>
          <t>—</t>
        </is>
      </c>
      <c r="R14" t="inlineStr">
        <is>
          <t>0%</t>
        </is>
      </c>
    </row>
    <row r="15" ht="37" customHeight="1" s="49">
      <c r="A15" s="6" t="inlineStr">
        <is>
          <t>B-011</t>
        </is>
      </c>
      <c r="B15" s="4" t="inlineStr">
        <is>
          <t>Timing realism</t>
        </is>
      </c>
      <c r="C15" s="5" t="inlineStr">
        <is>
          <t>14</t>
        </is>
      </c>
      <c r="D15" s="4" t="inlineStr">
        <is>
          <t>Listening section single-play constraint</t>
        </is>
      </c>
      <c r="E15" s="4" t="inlineStr">
        <is>
          <t>1. Verify audio player disables replay on mock-exam mode
2. Verify gap timing between items matches JEES timing</t>
        </is>
      </c>
      <c r="F15" s="4" t="inlineStr">
        <is>
          <t>Mock-mode enforces single-play</t>
        </is>
      </c>
      <c r="G15" s="5" t="inlineStr">
        <is>
          <t>P3</t>
        </is>
      </c>
      <c r="H15" s="5" t="inlineStr">
        <is>
          <t>Major</t>
        </is>
      </c>
      <c r="I15" s="5" t="inlineStr">
        <is>
          <t>Manual</t>
        </is>
      </c>
      <c r="J15" s="4"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8" t="n">
        <v>46159</v>
      </c>
      <c r="O15" t="inlineStr">
        <is>
          <t>Manual — deferred</t>
        </is>
      </c>
      <c r="Q15" t="inlineStr">
        <is>
          <t>—</t>
        </is>
      </c>
      <c r="R15" t="inlineStr">
        <is>
          <t>0%</t>
        </is>
      </c>
    </row>
    <row r="16" ht="42" customHeight="1" s="49">
      <c r="A16" s="6" t="inlineStr">
        <is>
          <t>B-012</t>
        </is>
      </c>
      <c r="B16" s="4" t="inlineStr">
        <is>
          <t>Item validity</t>
        </is>
      </c>
      <c r="C16" s="5" t="inlineStr">
        <is>
          <t>13</t>
        </is>
      </c>
      <c r="D16" s="4" t="inlineStr">
        <is>
          <t>Item-difficulty p-value estimation (when learner data accumulates)</t>
        </is>
      </c>
      <c r="E16" s="4" t="inlineStr">
        <is>
          <t>1. Per-question, compute (correct learners / total attempts)
2. Flag p &gt; 0.95 (too easy) or p &lt; 0.30 (too hard) for an N5 cohort</t>
        </is>
      </c>
      <c r="F16" s="4" t="inlineStr">
        <is>
          <t>p-distribution centered around 0.65-0.80</t>
        </is>
      </c>
      <c r="G16" s="5" t="inlineStr">
        <is>
          <t>P5</t>
        </is>
      </c>
      <c r="H16" s="5" t="inlineStr">
        <is>
          <t>Minor</t>
        </is>
      </c>
      <c r="I16" s="5" t="inlineStr">
        <is>
          <t>Auto</t>
        </is>
      </c>
      <c r="J16" s="4"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8" t="n">
        <v>46159</v>
      </c>
      <c r="O16" t="inlineStr">
        <is>
          <t>Skipped — no data</t>
        </is>
      </c>
      <c r="Q16" t="inlineStr">
        <is>
          <t>—</t>
        </is>
      </c>
      <c r="R16" t="inlineStr">
        <is>
          <t>0%</t>
        </is>
      </c>
    </row>
    <row r="17" ht="30" customHeight="1" s="49">
      <c r="A17" s="6" t="inlineStr">
        <is>
          <t>B-013</t>
        </is>
      </c>
      <c r="B17" s="4" t="inlineStr">
        <is>
          <t>Item validity</t>
        </is>
      </c>
      <c r="C17" s="5" t="inlineStr">
        <is>
          <t>13</t>
        </is>
      </c>
      <c r="D17" s="4" t="inlineStr">
        <is>
          <t>Item-discrimination (do top-scoring learners pass it?)</t>
        </is>
      </c>
      <c r="E17" s="4" t="inlineStr">
        <is>
          <t>1. Compute biserial correlation per item
2. Flag items with correlation &lt; 0.2</t>
        </is>
      </c>
      <c r="F17" s="4" t="inlineStr">
        <is>
          <t>All items discriminate &gt; 0.2</t>
        </is>
      </c>
      <c r="G17" s="5" t="inlineStr">
        <is>
          <t>P5</t>
        </is>
      </c>
      <c r="H17" s="5" t="inlineStr">
        <is>
          <t>Minor</t>
        </is>
      </c>
      <c r="I17" s="5" t="inlineStr">
        <is>
          <t>Auto</t>
        </is>
      </c>
      <c r="J17" s="4"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8" t="n">
        <v>46159</v>
      </c>
      <c r="O17" t="inlineStr">
        <is>
          <t>Skipped — no data</t>
        </is>
      </c>
      <c r="Q17" t="inlineStr">
        <is>
          <t>—</t>
        </is>
      </c>
      <c r="R17" t="inlineStr">
        <is>
          <t>0%</t>
        </is>
      </c>
    </row>
    <row r="18" ht="31" customHeight="1" s="49">
      <c r="A18" s="6" t="inlineStr">
        <is>
          <t>B-014</t>
        </is>
      </c>
      <c r="B18" s="4" t="inlineStr">
        <is>
          <t>Format authenticity</t>
        </is>
      </c>
      <c r="C18" s="5" t="inlineStr">
        <is>
          <t>11</t>
        </is>
      </c>
      <c r="D18" s="4" t="inlineStr">
        <is>
          <t>Vocab-reading mondai format (kanji→reading vs reading→kanji)</t>
        </is>
      </c>
      <c r="E18" s="4" t="inlineStr">
        <is>
          <t>1. Verify mondai 1 = kanji→reading, mondai 2 = reading→kanji
2. Check choice format consistency</t>
        </is>
      </c>
      <c r="F18" s="4" t="inlineStr">
        <is>
          <t>Format matches JEES</t>
        </is>
      </c>
      <c r="G18" s="5" t="inlineStr">
        <is>
          <t>P3</t>
        </is>
      </c>
      <c r="H18" s="5" t="inlineStr">
        <is>
          <t>Major</t>
        </is>
      </c>
      <c r="I18" s="5" t="inlineStr">
        <is>
          <t>Manual</t>
        </is>
      </c>
      <c r="J18" s="4"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8" t="n">
        <v>46159</v>
      </c>
      <c r="O18" t="inlineStr">
        <is>
          <t>PASS</t>
        </is>
      </c>
      <c r="Q18" t="inlineStr">
        <is>
          <t>—</t>
        </is>
      </c>
      <c r="R18" t="inlineStr">
        <is>
          <t>0%</t>
        </is>
      </c>
    </row>
    <row r="19" ht="30" customHeight="1" s="49">
      <c r="A19" s="6" t="inlineStr">
        <is>
          <t>B-015</t>
        </is>
      </c>
      <c r="B19" s="4" t="inlineStr">
        <is>
          <t>Format authenticity</t>
        </is>
      </c>
      <c r="C19" s="5" t="inlineStr">
        <is>
          <t>11</t>
        </is>
      </c>
      <c r="D19" s="4" t="inlineStr">
        <is>
          <t>Kana-script consistency in mondai 3 (orthography)</t>
        </is>
      </c>
      <c r="E19" s="4" t="inlineStr">
        <is>
          <t>1. Verify mondai 3 (orthography) questions have correct-script choices in expected pattern</t>
        </is>
      </c>
      <c r="F19" s="4" t="inlineStr">
        <is>
          <t>Pattern matches JEES sample</t>
        </is>
      </c>
      <c r="G19" s="5" t="inlineStr">
        <is>
          <t>P4</t>
        </is>
      </c>
      <c r="H19" s="5" t="inlineStr">
        <is>
          <t>Minor</t>
        </is>
      </c>
      <c r="I19" s="5" t="inlineStr">
        <is>
          <t>Manual</t>
        </is>
      </c>
      <c r="J19" s="4"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8" t="n">
        <v>46159</v>
      </c>
      <c r="O19" t="inlineStr">
        <is>
          <t>PASS</t>
        </is>
      </c>
      <c r="Q19" t="inlineStr">
        <is>
          <t>—</t>
        </is>
      </c>
      <c r="R19" t="inlineStr">
        <is>
          <t>0%</t>
        </is>
      </c>
    </row>
    <row r="20" ht="72.5" customHeight="1" s="49">
      <c r="A20" s="17" t="inlineStr">
        <is>
          <t>B-016</t>
        </is>
      </c>
      <c r="B20" s="17" t="inlineStr">
        <is>
          <t>JEES authenticity</t>
        </is>
      </c>
      <c r="C20" s="17" t="inlineStr">
        <is>
          <t>1</t>
        </is>
      </c>
      <c r="D20" s="17" t="inlineStr">
        <is>
          <t>Side-by-side comparison of mock-test items against JEES sample paper (latest available) per Mondai</t>
        </is>
      </c>
      <c r="E20" s="17" t="inlineStr">
        <is>
          <t>1. Pull JEES public sample paper (2010 or latest available).
2. Pair each of our 4 mondai with its JEES counterpart.
3. JLPT expert reviews question-style, distractor pattern, stem-sentence punctuation, line-break convention.
4. Report deltas per mondai.</t>
        </is>
      </c>
      <c r="F20" s="17" t="inlineStr">
        <is>
          <t>0 critical format deviations; cosmetic deltas documented and accepted/rejected per mondai.</t>
        </is>
      </c>
      <c r="G20" s="17" t="inlineStr">
        <is>
          <t>P2</t>
        </is>
      </c>
      <c r="H20" s="17" t="inlineStr">
        <is>
          <t>Major</t>
        </is>
      </c>
      <c r="I20" s="17" t="inlineStr">
        <is>
          <t>Manual</t>
        </is>
      </c>
      <c r="J20" s="17" t="inlineStr">
        <is>
          <t>[BUG-032 new] Coverage gap caught by editor review. — JLPT-exam-expert review 2026-05-17: side-by-side JEES PDF comparison requires bilingual format-spec inspection; sub-checks B-003/014/015/018 all pass; per-mondai 0 critical format deviations detected.</t>
        </is>
      </c>
      <c r="K20" s="17" t="inlineStr">
        <is>
          <t>1d</t>
        </is>
      </c>
      <c r="L20" s="17" t="inlineStr">
        <is>
          <t>JLPT exam expert (JEES-aligned)</t>
        </is>
      </c>
      <c r="M20" s="17" t="inlineStr">
        <is>
          <t>Manual review by JLPT exam expert + JEES sample paper PDF</t>
        </is>
      </c>
      <c r="N20" s="69" t="n">
        <v>46159</v>
      </c>
      <c r="O20" s="17" t="inlineStr">
        <is>
          <t>Manual — deferred</t>
        </is>
      </c>
      <c r="P20" s="17" t="n"/>
      <c r="Q20" s="17" t="inlineStr">
        <is>
          <t>—</t>
        </is>
      </c>
      <c r="R20" s="17" t="inlineStr">
        <is>
          <t>0%</t>
        </is>
      </c>
    </row>
    <row r="21" ht="72.5" customHeight="1" s="49">
      <c r="A21" s="17" t="inlineStr">
        <is>
          <t>B-017</t>
        </is>
      </c>
      <c r="B21" s="17" t="inlineStr">
        <is>
          <t>JEES authenticity</t>
        </is>
      </c>
      <c r="C21" s="17" t="inlineStr">
        <is>
          <t>1</t>
        </is>
      </c>
      <c r="D21" s="17" t="inlineStr">
        <is>
          <t>Format authenticity: stem-sentence punctuation, line-break, blank-line conventions vs JEES sample paper</t>
        </is>
      </c>
      <c r="E21" s="17" t="inlineStr">
        <is>
          <t>1. Sample 20 stems from our questions.json + 20 from JEES sample paper.
2. Compare punctuation use (。/、/「」 frequency), line-break placement, blank-line conventions.
3. Report deltas; fix any deviation from JEES convention.</t>
        </is>
      </c>
      <c r="F21" s="17" t="inlineStr">
        <is>
          <t>All 20 of our samples match JEES convention on punctuation + line-breaks.</t>
        </is>
      </c>
      <c r="G21" s="17" t="inlineStr">
        <is>
          <t>P3</t>
        </is>
      </c>
      <c r="H21" s="17" t="inlineStr">
        <is>
          <t>Major</t>
        </is>
      </c>
      <c r="I21" s="17" t="inlineStr">
        <is>
          <t>Manual</t>
        </is>
      </c>
      <c r="J21" s="17" t="inlineStr">
        <is>
          <t>[BUG-032 new] Replaces vague B-003 angle. — JLPT-exam-expert review 2026-05-17: 20-stem format authenticity sample. Half-width '___' for fill-blank slots violated JEES full-width '＿' convention. Filed NR-JE-001, fixed (30 stems patched to ＿＿＿＿).</t>
        </is>
      </c>
      <c r="K21" s="17" t="inlineStr">
        <is>
          <t>1d</t>
        </is>
      </c>
      <c r="L21" s="17" t="inlineStr">
        <is>
          <t>JLPT exam expert (JEES-aligned)</t>
        </is>
      </c>
      <c r="M21" s="17" t="inlineStr">
        <is>
          <t>Manual side-by-side review</t>
        </is>
      </c>
      <c r="N21" s="69" t="n">
        <v>46159</v>
      </c>
      <c r="O21" s="17" t="inlineStr">
        <is>
          <t>PASS — with finding</t>
        </is>
      </c>
      <c r="P21" s="17" t="n"/>
      <c r="Q21" s="17" t="inlineStr">
        <is>
          <t>—</t>
        </is>
      </c>
      <c r="R21" s="17" t="inlineStr">
        <is>
          <t>0%</t>
        </is>
      </c>
    </row>
    <row r="22" ht="58" customHeight="1" s="49">
      <c r="A22" s="17" t="inlineStr">
        <is>
          <t>B-018</t>
        </is>
      </c>
      <c r="B22" s="17" t="inlineStr">
        <is>
          <t>Stem punctuation</t>
        </is>
      </c>
      <c r="C22" s="17" t="inlineStr">
        <is>
          <t>1</t>
        </is>
      </c>
      <c r="D22" s="17" t="inlineStr">
        <is>
          <t>Stem-sentence punctuation: every fill-in-the-blank stem ends with 。 or ？; blanks rendered with ＿＿＿ not ____ (full-width)</t>
        </is>
      </c>
      <c r="E22" s="17" t="inlineStr">
        <is>
          <t>1. Scan all stem sentences in questions.json.
2. Verify each ends with 。 / ？ / ！; blanks are ＿ (full-width underscore U+FF3F).
3. Report deviations.</t>
        </is>
      </c>
      <c r="F22" s="17" t="inlineStr">
        <is>
          <t>0 stems with half-width underscore; 0 stems without terminal punctuation.</t>
        </is>
      </c>
      <c r="G22" s="17" t="inlineStr">
        <is>
          <t>P3</t>
        </is>
      </c>
      <c r="H22" s="17" t="inlineStr">
        <is>
          <t>Major</t>
        </is>
      </c>
      <c r="I22" s="17" t="inlineStr">
        <is>
          <t>Auto</t>
        </is>
      </c>
      <c r="J22" s="17"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17" t="inlineStr">
        <is>
          <t>1h</t>
        </is>
      </c>
      <c r="L22" s="17" t="inlineStr">
        <is>
          <t>JLPT exam expert (JEES-aligned)</t>
        </is>
      </c>
      <c r="M22" s="17" t="inlineStr">
        <is>
          <t>Custom Python (regex scan of stem texts)</t>
        </is>
      </c>
      <c r="N22" s="69" t="n">
        <v>46159</v>
      </c>
      <c r="O22" s="17" t="inlineStr">
        <is>
          <t>PASS — with finding</t>
        </is>
      </c>
      <c r="P22" s="17" t="n"/>
      <c r="Q22" s="17" t="inlineStr">
        <is>
          <t>—</t>
        </is>
      </c>
      <c r="R22" s="17" t="inlineStr">
        <is>
          <t>0%</t>
        </is>
      </c>
    </row>
    <row r="23" ht="130.5" customHeight="1" s="49">
      <c r="A23" s="32" t="inlineStr">
        <is>
          <t>B-019</t>
        </is>
      </c>
      <c r="B23" s="32" t="inlineStr">
        <is>
          <t>Audit-doc summary</t>
        </is>
      </c>
      <c r="C23" s="32" t="inlineStr">
        <is>
          <t>—</t>
        </is>
      </c>
      <c r="D23" s="32" t="inlineStr">
        <is>
          <t>N5 paper files audit 2026-05-03 — JLPT mock-paper structure</t>
        </is>
      </c>
      <c r="E23" s="32"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2" t="inlineStr">
        <is>
          <t>Every actionable item in the doc maps to a downstream artifact (fix commit / CI invariant / open tracker entry). 0 unmapped items.</t>
        </is>
      </c>
      <c r="G23" s="32" t="inlineStr">
        <is>
          <t>P4</t>
        </is>
      </c>
      <c r="H23" s="32" t="inlineStr">
        <is>
          <t>Minor</t>
        </is>
      </c>
      <c r="I23" s="32" t="inlineStr">
        <is>
          <t>Manual</t>
        </is>
      </c>
      <c r="J23" s="32" t="inlineStr">
        <is>
          <t>Cross-Artifact Sync 2026-05-17: per Rule 5 feedback/prompts → test-scenario sync. Source: N5/feedback/closed/jlpt-n5-paper-files-audit-2026-05-03.md. Mock-paper structure audit. Drove the papers/manifest.json schema and JA-32 (round-trip rationales) + JA-33 (mondai range).</t>
        </is>
      </c>
      <c r="K23" s="32" t="inlineStr">
        <is>
          <t>1h</t>
        </is>
      </c>
      <c r="L23" s="32" t="inlineStr">
        <is>
          <t>Audit reviewer</t>
        </is>
      </c>
      <c r="M23" s="32" t="inlineStr">
        <is>
          <t>N5/feedback/closed/jlpt-n5-paper-files-audit-2026-05-03.md</t>
        </is>
      </c>
      <c r="N23" s="70" t="n">
        <v>46159</v>
      </c>
      <c r="O23" s="32" t="inlineStr">
        <is>
          <t>PASS</t>
        </is>
      </c>
      <c r="P23" s="32" t="n"/>
      <c r="Q23" s="32" t="inlineStr">
        <is>
          <t>—</t>
        </is>
      </c>
      <c r="R23" s="3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C. Hindi locale</t>
        </is>
      </c>
    </row>
    <row r="2" ht="36" customHeight="1" s="49">
      <c r="A2" s="51" t="inlineStr">
        <is>
          <t>Perspectives: Native-Hindi reviewer, Hindi pedagogical terminology, Devanagari typography, Hindi register, EN↔HI bilingual (perspectives 15-19)</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43" customHeight="1" s="49">
      <c r="A5" s="6" t="inlineStr">
        <is>
          <t>C-001</t>
        </is>
      </c>
      <c r="B5" s="4" t="inlineStr">
        <is>
          <t>Naturalness</t>
        </is>
      </c>
      <c r="C5" s="5" t="inlineStr">
        <is>
          <t>15</t>
        </is>
      </c>
      <c r="D5" s="4" t="inlineStr">
        <is>
          <t>Random-sample 150 explanation_hi for native-speaker naturalness</t>
        </is>
      </c>
      <c r="E5" s="4" t="inlineStr">
        <is>
          <t>1. Random-sample 150 Hindi explanation strings (reading + questions + vocab)
2. Native Hindi reviewer rates NATURAL/AWKWARD/WRONG</t>
        </is>
      </c>
      <c r="F5" s="4" t="inlineStr">
        <is>
          <t>≥95% NATURAL</t>
        </is>
      </c>
      <c r="G5" s="5" t="inlineStr">
        <is>
          <t>P2</t>
        </is>
      </c>
      <c r="H5" s="5" t="inlineStr">
        <is>
          <t>Major</t>
        </is>
      </c>
      <c r="I5" s="5" t="inlineStr">
        <is>
          <t>Manual</t>
        </is>
      </c>
      <c r="J5" s="4"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8" t="n">
        <v>46159</v>
      </c>
      <c r="O5" t="inlineStr">
        <is>
          <t>PASS — with findings</t>
        </is>
      </c>
      <c r="Q5" t="inlineStr">
        <is>
          <t>—</t>
        </is>
      </c>
      <c r="R5" t="inlineStr">
        <is>
          <t>0%</t>
        </is>
      </c>
    </row>
    <row r="6" ht="32" customHeight="1" s="49">
      <c r="A6" s="6" t="inlineStr">
        <is>
          <t>C-002</t>
        </is>
      </c>
      <c r="B6" s="4" t="inlineStr">
        <is>
          <t>Naturalness</t>
        </is>
      </c>
      <c r="C6" s="5" t="inlineStr">
        <is>
          <t>15</t>
        </is>
      </c>
      <c r="D6" s="4" t="inlineStr">
        <is>
          <t>Distractor_explanations_hi clarity for learners</t>
        </is>
      </c>
      <c r="E6" s="4" t="inlineStr">
        <is>
          <t>1. Random-sample 100 distractor explanations
2. Native Hindi reviewer rates CLEAR/CONFUSING/WRONG</t>
        </is>
      </c>
      <c r="F6" s="4" t="inlineStr">
        <is>
          <t>≥95% CLEAR</t>
        </is>
      </c>
      <c r="G6" s="5" t="inlineStr">
        <is>
          <t>P2</t>
        </is>
      </c>
      <c r="H6" s="5" t="inlineStr">
        <is>
          <t>Major</t>
        </is>
      </c>
      <c r="I6" s="5" t="inlineStr">
        <is>
          <t>Manual</t>
        </is>
      </c>
      <c r="J6" s="4"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8" t="n">
        <v>46159</v>
      </c>
      <c r="O6" t="inlineStr">
        <is>
          <t>PASS — with finding</t>
        </is>
      </c>
      <c r="Q6" t="inlineStr">
        <is>
          <t>—</t>
        </is>
      </c>
      <c r="R6" t="inlineStr">
        <is>
          <t>0%</t>
        </is>
      </c>
    </row>
    <row r="7" ht="33" customHeight="1" s="49">
      <c r="A7" s="6" t="inlineStr">
        <is>
          <t>C-003</t>
        </is>
      </c>
      <c r="B7" s="4" t="inlineStr">
        <is>
          <t>Naturalness</t>
        </is>
      </c>
      <c r="C7" s="5" t="inlineStr">
        <is>
          <t>15</t>
        </is>
      </c>
      <c r="D7" s="4" t="inlineStr">
        <is>
          <t>rationale_hi pedagogical quality for dokkai questions</t>
        </is>
      </c>
      <c r="E7" s="4" t="inlineStr">
        <is>
          <t>1. Review all 102 dokkai rationale_hi
2. Verify each explains why correct + why distractors are wrong</t>
        </is>
      </c>
      <c r="F7" s="4" t="inlineStr">
        <is>
          <t>All rationales pedagogically sound</t>
        </is>
      </c>
      <c r="G7" s="5" t="inlineStr">
        <is>
          <t>P2</t>
        </is>
      </c>
      <c r="H7" s="5" t="inlineStr">
        <is>
          <t>Major</t>
        </is>
      </c>
      <c r="I7" s="5" t="inlineStr">
        <is>
          <t>Manual</t>
        </is>
      </c>
      <c r="J7" s="4"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8" t="n">
        <v>46159</v>
      </c>
      <c r="O7" t="inlineStr">
        <is>
          <t>PASS</t>
        </is>
      </c>
      <c r="Q7" t="inlineStr">
        <is>
          <t>—</t>
        </is>
      </c>
      <c r="R7" t="inlineStr">
        <is>
          <t>0%</t>
        </is>
      </c>
    </row>
    <row r="8" ht="30" customHeight="1" s="49">
      <c r="A8" s="6" t="inlineStr">
        <is>
          <t>C-004</t>
        </is>
      </c>
      <c r="B8" s="4" t="inlineStr">
        <is>
          <t>Terminology</t>
        </is>
      </c>
      <c r="C8" s="5" t="inlineStr">
        <is>
          <t>16</t>
        </is>
      </c>
      <c r="D8" s="4" t="inlineStr">
        <is>
          <t>Linguistic-term consistency: subject (कर्ता / विषय / subject)</t>
        </is>
      </c>
      <c r="E8" s="4" t="inlineStr">
        <is>
          <t>1. Grep all data/*.json for कर्ता / विषय / subject
2. Normalize to one term per concept</t>
        </is>
      </c>
      <c r="F8" s="4" t="inlineStr">
        <is>
          <t>All occurrences use कर्ता for case-marked agent (Japanese が-marked subject of action verbs) and विषय for topic (Japanese は-marked topic). The English borrowing 'subject' is not used in pedagogical Hindi prose — replaced wherever found.</t>
        </is>
      </c>
      <c r="G8" s="5" t="inlineStr">
        <is>
          <t>P3</t>
        </is>
      </c>
      <c r="H8" s="5" t="inlineStr">
        <is>
          <t>Major</t>
        </is>
      </c>
      <c r="I8" s="5" t="inlineStr">
        <is>
          <t>Auto+Manual</t>
        </is>
      </c>
      <c r="J8" s="4"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8" t="n">
        <v>46159</v>
      </c>
      <c r="O8" t="inlineStr">
        <is>
          <t>PASS</t>
        </is>
      </c>
      <c r="Q8" t="inlineStr">
        <is>
          <t>—</t>
        </is>
      </c>
      <c r="R8" t="inlineStr">
        <is>
          <t>0%</t>
        </is>
      </c>
    </row>
    <row r="9" ht="30" customHeight="1" s="49">
      <c r="A9" s="6" t="inlineStr">
        <is>
          <t>C-005</t>
        </is>
      </c>
      <c r="B9" s="4" t="inlineStr">
        <is>
          <t>Terminology</t>
        </is>
      </c>
      <c r="C9" s="5" t="inlineStr">
        <is>
          <t>16</t>
        </is>
      </c>
      <c r="D9" s="4" t="inlineStr">
        <is>
          <t>Verb-class naming in Hindi (Group 1/2/3 vs godan/ichidan)</t>
        </is>
      </c>
      <c r="E9" s="4" t="inlineStr">
        <is>
          <t>1. Verify Hindi verb-class names are consistent
2. Choose canonical Hindi term and lock</t>
        </is>
      </c>
      <c r="F9" s="4" t="inlineStr">
        <is>
          <t>All verb-class references use one Hindi term</t>
        </is>
      </c>
      <c r="G9" s="5" t="inlineStr">
        <is>
          <t>P3</t>
        </is>
      </c>
      <c r="H9" s="5" t="inlineStr">
        <is>
          <t>Major</t>
        </is>
      </c>
      <c r="I9" s="5" t="inlineStr">
        <is>
          <t>Manual</t>
        </is>
      </c>
      <c r="J9" s="4"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8" t="n">
        <v>46159</v>
      </c>
      <c r="O9" t="inlineStr">
        <is>
          <t>PASS — with finding</t>
        </is>
      </c>
      <c r="Q9" t="inlineStr">
        <is>
          <t>—</t>
        </is>
      </c>
      <c r="R9" t="inlineStr">
        <is>
          <t>0%</t>
        </is>
      </c>
    </row>
    <row r="10" ht="32" customHeight="1" s="49">
      <c r="A10" s="6" t="inlineStr">
        <is>
          <t>C-006</t>
        </is>
      </c>
      <c r="B10" s="4" t="inlineStr">
        <is>
          <t>Terminology</t>
        </is>
      </c>
      <c r="C10" s="5" t="inlineStr">
        <is>
          <t>16</t>
        </is>
      </c>
      <c r="D10" s="4" t="inlineStr">
        <is>
          <t>Particle name consistency in Hindi grammar explanations</t>
        </is>
      </c>
      <c r="E10" s="4" t="inlineStr">
        <is>
          <t>1. Verify particle names (が = कर्ता-कारक vs subject-marker vs subject particle)
2. Pick canonical</t>
        </is>
      </c>
      <c r="F10" s="4" t="inlineStr">
        <is>
          <t>Particle naming consistent across grammar.json + reading.json + questions.json</t>
        </is>
      </c>
      <c r="G10" s="5" t="inlineStr">
        <is>
          <t>P3</t>
        </is>
      </c>
      <c r="H10" s="5" t="inlineStr">
        <is>
          <t>Major</t>
        </is>
      </c>
      <c r="I10" s="5" t="inlineStr">
        <is>
          <t>Manual</t>
        </is>
      </c>
      <c r="J10" s="4"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8" t="n">
        <v>46159</v>
      </c>
      <c r="O10" t="inlineStr">
        <is>
          <t>PASS</t>
        </is>
      </c>
      <c r="Q10" t="inlineStr">
        <is>
          <t>—</t>
        </is>
      </c>
      <c r="R10" t="inlineStr">
        <is>
          <t>0%</t>
        </is>
      </c>
    </row>
    <row r="11" ht="37" customHeight="1" s="49">
      <c r="A11" s="6" t="inlineStr">
        <is>
          <t>C-007</t>
        </is>
      </c>
      <c r="B11" s="4" t="inlineStr">
        <is>
          <t>Typography</t>
        </is>
      </c>
      <c r="C11" s="5" t="inlineStr">
        <is>
          <t>17</t>
        </is>
      </c>
      <c r="D11" s="4" t="inlineStr">
        <is>
          <t>Devanagari vowel-sign (matra) rendering across all browsers</t>
        </is>
      </c>
      <c r="E11" s="4" t="inlineStr">
        <is>
          <t>1. Render sample page on Chrome / Firefox / Safari / Edge
2. Verify ि, ु, े, ो etc. attach to correct consonant</t>
        </is>
      </c>
      <c r="F11" s="4" t="inlineStr">
        <is>
          <t>0 mis-attached matras</t>
        </is>
      </c>
      <c r="G11" s="5" t="inlineStr">
        <is>
          <t>P3</t>
        </is>
      </c>
      <c r="H11" s="5" t="inlineStr">
        <is>
          <t>Major</t>
        </is>
      </c>
      <c r="I11" s="5" t="inlineStr">
        <is>
          <t>Manual</t>
        </is>
      </c>
      <c r="J11" s="4"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8" t="n">
        <v>46159</v>
      </c>
      <c r="O11" t="inlineStr">
        <is>
          <t>Skipped — external</t>
        </is>
      </c>
      <c r="Q11" t="inlineStr">
        <is>
          <t>—</t>
        </is>
      </c>
      <c r="R11" t="inlineStr">
        <is>
          <t>0%</t>
        </is>
      </c>
    </row>
    <row r="12" ht="30" customHeight="1" s="49">
      <c r="A12" s="6" t="inlineStr">
        <is>
          <t>C-008</t>
        </is>
      </c>
      <c r="B12" s="4" t="inlineStr">
        <is>
          <t>Typography</t>
        </is>
      </c>
      <c r="C12" s="5" t="inlineStr">
        <is>
          <t>17</t>
        </is>
      </c>
      <c r="D12" s="4" t="inlineStr">
        <is>
          <t>Conjunct-consonant ligature rendering</t>
        </is>
      </c>
      <c r="E12" s="4" t="inlineStr">
        <is>
          <t>1. Render strings with क्ष, त्र, ज्ञ, द्ध
2. Verify ligature forms display correctly</t>
        </is>
      </c>
      <c r="F12" s="4" t="inlineStr">
        <is>
          <t>All ligatures display as ligatures, not split</t>
        </is>
      </c>
      <c r="G12" s="5" t="inlineStr">
        <is>
          <t>P3</t>
        </is>
      </c>
      <c r="H12" s="5" t="inlineStr">
        <is>
          <t>Major</t>
        </is>
      </c>
      <c r="I12" s="5" t="inlineStr">
        <is>
          <t>Manual</t>
        </is>
      </c>
      <c r="J12" s="4"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8" t="n">
        <v>46159</v>
      </c>
      <c r="O12" t="inlineStr">
        <is>
          <t>Skipped — external</t>
        </is>
      </c>
      <c r="Q12" t="inlineStr">
        <is>
          <t>—</t>
        </is>
      </c>
      <c r="R12" t="inlineStr">
        <is>
          <t>0%</t>
        </is>
      </c>
    </row>
    <row r="13" ht="31" customHeight="1" s="49">
      <c r="A13" s="6" t="inlineStr">
        <is>
          <t>C-009</t>
        </is>
      </c>
      <c r="B13" s="4" t="inlineStr">
        <is>
          <t>Typography</t>
        </is>
      </c>
      <c r="C13" s="5" t="inlineStr">
        <is>
          <t>17</t>
        </is>
      </c>
      <c r="D13" s="4" t="inlineStr">
        <is>
          <t>Font fallback when Devanagari font is missing</t>
        </is>
      </c>
      <c r="E13" s="4" t="inlineStr">
        <is>
          <t>1. Simulate user without Noto Sans Devanagari
2. Verify graceful fallback (system Hindi font)</t>
        </is>
      </c>
      <c r="F13" s="4" t="inlineStr">
        <is>
          <t>Fallback acceptable; no tofu / boxes</t>
        </is>
      </c>
      <c r="G13" s="5" t="inlineStr">
        <is>
          <t>P5</t>
        </is>
      </c>
      <c r="H13" s="5" t="inlineStr">
        <is>
          <t>Minor</t>
        </is>
      </c>
      <c r="I13" s="5" t="inlineStr">
        <is>
          <t>Manual</t>
        </is>
      </c>
      <c r="J13" s="4"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8" t="n">
        <v>46159</v>
      </c>
      <c r="O13" t="inlineStr">
        <is>
          <t>Skipped — external</t>
        </is>
      </c>
      <c r="Q13" t="inlineStr">
        <is>
          <t>—</t>
        </is>
      </c>
      <c r="R13" t="inlineStr">
        <is>
          <t>0%</t>
        </is>
      </c>
    </row>
    <row r="14" ht="33" customHeight="1" s="49">
      <c r="A14" s="6" t="inlineStr">
        <is>
          <t>C-010</t>
        </is>
      </c>
      <c r="B14" s="4" t="inlineStr">
        <is>
          <t>Typography</t>
        </is>
      </c>
      <c r="C14" s="5" t="inlineStr">
        <is>
          <t>17</t>
        </is>
      </c>
      <c r="D14" s="4" t="inlineStr">
        <is>
          <t>Mixed Devanagari + CJK + Latin baseline alignment</t>
        </is>
      </c>
      <c r="E14" s="4" t="inlineStr">
        <is>
          <t>1. Render strings combining Hindi + Japanese + English on one line
2. Verify baselines align visually</t>
        </is>
      </c>
      <c r="F14" s="4" t="inlineStr">
        <is>
          <t>Acceptable baseline alignment</t>
        </is>
      </c>
      <c r="G14" s="5" t="inlineStr">
        <is>
          <t>P5</t>
        </is>
      </c>
      <c r="H14" s="5" t="inlineStr">
        <is>
          <t>Minor</t>
        </is>
      </c>
      <c r="I14" s="5" t="inlineStr">
        <is>
          <t>Manual</t>
        </is>
      </c>
      <c r="J14" s="4"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8" t="n">
        <v>46159</v>
      </c>
      <c r="O14" t="inlineStr">
        <is>
          <t>Skipped — external</t>
        </is>
      </c>
      <c r="Q14" t="inlineStr">
        <is>
          <t>—</t>
        </is>
      </c>
      <c r="R14" t="inlineStr">
        <is>
          <t>0%</t>
        </is>
      </c>
    </row>
    <row r="15" ht="33" customHeight="1" s="49">
      <c r="A15" s="6" t="inlineStr">
        <is>
          <t>C-011</t>
        </is>
      </c>
      <c r="B15" s="4" t="inlineStr">
        <is>
          <t>Register</t>
        </is>
      </c>
      <c r="C15" s="5" t="inlineStr">
        <is>
          <t>18</t>
        </is>
      </c>
      <c r="D15" s="4" t="inlineStr">
        <is>
          <t>Formal vs informal Hindi register coherence within explanations</t>
        </is>
      </c>
      <c r="E15" s="4" t="inlineStr">
        <is>
          <t>1. Native Hindi reviewer reads each explanation_hi paragraph
2. Flag mid-paragraph register-switching</t>
        </is>
      </c>
      <c r="F15" s="4" t="inlineStr">
        <is>
          <t>0 unintended register switches</t>
        </is>
      </c>
      <c r="G15" s="5" t="inlineStr">
        <is>
          <t>P3</t>
        </is>
      </c>
      <c r="H15" s="5" t="inlineStr">
        <is>
          <t>Major</t>
        </is>
      </c>
      <c r="I15" s="5" t="inlineStr">
        <is>
          <t>Manual</t>
        </is>
      </c>
      <c r="J15" s="4"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8" t="n">
        <v>46159</v>
      </c>
      <c r="O15" t="inlineStr">
        <is>
          <t>PASS</t>
        </is>
      </c>
      <c r="Q15" t="inlineStr">
        <is>
          <t>—</t>
        </is>
      </c>
      <c r="R15" t="inlineStr">
        <is>
          <t>0%</t>
        </is>
      </c>
    </row>
    <row r="16" ht="48" customHeight="1" s="49">
      <c r="A16" s="6" t="inlineStr">
        <is>
          <t>C-012</t>
        </is>
      </c>
      <c r="B16" s="4" t="inlineStr">
        <is>
          <t>Register</t>
        </is>
      </c>
      <c r="C16" s="5" t="inlineStr">
        <is>
          <t>18</t>
        </is>
      </c>
      <c r="D16" s="4" t="inlineStr">
        <is>
          <t>Sanskritized vs Persianized vocabulary balance</t>
        </is>
      </c>
      <c r="E16" s="4" t="inlineStr">
        <is>
          <t>1. Native reviewer judges whether Hindi register is acceptable for pan-Indian audience
2. Flag overly-Sanskritized OR overly-Urdu-leaning entries</t>
        </is>
      </c>
      <c r="F16" s="4" t="inlineStr">
        <is>
          <t>Balanced 'standard Hindi'</t>
        </is>
      </c>
      <c r="G16" s="5" t="inlineStr">
        <is>
          <t>P4</t>
        </is>
      </c>
      <c r="H16" s="5" t="inlineStr">
        <is>
          <t>Minor</t>
        </is>
      </c>
      <c r="I16" s="5" t="inlineStr">
        <is>
          <t>Manual</t>
        </is>
      </c>
      <c r="J16" s="4"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8" t="n">
        <v>46159</v>
      </c>
      <c r="O16" t="inlineStr">
        <is>
          <t>PASS</t>
        </is>
      </c>
      <c r="Q16" t="inlineStr">
        <is>
          <t>—</t>
        </is>
      </c>
      <c r="R16" t="inlineStr">
        <is>
          <t>0%</t>
        </is>
      </c>
    </row>
    <row r="17" ht="30" customHeight="1" s="49">
      <c r="A17" s="6" t="inlineStr">
        <is>
          <t>C-013</t>
        </is>
      </c>
      <c r="B17" s="4" t="inlineStr">
        <is>
          <t>Register</t>
        </is>
      </c>
      <c r="C17" s="5" t="inlineStr">
        <is>
          <t>18</t>
        </is>
      </c>
      <c r="D17" s="4" t="inlineStr">
        <is>
          <t>Regional-variant neutrality (avoid Bombay / Delhi / South-India-specific idioms)</t>
        </is>
      </c>
      <c r="E17" s="4" t="inlineStr">
        <is>
          <t>1. Native reviewer scans for regionally-marked vocab
2. Replace with pan-Indian equivalents</t>
        </is>
      </c>
      <c r="F17" s="4" t="inlineStr">
        <is>
          <t>0 regionally-marked vocab</t>
        </is>
      </c>
      <c r="G17" s="5" t="inlineStr">
        <is>
          <t>P4</t>
        </is>
      </c>
      <c r="H17" s="5" t="inlineStr">
        <is>
          <t>Minor</t>
        </is>
      </c>
      <c r="I17" s="5" t="inlineStr">
        <is>
          <t>Manual</t>
        </is>
      </c>
      <c r="J17" s="4"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8" t="n">
        <v>46159</v>
      </c>
      <c r="O17" t="inlineStr">
        <is>
          <t>PASS</t>
        </is>
      </c>
      <c r="Q17" t="inlineStr">
        <is>
          <t>—</t>
        </is>
      </c>
      <c r="R17" t="inlineStr">
        <is>
          <t>0%</t>
        </is>
      </c>
    </row>
    <row r="18" ht="37" customHeight="1" s="49">
      <c r="A18" s="6" t="inlineStr">
        <is>
          <t>C-014</t>
        </is>
      </c>
      <c r="B18" s="4" t="inlineStr">
        <is>
          <t>Cross-language drift</t>
        </is>
      </c>
      <c r="C18" s="5" t="inlineStr">
        <is>
          <t>19</t>
        </is>
      </c>
      <c r="D18" s="4" t="inlineStr">
        <is>
          <t>EN ↔ HI semantic equivalence on the same JA sentence</t>
        </is>
      </c>
      <c r="E18" s="4" t="inlineStr">
        <is>
          <t>1. Sample 100 sentences with explanation_en + explanation_hi
2. Bilingual reviewer verifies meaning equivalence</t>
        </is>
      </c>
      <c r="F18" s="4" t="inlineStr">
        <is>
          <t>0 semantic drift cases</t>
        </is>
      </c>
      <c r="G18" s="5" t="inlineStr">
        <is>
          <t>P3</t>
        </is>
      </c>
      <c r="H18" s="5" t="inlineStr">
        <is>
          <t>Major</t>
        </is>
      </c>
      <c r="I18" s="5" t="inlineStr">
        <is>
          <t>Manual</t>
        </is>
      </c>
      <c r="J18" s="4"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8" t="n">
        <v>46159</v>
      </c>
      <c r="O18" t="inlineStr">
        <is>
          <t>PASS — with finding</t>
        </is>
      </c>
      <c r="Q18" t="inlineStr">
        <is>
          <t>—</t>
        </is>
      </c>
      <c r="R18" t="inlineStr">
        <is>
          <t>0%</t>
        </is>
      </c>
    </row>
    <row r="19" ht="30" customHeight="1" s="49">
      <c r="A19" s="6" t="inlineStr">
        <is>
          <t>C-015</t>
        </is>
      </c>
      <c r="B19" s="4" t="inlineStr">
        <is>
          <t>Cross-language drift</t>
        </is>
      </c>
      <c r="C19" s="5" t="inlineStr">
        <is>
          <t>19</t>
        </is>
      </c>
      <c r="D19" s="4" t="inlineStr">
        <is>
          <t>Hindi-version pedagogical depth = English-version pedagogical depth</t>
        </is>
      </c>
      <c r="E19" s="4" t="inlineStr">
        <is>
          <t>1. For 50 grammar-pattern explanations, verify Hindi explains as much as English</t>
        </is>
      </c>
      <c r="F19" s="4" t="inlineStr">
        <is>
          <t>Hindi-version not noticeably thinner</t>
        </is>
      </c>
      <c r="G19" s="5" t="inlineStr">
        <is>
          <t>P3</t>
        </is>
      </c>
      <c r="H19" s="5" t="inlineStr">
        <is>
          <t>Major</t>
        </is>
      </c>
      <c r="I19" s="5" t="inlineStr">
        <is>
          <t>Manual</t>
        </is>
      </c>
      <c r="J19" s="4"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8" t="n">
        <v>46159</v>
      </c>
      <c r="O19" t="inlineStr">
        <is>
          <t>PASS</t>
        </is>
      </c>
      <c r="Q19" t="inlineStr">
        <is>
          <t>—</t>
        </is>
      </c>
      <c r="R19" t="inlineStr">
        <is>
          <t>0%</t>
        </is>
      </c>
    </row>
    <row r="20" ht="30" customHeight="1" s="49">
      <c r="A20" s="6" t="inlineStr">
        <is>
          <t>C-016</t>
        </is>
      </c>
      <c r="B20" s="4" t="inlineStr">
        <is>
          <t>Locale parity</t>
        </is>
      </c>
      <c r="C20" s="5" t="inlineStr">
        <is>
          <t>15</t>
        </is>
      </c>
      <c r="D20" s="4" t="inlineStr">
        <is>
          <t>Field-presence parity: every EN field has its HI counterpart</t>
        </is>
      </c>
      <c r="E20" s="4" t="inlineStr">
        <is>
          <t>1. Run JA-39 / JA-85 / JA-86 invariants
2. Verify 0 missing HI fields</t>
        </is>
      </c>
      <c r="F20" s="4" t="inlineStr">
        <is>
          <t>0 EN-only or HI-only entries</t>
        </is>
      </c>
      <c r="G20" s="5" t="inlineStr">
        <is>
          <t>P1</t>
        </is>
      </c>
      <c r="H20" s="5" t="inlineStr">
        <is>
          <t>Critical</t>
        </is>
      </c>
      <c r="I20" s="5" t="inlineStr">
        <is>
          <t>Auto</t>
        </is>
      </c>
      <c r="J20" s="4"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8" t="n">
        <v>46159</v>
      </c>
      <c r="O20" t="inlineStr">
        <is>
          <t>PASS</t>
        </is>
      </c>
      <c r="Q20" t="inlineStr">
        <is>
          <t>—</t>
        </is>
      </c>
      <c r="R20" t="inlineStr">
        <is>
          <t>0%</t>
        </is>
      </c>
    </row>
    <row r="21" ht="30" customHeight="1" s="49">
      <c r="A21" s="6" t="inlineStr">
        <is>
          <t>C-017</t>
        </is>
      </c>
      <c r="B21" s="4" t="inlineStr">
        <is>
          <t>Hindi UI</t>
        </is>
      </c>
      <c r="C21" s="5" t="inlineStr">
        <is>
          <t>15</t>
        </is>
      </c>
      <c r="D21" s="4" t="inlineStr">
        <is>
          <t>Hindi locale-switch state retention across navigation</t>
        </is>
      </c>
      <c r="E21" s="4" t="inlineStr">
        <is>
          <t>1. Toggle UI to HI
2. Navigate Grammar → Vocab → Reading
3. Verify HI persists</t>
        </is>
      </c>
      <c r="F21" s="4" t="inlineStr">
        <is>
          <t>Locale persists across routes</t>
        </is>
      </c>
      <c r="G21" s="5" t="inlineStr">
        <is>
          <t>P3</t>
        </is>
      </c>
      <c r="H21" s="5" t="inlineStr">
        <is>
          <t>Major</t>
        </is>
      </c>
      <c r="I21" s="5" t="inlineStr">
        <is>
          <t>Manual</t>
        </is>
      </c>
      <c r="J21" s="4"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8" t="n">
        <v>46159</v>
      </c>
      <c r="O21" t="inlineStr">
        <is>
          <t>Skipped — external</t>
        </is>
      </c>
      <c r="Q21" t="inlineStr">
        <is>
          <t>—</t>
        </is>
      </c>
      <c r="R21" t="inlineStr">
        <is>
          <t>0%</t>
        </is>
      </c>
    </row>
    <row r="22" ht="38" customHeight="1" s="49">
      <c r="A22" s="6" t="inlineStr">
        <is>
          <t>C-018</t>
        </is>
      </c>
      <c r="B22" s="4" t="inlineStr">
        <is>
          <t>Hindi pedagogy</t>
        </is>
      </c>
      <c r="C22" s="5" t="inlineStr">
        <is>
          <t>15</t>
        </is>
      </c>
      <c r="D22" s="4" t="inlineStr">
        <is>
          <t>Hindi explanations don't presume English knowledge</t>
        </is>
      </c>
      <c r="E22" s="4" t="inlineStr">
        <is>
          <t>1. Native Hindi-monolingual reviewer reads 50 explanations
2. Flag any explanation that requires EN context to parse</t>
        </is>
      </c>
      <c r="F22" s="4" t="inlineStr">
        <is>
          <t>All HI explanations are self-contained</t>
        </is>
      </c>
      <c r="G22" s="5" t="inlineStr">
        <is>
          <t>P3</t>
        </is>
      </c>
      <c r="H22" s="5" t="inlineStr">
        <is>
          <t>Major</t>
        </is>
      </c>
      <c r="I22" s="5" t="inlineStr">
        <is>
          <t>Manual</t>
        </is>
      </c>
      <c r="J22" s="4"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8" t="n">
        <v>46159</v>
      </c>
      <c r="O22" t="inlineStr">
        <is>
          <t>PASS</t>
        </is>
      </c>
      <c r="Q22" t="inlineStr">
        <is>
          <t>—</t>
        </is>
      </c>
      <c r="R22" t="inlineStr">
        <is>
          <t>0%</t>
        </is>
      </c>
    </row>
    <row r="23" ht="145" customHeight="1" s="49">
      <c r="A23" s="32" t="inlineStr">
        <is>
          <t>C-019</t>
        </is>
      </c>
      <c r="B23" s="32" t="inlineStr">
        <is>
          <t>Audit-doc summary</t>
        </is>
      </c>
      <c r="C23" s="32" t="inlineStr">
        <is>
          <t>—</t>
        </is>
      </c>
      <c r="D23" s="32" t="inlineStr">
        <is>
          <t>Hindi audit findings 2026-05-07 — HI-NN classes + R-1.1 invariant</t>
        </is>
      </c>
      <c r="E23" s="32"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2" t="inlineStr">
        <is>
          <t>Every actionable item in the doc maps to a downstream artifact (fix commit / CI invariant / open tracker entry). 0 unmapped items.</t>
        </is>
      </c>
      <c r="G23" s="32" t="inlineStr">
        <is>
          <t>P4</t>
        </is>
      </c>
      <c r="H23" s="32" t="inlineStr">
        <is>
          <t>Minor</t>
        </is>
      </c>
      <c r="I23" s="32" t="inlineStr">
        <is>
          <t>Manual</t>
        </is>
      </c>
      <c r="J23" s="32"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2" t="inlineStr">
        <is>
          <t>1h</t>
        </is>
      </c>
      <c r="L23" s="32" t="inlineStr">
        <is>
          <t>Audit reviewer</t>
        </is>
      </c>
      <c r="M23" s="32" t="inlineStr">
        <is>
          <t>N5/feedback/hindi-audit-findings-2026-05-07.md</t>
        </is>
      </c>
      <c r="N23" s="70" t="n">
        <v>46159</v>
      </c>
      <c r="O23" s="32" t="inlineStr">
        <is>
          <t>PASS</t>
        </is>
      </c>
      <c r="P23" s="32" t="n"/>
      <c r="Q23" s="32" t="inlineStr">
        <is>
          <t>—</t>
        </is>
      </c>
      <c r="R23" s="32" t="inlineStr">
        <is>
          <t>0%</t>
        </is>
      </c>
    </row>
    <row r="24" ht="130.5" customHeight="1" s="49">
      <c r="A24" s="32" t="inlineStr">
        <is>
          <t>C-020</t>
        </is>
      </c>
      <c r="B24" s="32" t="inlineStr">
        <is>
          <t>Audit-doc summary</t>
        </is>
      </c>
      <c r="C24" s="32" t="inlineStr">
        <is>
          <t>—</t>
        </is>
      </c>
      <c r="D24" s="32" t="inlineStr">
        <is>
          <t>Locale transition inventory 2026-05-06 — en→hi migration scope</t>
        </is>
      </c>
      <c r="E24" s="32"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2" t="inlineStr">
        <is>
          <t>Every actionable item in the doc maps to a downstream artifact (fix commit / CI invariant / open tracker entry). 0 unmapped items.</t>
        </is>
      </c>
      <c r="G24" s="32" t="inlineStr">
        <is>
          <t>P4</t>
        </is>
      </c>
      <c r="H24" s="32" t="inlineStr">
        <is>
          <t>Minor</t>
        </is>
      </c>
      <c r="I24" s="32" t="inlineStr">
        <is>
          <t>Manual</t>
        </is>
      </c>
      <c r="J24" s="32"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2" t="inlineStr">
        <is>
          <t>1h</t>
        </is>
      </c>
      <c r="L24" s="32" t="inlineStr">
        <is>
          <t>Audit reviewer</t>
        </is>
      </c>
      <c r="M24" s="32" t="inlineStr">
        <is>
          <t>N5/feedback/locale-transition-inventory.md</t>
        </is>
      </c>
      <c r="N24" s="70" t="n">
        <v>46159</v>
      </c>
      <c r="O24" s="32" t="inlineStr">
        <is>
          <t>PASS</t>
        </is>
      </c>
      <c r="P24" s="32" t="n"/>
      <c r="Q24" s="32" t="inlineStr">
        <is>
          <t>—</t>
        </is>
      </c>
      <c r="R24" s="32" t="inlineStr">
        <is>
          <t>0%</t>
        </is>
      </c>
    </row>
    <row r="25" ht="145" customHeight="1" s="49">
      <c r="A25" s="32" t="inlineStr">
        <is>
          <t>C-021</t>
        </is>
      </c>
      <c r="B25" s="32" t="inlineStr">
        <is>
          <t>Audit-doc summary</t>
        </is>
      </c>
      <c r="C25" s="32" t="inlineStr">
        <is>
          <t>—</t>
        </is>
      </c>
      <c r="D25" s="32" t="inlineStr">
        <is>
          <t>LocaleTransitionEnHi.txt — en→hi locale transition prompt</t>
        </is>
      </c>
      <c r="E25" s="32"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2" t="inlineStr">
        <is>
          <t>Every actionable item in the doc maps to a downstream artifact (fix commit / CI invariant / open tracker entry). 0 unmapped items.</t>
        </is>
      </c>
      <c r="G25" s="32" t="inlineStr">
        <is>
          <t>P4</t>
        </is>
      </c>
      <c r="H25" s="32" t="inlineStr">
        <is>
          <t>Minor</t>
        </is>
      </c>
      <c r="I25" s="32" t="inlineStr">
        <is>
          <t>Manual</t>
        </is>
      </c>
      <c r="J25" s="32"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2" t="inlineStr">
        <is>
          <t>1h</t>
        </is>
      </c>
      <c r="L25" s="32" t="inlineStr">
        <is>
          <t>Audit reviewer</t>
        </is>
      </c>
      <c r="M25" s="32" t="inlineStr">
        <is>
          <t>N5/LocaleTransitionEnHi</t>
        </is>
      </c>
      <c r="N25" s="70" t="n">
        <v>46159</v>
      </c>
      <c r="O25" s="32" t="inlineStr">
        <is>
          <t>Skipped — external</t>
        </is>
      </c>
      <c r="P25" s="32" t="n"/>
      <c r="Q25" s="32" t="inlineStr">
        <is>
          <t>—</t>
        </is>
      </c>
      <c r="R25" s="3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D. UX design</t>
        </is>
      </c>
    </row>
    <row r="2" ht="36" customHeight="1" s="49">
      <c r="A2" s="51" t="inlineStr">
        <is>
          <t>Perspectives: UI / UX designer, visual designer, interaction designer, IA, onboarding, cognitive-load, gamification, form-input, dark-mode (perspectives 20-28)</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40" customHeight="1" s="49">
      <c r="A5" s="6" t="inlineStr">
        <is>
          <t>D-001</t>
        </is>
      </c>
      <c r="B5" s="4" t="inlineStr">
        <is>
          <t>Visual hierarchy</t>
        </is>
      </c>
      <c r="C5" s="5" t="inlineStr">
        <is>
          <t>20</t>
        </is>
      </c>
      <c r="D5" s="4" t="inlineStr">
        <is>
          <t>Quiz page primary-action prominence</t>
        </is>
      </c>
      <c r="E5" s="4"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4" t="inlineStr">
        <is>
          <t>First-click test with n=10, ≥80% click Submit first on the answer surface; OR heuristic evaluation against Nielsen's prominence heuristic with documented score ≥7/10 by two independent evaluators.</t>
        </is>
      </c>
      <c r="G5" s="5" t="inlineStr">
        <is>
          <t>P3</t>
        </is>
      </c>
      <c r="H5" s="5" t="inlineStr">
        <is>
          <t>Major</t>
        </is>
      </c>
      <c r="I5" s="5" t="inlineStr">
        <is>
          <t>Manual</t>
        </is>
      </c>
      <c r="J5" s="4"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8" t="n">
        <v>46159</v>
      </c>
      <c r="O5" t="inlineStr">
        <is>
          <t>Manual — deferred</t>
        </is>
      </c>
      <c r="Q5" t="inlineStr">
        <is>
          <t>—</t>
        </is>
      </c>
      <c r="R5" t="inlineStr">
        <is>
          <t>0%</t>
        </is>
      </c>
    </row>
    <row r="6" ht="30" customHeight="1" s="49">
      <c r="A6" s="6" t="inlineStr">
        <is>
          <t>D-002</t>
        </is>
      </c>
      <c r="B6" s="4" t="inlineStr">
        <is>
          <t>Visual hierarchy</t>
        </is>
      </c>
      <c r="C6" s="5" t="inlineStr">
        <is>
          <t>20</t>
        </is>
      </c>
      <c r="D6" s="4" t="inlineStr">
        <is>
          <t>Empty-state design (no-progress learner, fresh app)</t>
        </is>
      </c>
      <c r="E6" s="4" t="inlineStr">
        <is>
          <t>1. Open app with clear localStorage
2. Verify empty-state messaging guides next step</t>
        </is>
      </c>
      <c r="F6" s="4" t="inlineStr">
        <is>
          <t>Qualitative analysis of 20 wrong-answer states; each surfaces ≥1 of: correct answer, why-it's-wrong, an example, or a teaching note. Pass if ≥18/20 surface at least one element.</t>
        </is>
      </c>
      <c r="G6" s="5" t="inlineStr">
        <is>
          <t>P3</t>
        </is>
      </c>
      <c r="H6" s="5" t="inlineStr">
        <is>
          <t>Major</t>
        </is>
      </c>
      <c r="I6" s="5" t="inlineStr">
        <is>
          <t>Manual</t>
        </is>
      </c>
      <c r="J6" s="4"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8" t="n">
        <v>46159</v>
      </c>
      <c r="O6" t="inlineStr">
        <is>
          <t>Manual — deferred</t>
        </is>
      </c>
      <c r="Q6" t="inlineStr">
        <is>
          <t>—</t>
        </is>
      </c>
      <c r="R6" t="inlineStr">
        <is>
          <t>0%</t>
        </is>
      </c>
    </row>
    <row r="7" ht="31" customHeight="1" s="49">
      <c r="A7" s="6" t="inlineStr">
        <is>
          <t>D-003</t>
        </is>
      </c>
      <c r="B7" s="4" t="inlineStr">
        <is>
          <t>Visual hierarchy</t>
        </is>
      </c>
      <c r="C7" s="5" t="inlineStr">
        <is>
          <t>20</t>
        </is>
      </c>
      <c r="D7" s="4" t="inlineStr">
        <is>
          <t>Loading-state design for audio + data fetches</t>
        </is>
      </c>
      <c r="E7" s="4" t="inlineStr">
        <is>
          <t>1. Throttle network to 3G
2. Open vocab module
3. Verify loading indicator appears within 200ms</t>
        </is>
      </c>
      <c r="F7" s="4" t="inlineStr">
        <is>
          <t>Loading indicator visible during fetch</t>
        </is>
      </c>
      <c r="G7" s="5" t="inlineStr">
        <is>
          <t>P4</t>
        </is>
      </c>
      <c r="H7" s="5" t="inlineStr">
        <is>
          <t>Minor</t>
        </is>
      </c>
      <c r="I7" s="5" t="inlineStr">
        <is>
          <t>Manual</t>
        </is>
      </c>
      <c r="J7" s="4" t="inlineStr">
        <is>
          <t>No automated check today — manual only. — UX-designer review 2026-05-17: Learner-progress visibility — UI heuristic; deferred.</t>
        </is>
      </c>
      <c r="K7" t="inlineStr">
        <is>
          <t>1d</t>
        </is>
      </c>
      <c r="L7" t="inlineStr">
        <is>
          <t>UI/UX designer</t>
        </is>
      </c>
      <c r="M7" t="inlineStr">
        <is>
          <t>n/a — manual evaluation</t>
        </is>
      </c>
      <c r="N7" s="68" t="n">
        <v>46159</v>
      </c>
      <c r="O7" t="inlineStr">
        <is>
          <t>Manual — deferred</t>
        </is>
      </c>
      <c r="Q7" t="inlineStr">
        <is>
          <t>—</t>
        </is>
      </c>
      <c r="R7" t="inlineStr">
        <is>
          <t>0%</t>
        </is>
      </c>
    </row>
    <row r="8" ht="36" customHeight="1" s="49">
      <c r="A8" s="6" t="inlineStr">
        <is>
          <t>D-004</t>
        </is>
      </c>
      <c r="B8" s="4" t="inlineStr">
        <is>
          <t>Color palette</t>
        </is>
      </c>
      <c r="C8" s="5" t="inlineStr">
        <is>
          <t>21</t>
        </is>
      </c>
      <c r="D8" s="4" t="inlineStr">
        <is>
          <t>Primary color (PRIMARY_DARK = #14452a) contrast against white background</t>
        </is>
      </c>
      <c r="E8" s="4" t="inlineStr">
        <is>
          <t>1. Measure WCAG contrast ratio for text using #14452a on #ffffff
2. Verify ≥ 4.5:1 for body, ≥ 3:1 for large</t>
        </is>
      </c>
      <c r="F8" s="4" t="inlineStr">
        <is>
          <t>Contrast ≥ AA standard</t>
        </is>
      </c>
      <c r="G8" s="5" t="inlineStr">
        <is>
          <t>P3</t>
        </is>
      </c>
      <c r="H8" s="5" t="inlineStr">
        <is>
          <t>Major</t>
        </is>
      </c>
      <c r="I8" s="5" t="inlineStr">
        <is>
          <t>Auto</t>
        </is>
      </c>
      <c r="J8" s="4"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8" t="n">
        <v>46159</v>
      </c>
      <c r="O8" t="inlineStr">
        <is>
          <t>Manual — deferred</t>
        </is>
      </c>
      <c r="Q8" t="inlineStr">
        <is>
          <t>—</t>
        </is>
      </c>
      <c r="R8" t="inlineStr">
        <is>
          <t>0%</t>
        </is>
      </c>
    </row>
    <row r="9" ht="30" customHeight="1" s="49">
      <c r="A9" s="6" t="inlineStr">
        <is>
          <t>D-005</t>
        </is>
      </c>
      <c r="B9" s="4" t="inlineStr">
        <is>
          <t>Color palette</t>
        </is>
      </c>
      <c r="C9" s="5" t="inlineStr">
        <is>
          <t>21</t>
        </is>
      </c>
      <c r="D9" s="4" t="inlineStr">
        <is>
          <t>Link color (#1a5c38) contrast vs primary text</t>
        </is>
      </c>
      <c r="E9" s="4" t="inlineStr">
        <is>
          <t>1. Verify links are distinguishable from body text by color alone (and also another cue)</t>
        </is>
      </c>
      <c r="F9" s="4" t="inlineStr">
        <is>
          <t>Links pass color-distinguishability check + have underline or other cue</t>
        </is>
      </c>
      <c r="G9" s="5" t="inlineStr">
        <is>
          <t>P4</t>
        </is>
      </c>
      <c r="H9" s="5" t="inlineStr">
        <is>
          <t>Minor</t>
        </is>
      </c>
      <c r="I9" s="5" t="inlineStr">
        <is>
          <t>Manual</t>
        </is>
      </c>
      <c r="J9" s="4" t="inlineStr">
        <is>
          <t>No automated check today — manual only. — UX-designer review 2026-05-17: Onboarding flow — first-time-user heuristic; deferred.</t>
        </is>
      </c>
      <c r="K9" t="inlineStr">
        <is>
          <t>1d</t>
        </is>
      </c>
      <c r="L9" t="inlineStr">
        <is>
          <t>UI/UX designer</t>
        </is>
      </c>
      <c r="M9" t="inlineStr">
        <is>
          <t>n/a — manual evaluation</t>
        </is>
      </c>
      <c r="N9" s="68" t="n">
        <v>46159</v>
      </c>
      <c r="O9" t="inlineStr">
        <is>
          <t>Manual — deferred</t>
        </is>
      </c>
      <c r="Q9" t="inlineStr">
        <is>
          <t>—</t>
        </is>
      </c>
      <c r="R9" t="inlineStr">
        <is>
          <t>0%</t>
        </is>
      </c>
    </row>
    <row r="10" ht="35" customHeight="1" s="49">
      <c r="A10" s="6" t="inlineStr">
        <is>
          <t>D-006</t>
        </is>
      </c>
      <c r="B10" s="4" t="inlineStr">
        <is>
          <t>Color palette</t>
        </is>
      </c>
      <c r="C10" s="5" t="inlineStr">
        <is>
          <t>21</t>
        </is>
      </c>
      <c r="D10" s="4" t="inlineStr">
        <is>
          <t>Correct / wrong state colors are color-blind-safe</t>
        </is>
      </c>
      <c r="E10" s="4" t="inlineStr">
        <is>
          <t>1. Render correct (green) + wrong (red) feedback states
2. View through deuteranopia / protanopia simulator</t>
        </is>
      </c>
      <c r="F10" s="4" t="inlineStr">
        <is>
          <t>Colorblind users can distinguish; backed by icon/text</t>
        </is>
      </c>
      <c r="G10" s="5" t="inlineStr">
        <is>
          <t>P3</t>
        </is>
      </c>
      <c r="H10" s="5" t="inlineStr">
        <is>
          <t>Major</t>
        </is>
      </c>
      <c r="I10" s="5" t="inlineStr">
        <is>
          <t>Manual</t>
        </is>
      </c>
      <c r="J10" s="4"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8" t="n">
        <v>46159</v>
      </c>
      <c r="O10" t="inlineStr">
        <is>
          <t>Manual — deferred</t>
        </is>
      </c>
      <c r="Q10" t="inlineStr">
        <is>
          <t>—</t>
        </is>
      </c>
      <c r="R10" t="inlineStr">
        <is>
          <t>0%</t>
        </is>
      </c>
    </row>
    <row r="11" ht="32" customHeight="1" s="49">
      <c r="A11" s="6" t="inlineStr">
        <is>
          <t>D-007</t>
        </is>
      </c>
      <c r="B11" s="4" t="inlineStr">
        <is>
          <t>Typography</t>
        </is>
      </c>
      <c r="C11" s="5" t="inlineStr">
        <is>
          <t>21</t>
        </is>
      </c>
      <c r="D11" s="4" t="inlineStr">
        <is>
          <t>CJK + Devanagari + Latin co-existence on one line</t>
        </is>
      </c>
      <c r="E11" s="4" t="inlineStr">
        <is>
          <t>1. Render strings mixing the 3 scripts
2. Verify font choice doesn't break baseline / line-height</t>
        </is>
      </c>
      <c r="F11" s="4" t="inlineStr">
        <is>
          <t>Acceptable typography across 3 scripts</t>
        </is>
      </c>
      <c r="G11" s="5" t="inlineStr">
        <is>
          <t>P4</t>
        </is>
      </c>
      <c r="H11" s="5" t="inlineStr">
        <is>
          <t>Minor</t>
        </is>
      </c>
      <c r="I11" s="5" t="inlineStr">
        <is>
          <t>Manual</t>
        </is>
      </c>
      <c r="J11" s="4"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8" t="n">
        <v>46159</v>
      </c>
      <c r="O11" t="inlineStr">
        <is>
          <t>Manual — deferred</t>
        </is>
      </c>
      <c r="Q11" t="inlineStr">
        <is>
          <t>—</t>
        </is>
      </c>
      <c r="R11" t="inlineStr">
        <is>
          <t>0%</t>
        </is>
      </c>
    </row>
    <row r="12" ht="30" customHeight="1" s="49">
      <c r="A12" s="6" t="inlineStr">
        <is>
          <t>D-008</t>
        </is>
      </c>
      <c r="B12" s="4" t="inlineStr">
        <is>
          <t>Typography</t>
        </is>
      </c>
      <c r="C12" s="5" t="inlineStr">
        <is>
          <t>21</t>
        </is>
      </c>
      <c r="D12" s="4" t="inlineStr">
        <is>
          <t>Furigana ruby-text size relative to base text</t>
        </is>
      </c>
      <c r="E12" s="4" t="inlineStr">
        <is>
          <t>1. Render kanji + furigana
2. Verify furigana is ~50% size; readable on mobile</t>
        </is>
      </c>
      <c r="F12" s="4" t="inlineStr">
        <is>
          <t>Furigana readable on smallest target device</t>
        </is>
      </c>
      <c r="G12" s="5" t="inlineStr">
        <is>
          <t>P3</t>
        </is>
      </c>
      <c r="H12" s="5" t="inlineStr">
        <is>
          <t>Major</t>
        </is>
      </c>
      <c r="I12" s="5" t="inlineStr">
        <is>
          <t>Manual</t>
        </is>
      </c>
      <c r="J12" s="4" t="inlineStr">
        <is>
          <t>No automated check today — manual only. — UX-designer review 2026-05-17: Mobile-first navigation pattern — heuristic; deferred.</t>
        </is>
      </c>
      <c r="K12" t="inlineStr">
        <is>
          <t>1d</t>
        </is>
      </c>
      <c r="L12" t="inlineStr">
        <is>
          <t>UI/UX designer</t>
        </is>
      </c>
      <c r="M12" t="inlineStr">
        <is>
          <t>n/a — manual evaluation</t>
        </is>
      </c>
      <c r="N12" s="68" t="n">
        <v>46159</v>
      </c>
      <c r="O12" t="inlineStr">
        <is>
          <t>Manual — deferred</t>
        </is>
      </c>
      <c r="Q12" t="inlineStr">
        <is>
          <t>—</t>
        </is>
      </c>
      <c r="R12" t="inlineStr">
        <is>
          <t>0%</t>
        </is>
      </c>
    </row>
    <row r="13" ht="31" customHeight="1" s="49">
      <c r="A13" s="6" t="inlineStr">
        <is>
          <t>D-009</t>
        </is>
      </c>
      <c r="B13" s="4" t="inlineStr">
        <is>
          <t>Typography</t>
        </is>
      </c>
      <c r="C13" s="5" t="inlineStr">
        <is>
          <t>21</t>
        </is>
      </c>
      <c r="D13" s="4" t="inlineStr">
        <is>
          <t>Japanese punctuation handling (、 。 「 」) line-wrapping rules</t>
        </is>
      </c>
      <c r="E13" s="4" t="inlineStr">
        <is>
          <t>1. Render long Japanese sentences with various punctuation
2. Verify 行頭禁則 (no 。 at line start)</t>
        </is>
      </c>
      <c r="F13" s="4" t="inlineStr">
        <is>
          <t>Punctuation follows JIS X 4051 kinsoku shori:
• 句読点 (、 。) never start a line
• Opening brackets (「 『 （) never end a line
• Closing brackets (」 』 ）) never start a line
Verified by Playwright visual check at 320/375/414 px viewport widths.</t>
        </is>
      </c>
      <c r="G13" s="5" t="inlineStr">
        <is>
          <t>P5</t>
        </is>
      </c>
      <c r="H13" s="5" t="inlineStr">
        <is>
          <t>Minor</t>
        </is>
      </c>
      <c r="I13" s="5" t="inlineStr">
        <is>
          <t>Automated (Playwright)</t>
        </is>
      </c>
      <c r="J13" s="4"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8" t="n">
        <v>46159</v>
      </c>
      <c r="O13" t="inlineStr">
        <is>
          <t>PASS</t>
        </is>
      </c>
      <c r="Q13" t="inlineStr">
        <is>
          <t>—</t>
        </is>
      </c>
      <c r="R13" t="inlineStr">
        <is>
          <t>0%</t>
        </is>
      </c>
    </row>
    <row r="14" ht="30" customHeight="1" s="49">
      <c r="A14" s="6" t="inlineStr">
        <is>
          <t>D-010</t>
        </is>
      </c>
      <c r="B14" s="4" t="inlineStr">
        <is>
          <t>Information architecture</t>
        </is>
      </c>
      <c r="C14" s="5" t="inlineStr">
        <is>
          <t>23</t>
        </is>
      </c>
      <c r="D14" s="4" t="inlineStr">
        <is>
          <t>Module taxonomy clarity (Grammar / Vocab / Kanji / Reading / Listening / Mock)</t>
        </is>
      </c>
      <c r="E14" s="4"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4" t="inlineStr">
        <is>
          <t>≤ 5 seconds to find a module from home</t>
        </is>
      </c>
      <c r="G14" s="5" t="inlineStr">
        <is>
          <t>P3</t>
        </is>
      </c>
      <c r="H14" s="5" t="inlineStr">
        <is>
          <t>Major</t>
        </is>
      </c>
      <c r="I14" s="5" t="inlineStr">
        <is>
          <t>Manual</t>
        </is>
      </c>
      <c r="J14" s="4"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8" t="n">
        <v>46159</v>
      </c>
      <c r="O14" t="inlineStr">
        <is>
          <t>Manual — deferred</t>
        </is>
      </c>
      <c r="Q14" t="inlineStr">
        <is>
          <t>—</t>
        </is>
      </c>
      <c r="R14" t="inlineStr">
        <is>
          <t>0%</t>
        </is>
      </c>
    </row>
    <row r="15" ht="37" customHeight="1" s="49">
      <c r="A15" s="6" t="inlineStr">
        <is>
          <t>D-011</t>
        </is>
      </c>
      <c r="B15" s="4" t="inlineStr">
        <is>
          <t>Information architecture</t>
        </is>
      </c>
      <c r="C15" s="5" t="inlineStr">
        <is>
          <t>23</t>
        </is>
      </c>
      <c r="D15" s="4" t="inlineStr">
        <is>
          <t>Cross-link integrity between vocab and grammar</t>
        </is>
      </c>
      <c r="E15" s="4" t="inlineStr">
        <is>
          <t>1. Open a vocab entry that references a grammar pattern
2. Click the cross-link
3. Verify it navigates correctly</t>
        </is>
      </c>
      <c r="F15" s="4" t="inlineStr">
        <is>
          <t>All cross-links resolve and navigate</t>
        </is>
      </c>
      <c r="G15" s="5" t="inlineStr">
        <is>
          <t>P3</t>
        </is>
      </c>
      <c r="H15" s="5" t="inlineStr">
        <is>
          <t>Major</t>
        </is>
      </c>
      <c r="I15" s="5" t="inlineStr">
        <is>
          <t>Manual</t>
        </is>
      </c>
      <c r="J15" s="4" t="inlineStr">
        <is>
          <t>No automated check today — manual only. — UX-designer review 2026-05-17: Visual hierarchy of choices vs stem — heuristic.</t>
        </is>
      </c>
      <c r="K15" t="inlineStr">
        <is>
          <t>1d</t>
        </is>
      </c>
      <c r="L15" t="inlineStr">
        <is>
          <t>UI/UX designer</t>
        </is>
      </c>
      <c r="M15" t="inlineStr">
        <is>
          <t>n/a — manual evaluation</t>
        </is>
      </c>
      <c r="N15" s="68" t="n">
        <v>46159</v>
      </c>
      <c r="O15" t="inlineStr">
        <is>
          <t>Manual — deferred</t>
        </is>
      </c>
      <c r="Q15" t="inlineStr">
        <is>
          <t>—</t>
        </is>
      </c>
      <c r="R15" t="inlineStr">
        <is>
          <t>0%</t>
        </is>
      </c>
    </row>
    <row r="16" ht="30" customHeight="1" s="49">
      <c r="A16" s="6" t="inlineStr">
        <is>
          <t>D-012</t>
        </is>
      </c>
      <c r="B16" s="4" t="inlineStr">
        <is>
          <t>Information architecture</t>
        </is>
      </c>
      <c r="C16" s="5" t="inlineStr">
        <is>
          <t>23</t>
        </is>
      </c>
      <c r="D16" s="4" t="inlineStr">
        <is>
          <t>Search / global-find functionality</t>
        </is>
      </c>
      <c r="E16" s="4" t="inlineStr">
        <is>
          <t>1. Search for 'taberu' / 'たべる' / '食べる'
2. Verify all three forms return the same entry</t>
        </is>
      </c>
      <c r="F16" s="4" t="inlineStr">
        <is>
          <t>Cross-script search works</t>
        </is>
      </c>
      <c r="G16" s="5" t="inlineStr">
        <is>
          <t>P3</t>
        </is>
      </c>
      <c r="H16" s="5" t="inlineStr">
        <is>
          <t>Major</t>
        </is>
      </c>
      <c r="I16" s="5" t="inlineStr">
        <is>
          <t>Manual</t>
        </is>
      </c>
      <c r="J16" s="4"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8" t="n">
        <v>46159</v>
      </c>
      <c r="O16" t="inlineStr">
        <is>
          <t>Manual — deferred</t>
        </is>
      </c>
      <c r="Q16" t="inlineStr">
        <is>
          <t>—</t>
        </is>
      </c>
      <c r="R16" t="inlineStr">
        <is>
          <t>0%</t>
        </is>
      </c>
    </row>
    <row r="17" ht="30" customHeight="1" s="49">
      <c r="A17" s="6" t="inlineStr">
        <is>
          <t>D-013</t>
        </is>
      </c>
      <c r="B17" s="4" t="inlineStr">
        <is>
          <t>Onboarding</t>
        </is>
      </c>
      <c r="C17" s="5" t="inlineStr">
        <is>
          <t>24</t>
        </is>
      </c>
      <c r="D17" s="4" t="inlineStr">
        <is>
          <t>Day-1 experience for a brand-new learner</t>
        </is>
      </c>
      <c r="E17" s="4" t="inlineStr">
        <is>
          <t>Method: unmoderated remote with task-completion tracking.
Sample: 8 participants (HI-L1 + EN-L2; mix of true beginner + ~5 hours prior Japanese exposure).
Pass criterion: ≥6 of 8 participants complete ≥1 lesson + ≥1 quiz within their first 20-minute session.</t>
        </is>
      </c>
      <c r="F17" s="4" t="inlineStr">
        <is>
          <t>Learner completes ≥1 lesson + ≥1 quiz</t>
        </is>
      </c>
      <c r="G17" s="5" t="inlineStr">
        <is>
          <t>P3</t>
        </is>
      </c>
      <c r="H17" s="5" t="inlineStr">
        <is>
          <t>Major</t>
        </is>
      </c>
      <c r="I17" s="5" t="inlineStr">
        <is>
          <t>Manual</t>
        </is>
      </c>
      <c r="J17" s="4"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8" t="n">
        <v>46159</v>
      </c>
      <c r="O17" t="inlineStr">
        <is>
          <t>Manual — deferred</t>
        </is>
      </c>
      <c r="Q17" t="inlineStr">
        <is>
          <t>—</t>
        </is>
      </c>
      <c r="R17" t="inlineStr">
        <is>
          <t>0%</t>
        </is>
      </c>
    </row>
    <row r="18" ht="30" customHeight="1" s="49">
      <c r="A18" s="6" t="inlineStr">
        <is>
          <t>D-014</t>
        </is>
      </c>
      <c r="B18" s="4" t="inlineStr">
        <is>
          <t>Onboarding</t>
        </is>
      </c>
      <c r="C18" s="5" t="inlineStr">
        <is>
          <t>24</t>
        </is>
      </c>
      <c r="D18" s="4" t="inlineStr">
        <is>
          <t>Self-assessment / placement at start</t>
        </is>
      </c>
      <c r="E18" s="4" t="inlineStr">
        <is>
          <t>1. New user: does app ask 'have you studied before?'
2. Verify pathway adjusts</t>
        </is>
      </c>
      <c r="F18" s="4" t="inlineStr">
        <is>
          <t>App accommodates prior-knowledge variance</t>
        </is>
      </c>
      <c r="G18" s="5" t="inlineStr">
        <is>
          <t>P3</t>
        </is>
      </c>
      <c r="H18" s="5" t="inlineStr">
        <is>
          <t>Major</t>
        </is>
      </c>
      <c r="I18" s="5" t="inlineStr">
        <is>
          <t>Manual</t>
        </is>
      </c>
      <c r="J18" s="4"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8" t="n">
        <v>46159</v>
      </c>
      <c r="O18" t="inlineStr">
        <is>
          <t>PASS</t>
        </is>
      </c>
      <c r="Q18" t="inlineStr">
        <is>
          <t>—</t>
        </is>
      </c>
      <c r="R18" t="inlineStr">
        <is>
          <t>0%</t>
        </is>
      </c>
    </row>
    <row r="19" ht="30" customHeight="1" s="49">
      <c r="A19" s="6" t="inlineStr">
        <is>
          <t>D-015</t>
        </is>
      </c>
      <c r="B19" s="4" t="inlineStr">
        <is>
          <t>Cognitive load</t>
        </is>
      </c>
      <c r="C19" s="5" t="inlineStr">
        <is>
          <t>25</t>
        </is>
      </c>
      <c r="D19" s="4" t="inlineStr">
        <is>
          <t>Chunk size per grammar lesson (≤ 5 examples?)</t>
        </is>
      </c>
      <c r="E19" s="4" t="inlineStr">
        <is>
          <t>1. Measure example count per pattern
2. Verify ≤ 7 examples per single-screen view</t>
        </is>
      </c>
      <c r="F19" s="4" t="inlineStr">
        <is>
          <t>Per-screen chunk ≤ working-memory budget</t>
        </is>
      </c>
      <c r="G19" s="5" t="inlineStr">
        <is>
          <t>P4</t>
        </is>
      </c>
      <c r="H19" s="5" t="inlineStr">
        <is>
          <t>Minor</t>
        </is>
      </c>
      <c r="I19" s="5" t="inlineStr">
        <is>
          <t>Manual</t>
        </is>
      </c>
      <c r="J19" s="4" t="inlineStr">
        <is>
          <t>No automated check today — manual only. — UX-designer review 2026-05-17: Empty-state design — UI heuristic.</t>
        </is>
      </c>
      <c r="K19" t="inlineStr">
        <is>
          <t>1d</t>
        </is>
      </c>
      <c r="L19" t="inlineStr">
        <is>
          <t>UI/UX designer</t>
        </is>
      </c>
      <c r="M19" t="inlineStr">
        <is>
          <t>n/a — manual evaluation</t>
        </is>
      </c>
      <c r="N19" s="68" t="n">
        <v>46159</v>
      </c>
      <c r="O19" t="inlineStr">
        <is>
          <t>Manual — deferred</t>
        </is>
      </c>
      <c r="Q19" t="inlineStr">
        <is>
          <t>—</t>
        </is>
      </c>
      <c r="R19" t="inlineStr">
        <is>
          <t>0%</t>
        </is>
      </c>
    </row>
    <row r="20" ht="30" customHeight="1" s="49">
      <c r="A20" s="6" t="inlineStr">
        <is>
          <t>D-016</t>
        </is>
      </c>
      <c r="B20" s="4" t="inlineStr">
        <is>
          <t>Cognitive load</t>
        </is>
      </c>
      <c r="C20" s="5" t="inlineStr">
        <is>
          <t>25</t>
        </is>
      </c>
      <c r="D20" s="4" t="inlineStr">
        <is>
          <t>Per-session card budget enforcement</t>
        </is>
      </c>
      <c r="E20" s="4" t="inlineStr">
        <is>
          <t>1. Verify SRS module caps daily new-card intake (e.g., 20 new cards/day)</t>
        </is>
      </c>
      <c r="F20" s="4" t="inlineStr">
        <is>
          <t>Daily-cap exists and prevents burnout</t>
        </is>
      </c>
      <c r="G20" s="5" t="inlineStr">
        <is>
          <t>P4</t>
        </is>
      </c>
      <c r="H20" s="5" t="inlineStr">
        <is>
          <t>Minor</t>
        </is>
      </c>
      <c r="I20" s="5" t="inlineStr">
        <is>
          <t>Manual</t>
        </is>
      </c>
      <c r="J20" s="4" t="inlineStr">
        <is>
          <t>No automated check today — manual only. — UX-designer review 2026-05-17: Search-result presentation — UI heuristic.</t>
        </is>
      </c>
      <c r="K20" t="inlineStr">
        <is>
          <t>1d</t>
        </is>
      </c>
      <c r="L20" t="inlineStr">
        <is>
          <t>UI/UX designer</t>
        </is>
      </c>
      <c r="M20" t="inlineStr">
        <is>
          <t>n/a — manual evaluation</t>
        </is>
      </c>
      <c r="N20" s="68" t="n">
        <v>46159</v>
      </c>
      <c r="O20" t="inlineStr">
        <is>
          <t>Manual — deferred</t>
        </is>
      </c>
      <c r="Q20" t="inlineStr">
        <is>
          <t>—</t>
        </is>
      </c>
      <c r="R20" t="inlineStr">
        <is>
          <t>0%</t>
        </is>
      </c>
    </row>
    <row r="21" ht="30" customHeight="1" s="49">
      <c r="A21" s="6" t="inlineStr">
        <is>
          <t>D-017</t>
        </is>
      </c>
      <c r="B21" s="4" t="inlineStr">
        <is>
          <t>Microinteractions</t>
        </is>
      </c>
      <c r="C21" s="5" t="inlineStr">
        <is>
          <t>22</t>
        </is>
      </c>
      <c r="D21" s="4" t="inlineStr">
        <is>
          <t>Correct-answer animation timing</t>
        </is>
      </c>
      <c r="E21" s="4" t="inlineStr">
        <is>
          <t>1. Submit correct answer
2. Measure feedback animation duration
3. Verify ≤ 1 sec</t>
        </is>
      </c>
      <c r="F21" s="4" t="inlineStr">
        <is>
          <t>Fast feedback (≤ 1s) to maintain flow</t>
        </is>
      </c>
      <c r="G21" s="5" t="inlineStr">
        <is>
          <t>P5</t>
        </is>
      </c>
      <c r="H21" s="5" t="inlineStr">
        <is>
          <t>Minor</t>
        </is>
      </c>
      <c r="I21" s="5" t="inlineStr">
        <is>
          <t>Manual</t>
        </is>
      </c>
      <c r="J21" s="4" t="inlineStr">
        <is>
          <t>No automated check today — manual only. — UX-designer review 2026-05-17: 404 / error page UX — heuristic.</t>
        </is>
      </c>
      <c r="K21" t="inlineStr">
        <is>
          <t>1d</t>
        </is>
      </c>
      <c r="L21" t="inlineStr">
        <is>
          <t>UI/UX designer</t>
        </is>
      </c>
      <c r="M21" t="inlineStr">
        <is>
          <t>n/a — manual evaluation</t>
        </is>
      </c>
      <c r="N21" s="68" t="n">
        <v>46159</v>
      </c>
      <c r="O21" t="inlineStr">
        <is>
          <t>Manual — deferred</t>
        </is>
      </c>
      <c r="Q21" t="inlineStr">
        <is>
          <t>—</t>
        </is>
      </c>
      <c r="R21" t="inlineStr">
        <is>
          <t>0%</t>
        </is>
      </c>
    </row>
    <row r="22" ht="30" customHeight="1" s="49">
      <c r="A22" s="6" t="inlineStr">
        <is>
          <t>D-018</t>
        </is>
      </c>
      <c r="B22" s="4" t="inlineStr">
        <is>
          <t>Microinteractions</t>
        </is>
      </c>
      <c r="C22" s="5" t="inlineStr">
        <is>
          <t>22</t>
        </is>
      </c>
      <c r="D22" s="4" t="inlineStr">
        <is>
          <t>Wrong-answer feedback informativeness</t>
        </is>
      </c>
      <c r="E22" s="4" t="inlineStr">
        <is>
          <t>1. Submit wrong answer
2. Verify learner sees: correct answer, why wrong, link to lesson</t>
        </is>
      </c>
      <c r="F22" s="4" t="inlineStr">
        <is>
          <t>Qualitative analysis of 20 surprise-pop-up states (e.g. achievement, level-up, milestone toasts); each is dismissible within one click and does not interrupt an in-progress answer. Pass if 20/20 satisfy both.</t>
        </is>
      </c>
      <c r="G22" s="5" t="inlineStr">
        <is>
          <t>P3</t>
        </is>
      </c>
      <c r="H22" s="5" t="inlineStr">
        <is>
          <t>Major</t>
        </is>
      </c>
      <c r="I22" s="5" t="inlineStr">
        <is>
          <t>Manual</t>
        </is>
      </c>
      <c r="J22" s="4"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8" t="n">
        <v>46159</v>
      </c>
      <c r="O22" t="inlineStr">
        <is>
          <t>Manual — deferred</t>
        </is>
      </c>
      <c r="Q22" t="inlineStr">
        <is>
          <t>—</t>
        </is>
      </c>
      <c r="R22" t="inlineStr">
        <is>
          <t>0%</t>
        </is>
      </c>
    </row>
    <row r="23" ht="38" customHeight="1" s="49">
      <c r="A23" s="6" t="inlineStr">
        <is>
          <t>D-019</t>
        </is>
      </c>
      <c r="B23" s="4" t="inlineStr">
        <is>
          <t>Form / input</t>
        </is>
      </c>
      <c r="C23" s="5" t="inlineStr">
        <is>
          <t>27</t>
        </is>
      </c>
      <c r="D23" s="4" t="inlineStr">
        <is>
          <t>Japanese IME input for production drills</t>
        </is>
      </c>
      <c r="E23" s="4" t="inlineStr">
        <is>
          <t>1. Open production-type drill (EN→JA typing)
2. Type with IME on Mac / Windows / iOS / Android
3. Verify submission</t>
        </is>
      </c>
      <c r="F23" s="4" t="inlineStr">
        <is>
          <t>IME input works across platforms</t>
        </is>
      </c>
      <c r="G23" s="5" t="inlineStr">
        <is>
          <t>P3</t>
        </is>
      </c>
      <c r="H23" s="5" t="inlineStr">
        <is>
          <t>Major</t>
        </is>
      </c>
      <c r="I23" s="5" t="inlineStr">
        <is>
          <t>Manual</t>
        </is>
      </c>
      <c r="J23" s="4"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8" t="n">
        <v>46159</v>
      </c>
      <c r="O23" t="inlineStr">
        <is>
          <t>Manual — deferred</t>
        </is>
      </c>
      <c r="Q23" t="inlineStr">
        <is>
          <t>—</t>
        </is>
      </c>
      <c r="R23" t="inlineStr">
        <is>
          <t>0%</t>
        </is>
      </c>
    </row>
    <row r="24" ht="30" customHeight="1" s="49">
      <c r="A24" s="6" t="inlineStr">
        <is>
          <t>D-020</t>
        </is>
      </c>
      <c r="B24" s="4" t="inlineStr">
        <is>
          <t>Form / input</t>
        </is>
      </c>
      <c r="C24" s="5" t="inlineStr">
        <is>
          <t>27</t>
        </is>
      </c>
      <c r="D24" s="4" t="inlineStr">
        <is>
          <t>Romaji-to-kana auto-conversion for learners without IME</t>
        </is>
      </c>
      <c r="E24" s="4" t="inlineStr">
        <is>
          <t>1. Toggle romaji-input mode
2. Type 'tabemasu'
3. Verify auto-conversion to たべます</t>
        </is>
      </c>
      <c r="F24" s="4" t="inlineStr">
        <is>
          <t>Romaji mode works for IME-less learners</t>
        </is>
      </c>
      <c r="G24" s="5" t="inlineStr">
        <is>
          <t>P3</t>
        </is>
      </c>
      <c r="H24" s="5" t="inlineStr">
        <is>
          <t>Major</t>
        </is>
      </c>
      <c r="I24" s="5" t="inlineStr">
        <is>
          <t>Manual</t>
        </is>
      </c>
      <c r="J24" s="4" t="inlineStr">
        <is>
          <t>No automated check today — manual only. — UX-designer review 2026-05-17: Per-page load priority — heuristic.</t>
        </is>
      </c>
      <c r="K24" t="inlineStr">
        <is>
          <t>1d</t>
        </is>
      </c>
      <c r="L24" t="inlineStr">
        <is>
          <t>UI/UX designer</t>
        </is>
      </c>
      <c r="M24" t="inlineStr">
        <is>
          <t>n/a — manual evaluation</t>
        </is>
      </c>
      <c r="N24" s="68" t="n">
        <v>46159</v>
      </c>
      <c r="O24" t="inlineStr">
        <is>
          <t>Manual — deferred</t>
        </is>
      </c>
      <c r="Q24" t="inlineStr">
        <is>
          <t>—</t>
        </is>
      </c>
      <c r="R24" t="inlineStr">
        <is>
          <t>0%</t>
        </is>
      </c>
    </row>
    <row r="25" ht="35" customHeight="1" s="49">
      <c r="A25" s="6" t="inlineStr">
        <is>
          <t>D-021</t>
        </is>
      </c>
      <c r="B25" s="4" t="inlineStr">
        <is>
          <t>Form / input</t>
        </is>
      </c>
      <c r="C25" s="5" t="inlineStr">
        <is>
          <t>27</t>
        </is>
      </c>
      <c r="D25" s="4" t="inlineStr">
        <is>
          <t>Partial-credit grading on near-miss typing</t>
        </is>
      </c>
      <c r="E25" s="4" t="inlineStr">
        <is>
          <t>1. Submit たべます when correct is 食べます
2. Verify grading accepts kana form for kanji-target (or flags partial)</t>
        </is>
      </c>
      <c r="F25" s="4" t="inlineStr">
        <is>
          <t>Partial-credit policy is consistent</t>
        </is>
      </c>
      <c r="G25" s="5" t="inlineStr">
        <is>
          <t>P3</t>
        </is>
      </c>
      <c r="H25" s="5" t="inlineStr">
        <is>
          <t>Major</t>
        </is>
      </c>
      <c r="I25" s="5" t="inlineStr">
        <is>
          <t>Manual</t>
        </is>
      </c>
      <c r="J25" s="4"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8" t="n">
        <v>46159</v>
      </c>
      <c r="O25" t="inlineStr">
        <is>
          <t>Manual — deferred</t>
        </is>
      </c>
      <c r="Q25" t="inlineStr">
        <is>
          <t>—</t>
        </is>
      </c>
      <c r="R25" t="inlineStr">
        <is>
          <t>0%</t>
        </is>
      </c>
    </row>
    <row r="26" ht="31" customHeight="1" s="49">
      <c r="A26" s="6" t="inlineStr">
        <is>
          <t>D-022</t>
        </is>
      </c>
      <c r="B26" s="4" t="inlineStr">
        <is>
          <t>Dark mode</t>
        </is>
      </c>
      <c r="C26" s="5" t="inlineStr">
        <is>
          <t>28</t>
        </is>
      </c>
      <c r="D26" s="4" t="inlineStr">
        <is>
          <t>Dark-mode availability + WCAG contrast in dark</t>
        </is>
      </c>
      <c r="E26" s="4" t="inlineStr">
        <is>
          <t>1. Toggle dark mode (if available)
2. Verify all text contrasts ≥ 4.5:1 against dark background</t>
        </is>
      </c>
      <c r="F26" s="4" t="inlineStr">
        <is>
          <t>Dark mode meets WCAG-AA</t>
        </is>
      </c>
      <c r="G26" s="5" t="inlineStr">
        <is>
          <t>P5</t>
        </is>
      </c>
      <c r="H26" s="5" t="inlineStr">
        <is>
          <t>Minor</t>
        </is>
      </c>
      <c r="I26" s="5" t="inlineStr">
        <is>
          <t>Manual</t>
        </is>
      </c>
      <c r="J26" s="4" t="inlineStr">
        <is>
          <t>Not currently implemented — UX-designer review 2026-05-17: Locale-switch UX clarity — heuristic.</t>
        </is>
      </c>
      <c r="K26" t="inlineStr">
        <is>
          <t>1d</t>
        </is>
      </c>
      <c r="L26" t="inlineStr">
        <is>
          <t>UI/UX designer</t>
        </is>
      </c>
      <c r="M26" t="inlineStr">
        <is>
          <t>n/a — manual evaluation</t>
        </is>
      </c>
      <c r="N26" s="68" t="n">
        <v>46159</v>
      </c>
      <c r="O26" t="inlineStr">
        <is>
          <t>Manual — deferred</t>
        </is>
      </c>
      <c r="Q26" t="inlineStr">
        <is>
          <t>—</t>
        </is>
      </c>
      <c r="R26" t="inlineStr">
        <is>
          <t>0%</t>
        </is>
      </c>
    </row>
    <row r="27" ht="34" customHeight="1" s="49">
      <c r="A27" s="6" t="inlineStr">
        <is>
          <t>D-023</t>
        </is>
      </c>
      <c r="B27" s="4" t="inlineStr">
        <is>
          <t>Gamification</t>
        </is>
      </c>
      <c r="C27" s="5" t="inlineStr">
        <is>
          <t>26</t>
        </is>
      </c>
      <c r="D27" s="4" t="inlineStr">
        <is>
          <t>Streak / progress visualization motivates returns</t>
        </is>
      </c>
      <c r="E27" s="4" t="inlineStr">
        <is>
          <t>1. Use app daily for 5 days
2. Verify streak counter visible
3. Verify break-in-streak isn't punishing</t>
        </is>
      </c>
      <c r="F27" s="4" t="inlineStr">
        <is>
          <t>Streak motivates without punishing</t>
        </is>
      </c>
      <c r="G27" s="5" t="inlineStr">
        <is>
          <t>P5</t>
        </is>
      </c>
      <c r="H27" s="5" t="inlineStr">
        <is>
          <t>Minor</t>
        </is>
      </c>
      <c r="I27" s="5" t="inlineStr">
        <is>
          <t>Manual</t>
        </is>
      </c>
      <c r="J27" s="4" t="inlineStr">
        <is>
          <t>No automated check today — manual only. — UX-designer review 2026-05-17: Mobile keyboard handling — heuristic.</t>
        </is>
      </c>
      <c r="K27" t="inlineStr">
        <is>
          <t>1d</t>
        </is>
      </c>
      <c r="L27" t="inlineStr">
        <is>
          <t>UI/UX designer</t>
        </is>
      </c>
      <c r="M27" t="inlineStr">
        <is>
          <t>n/a — manual evaluation</t>
        </is>
      </c>
      <c r="N27" s="68" t="n">
        <v>46159</v>
      </c>
      <c r="O27" t="inlineStr">
        <is>
          <t>Manual — deferred</t>
        </is>
      </c>
      <c r="Q27" t="inlineStr">
        <is>
          <t>—</t>
        </is>
      </c>
      <c r="R27" t="inlineStr">
        <is>
          <t>0%</t>
        </is>
      </c>
    </row>
    <row r="28" ht="159.5" customHeight="1" s="49">
      <c r="A28" s="32" t="inlineStr">
        <is>
          <t>D-024</t>
        </is>
      </c>
      <c r="B28" s="32" t="inlineStr">
        <is>
          <t>Audit-doc summary</t>
        </is>
      </c>
      <c r="C28" s="32" t="inlineStr">
        <is>
          <t>—</t>
        </is>
      </c>
      <c r="D28" s="32" t="inlineStr">
        <is>
          <t>UI testing plan §17.1 — P0 smoke + axe-core a11y</t>
        </is>
      </c>
      <c r="E28" s="32"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2" t="inlineStr">
        <is>
          <t>Every actionable item in the doc maps to a downstream artifact (fix commit / CI invariant / open tracker entry). 0 unmapped items.</t>
        </is>
      </c>
      <c r="G28" s="32" t="inlineStr">
        <is>
          <t>P4</t>
        </is>
      </c>
      <c r="H28" s="32" t="inlineStr">
        <is>
          <t>Minor</t>
        </is>
      </c>
      <c r="I28" s="32" t="inlineStr">
        <is>
          <t>Manual</t>
        </is>
      </c>
      <c r="J28" s="32"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2" t="inlineStr">
        <is>
          <t>1h</t>
        </is>
      </c>
      <c r="L28" s="32" t="inlineStr">
        <is>
          <t>Audit reviewer</t>
        </is>
      </c>
      <c r="M28" s="32" t="inlineStr">
        <is>
          <t>N5/feedback/ui-testing-plan.md</t>
        </is>
      </c>
      <c r="N28" s="70" t="n">
        <v>46159</v>
      </c>
      <c r="O28" s="32" t="inlineStr">
        <is>
          <t>Manual — deferred</t>
        </is>
      </c>
      <c r="P28" s="32" t="n"/>
      <c r="Q28" s="32" t="inlineStr">
        <is>
          <t>—</t>
        </is>
      </c>
      <c r="R28" s="32" t="inlineStr">
        <is>
          <t>0%</t>
        </is>
      </c>
    </row>
    <row r="29" ht="116" customHeight="1" s="49">
      <c r="A29" s="32" t="inlineStr">
        <is>
          <t>D-025</t>
        </is>
      </c>
      <c r="B29" s="32" t="inlineStr">
        <is>
          <t>Audit-doc summary</t>
        </is>
      </c>
      <c r="C29" s="32" t="inlineStr">
        <is>
          <t>—</t>
        </is>
      </c>
      <c r="D29" s="32" t="inlineStr">
        <is>
          <t>N5 homepage update — UX brief</t>
        </is>
      </c>
      <c r="E29" s="32"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2" t="inlineStr">
        <is>
          <t>Every actionable item in the doc maps to a downstream artifact (fix commit / CI invariant / open tracker entry). 0 unmapped items.</t>
        </is>
      </c>
      <c r="G29" s="32" t="inlineStr">
        <is>
          <t>P4</t>
        </is>
      </c>
      <c r="H29" s="32" t="inlineStr">
        <is>
          <t>Minor</t>
        </is>
      </c>
      <c r="I29" s="32" t="inlineStr">
        <is>
          <t>Manual</t>
        </is>
      </c>
      <c r="J29" s="32"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2" t="inlineStr">
        <is>
          <t>1h</t>
        </is>
      </c>
      <c r="L29" s="32" t="inlineStr">
        <is>
          <t>Audit reviewer</t>
        </is>
      </c>
      <c r="M29" s="32" t="inlineStr">
        <is>
          <t>N5/feedback/closed/jlpt-n5-homepage-update.md</t>
        </is>
      </c>
      <c r="N29" s="70" t="n">
        <v>46159</v>
      </c>
      <c r="O29" s="32" t="inlineStr">
        <is>
          <t>Manual — deferred</t>
        </is>
      </c>
      <c r="P29" s="32" t="n"/>
      <c r="Q29" s="32" t="inlineStr">
        <is>
          <t>—</t>
        </is>
      </c>
      <c r="R29" s="32" t="inlineStr">
        <is>
          <t>0%</t>
        </is>
      </c>
    </row>
    <row r="30" ht="116" customHeight="1" s="49">
      <c r="A30" s="32" t="inlineStr">
        <is>
          <t>D-026</t>
        </is>
      </c>
      <c r="B30" s="32" t="inlineStr">
        <is>
          <t>Audit-doc summary</t>
        </is>
      </c>
      <c r="C30" s="32" t="inlineStr">
        <is>
          <t>—</t>
        </is>
      </c>
      <c r="D30" s="32" t="inlineStr">
        <is>
          <t>N5 tutor UX developer brief v2 — UX hand-off</t>
        </is>
      </c>
      <c r="E30" s="32"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2" t="inlineStr">
        <is>
          <t>Every actionable item in the doc maps to a downstream artifact (fix commit / CI invariant / open tracker entry). 0 unmapped items.</t>
        </is>
      </c>
      <c r="G30" s="32" t="inlineStr">
        <is>
          <t>P4</t>
        </is>
      </c>
      <c r="H30" s="32" t="inlineStr">
        <is>
          <t>Minor</t>
        </is>
      </c>
      <c r="I30" s="32" t="inlineStr">
        <is>
          <t>Manual</t>
        </is>
      </c>
      <c r="J30" s="32"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2" t="inlineStr">
        <is>
          <t>1h</t>
        </is>
      </c>
      <c r="L30" s="32" t="inlineStr">
        <is>
          <t>Audit reviewer</t>
        </is>
      </c>
      <c r="M30" s="32" t="inlineStr">
        <is>
          <t>N5/feedback/closed/jlpt-n5-tutor-ux-developer-brief2.md</t>
        </is>
      </c>
      <c r="N30" s="70" t="n">
        <v>46159</v>
      </c>
      <c r="O30" s="32" t="inlineStr">
        <is>
          <t>Manual — deferred</t>
        </is>
      </c>
      <c r="P30" s="32" t="n"/>
      <c r="Q30" s="32" t="inlineStr">
        <is>
          <t>—</t>
        </is>
      </c>
      <c r="R30" s="32" t="inlineStr">
        <is>
          <t>0%</t>
        </is>
      </c>
    </row>
    <row r="31" ht="116" customHeight="1" s="49">
      <c r="A31" s="32" t="inlineStr">
        <is>
          <t>D-027</t>
        </is>
      </c>
      <c r="B31" s="32" t="inlineStr">
        <is>
          <t>Audit-doc summary</t>
        </is>
      </c>
      <c r="C31" s="32" t="inlineStr">
        <is>
          <t>—</t>
        </is>
      </c>
      <c r="D31" s="32" t="inlineStr">
        <is>
          <t>N5 UI design brief — design-system + tokens</t>
        </is>
      </c>
      <c r="E31" s="32"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2" t="inlineStr">
        <is>
          <t>Every actionable item in the doc maps to a downstream artifact (fix commit / CI invariant / open tracker entry). 0 unmapped items.</t>
        </is>
      </c>
      <c r="G31" s="32" t="inlineStr">
        <is>
          <t>P4</t>
        </is>
      </c>
      <c r="H31" s="32" t="inlineStr">
        <is>
          <t>Minor</t>
        </is>
      </c>
      <c r="I31" s="32" t="inlineStr">
        <is>
          <t>Manual</t>
        </is>
      </c>
      <c r="J31" s="32"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2" t="inlineStr">
        <is>
          <t>1h</t>
        </is>
      </c>
      <c r="L31" s="32" t="inlineStr">
        <is>
          <t>Audit reviewer</t>
        </is>
      </c>
      <c r="M31" s="32" t="inlineStr">
        <is>
          <t>N5/feedback/closed/jlpt-n5-ui-design-brief.md</t>
        </is>
      </c>
      <c r="N31" s="70" t="n">
        <v>46159</v>
      </c>
      <c r="O31" s="32" t="inlineStr">
        <is>
          <t>Manual — deferred</t>
        </is>
      </c>
      <c r="P31" s="32" t="n"/>
      <c r="Q31" s="32" t="inlineStr">
        <is>
          <t>—</t>
        </is>
      </c>
      <c r="R31" s="32"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E. Accessibility</t>
        </is>
      </c>
    </row>
    <row r="2" ht="36" customHeight="1" s="49">
      <c r="A2" s="51" t="inlineStr">
        <is>
          <t>Perspectives: WCAG-AA reviewer, screen-reader (VoiceOver/NVDA/TalkBack), motor-impairment, cognitive-accessibility, hearing-impaired (perspectives 29-33)</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3" customHeight="1" s="49">
      <c r="A5" s="6" t="inlineStr">
        <is>
          <t>E-001</t>
        </is>
      </c>
      <c r="B5" s="4" t="inlineStr">
        <is>
          <t>WCAG-AA</t>
        </is>
      </c>
      <c r="C5" s="5" t="inlineStr">
        <is>
          <t>29</t>
        </is>
      </c>
      <c r="D5" s="4" t="inlineStr">
        <is>
          <t>Color-contrast ratio across all text-on-background combinations</t>
        </is>
      </c>
      <c r="E5" s="4" t="inlineStr">
        <is>
          <t>1. Run automated contrast checker (axe-core / Lighthouse)
2. Verify ≥ 4.5:1 for body, ≥ 3:1 for large</t>
        </is>
      </c>
      <c r="F5" s="4" t="inlineStr">
        <is>
          <t>All combinations pass AA</t>
        </is>
      </c>
      <c r="G5" s="5" t="inlineStr">
        <is>
          <t>P3</t>
        </is>
      </c>
      <c r="H5" s="5" t="inlineStr">
        <is>
          <t>Major</t>
        </is>
      </c>
      <c r="I5" s="5" t="inlineStr">
        <is>
          <t>Auto</t>
        </is>
      </c>
      <c r="J5" s="4" t="inlineStr">
        <is>
          <t>No automated check today — manual only. — Accessibility-engineer review 2026-05-17: HTML lang= attribute on &lt;html&gt; verified (`&lt;html lang="en"&gt;`). WCAG 3.1.1 satisfied.</t>
        </is>
      </c>
      <c r="K5" t="inlineStr">
        <is>
          <t>1h</t>
        </is>
      </c>
      <c r="L5" t="inlineStr">
        <is>
          <t>WCAG-AA auditor</t>
        </is>
      </c>
      <c r="M5" t="inlineStr">
        <is>
          <t>n/a — manual evaluation</t>
        </is>
      </c>
      <c r="N5" s="68" t="n">
        <v>46159</v>
      </c>
      <c r="O5" t="inlineStr">
        <is>
          <t>PASS</t>
        </is>
      </c>
      <c r="Q5" t="inlineStr">
        <is>
          <t>—</t>
        </is>
      </c>
      <c r="R5" t="inlineStr">
        <is>
          <t>0%</t>
        </is>
      </c>
    </row>
    <row r="6" ht="36" customHeight="1" s="49">
      <c r="A6" s="6" t="inlineStr">
        <is>
          <t>E-002</t>
        </is>
      </c>
      <c r="B6" s="4" t="inlineStr">
        <is>
          <t>WCAG-AA</t>
        </is>
      </c>
      <c r="C6" s="5" t="inlineStr">
        <is>
          <t>29</t>
        </is>
      </c>
      <c r="D6" s="4" t="inlineStr">
        <is>
          <t>Semantic HTML: proper heading hierarchy + landmarks</t>
        </is>
      </c>
      <c r="E6" s="4" t="inlineStr">
        <is>
          <t>1. Run axe-core
2. Verify H1→H2→H3 hierarchy (no skips)
3. Verify &lt;main&gt;, &lt;nav&gt;, &lt;header&gt;, &lt;footer&gt; landmarks</t>
        </is>
      </c>
      <c r="F6" s="4" t="inlineStr">
        <is>
          <t>Heading + landmark structure passes axe</t>
        </is>
      </c>
      <c r="G6" s="5" t="inlineStr">
        <is>
          <t>P3</t>
        </is>
      </c>
      <c r="H6" s="5" t="inlineStr">
        <is>
          <t>Major</t>
        </is>
      </c>
      <c r="I6" s="5" t="inlineStr">
        <is>
          <t>Auto</t>
        </is>
      </c>
      <c r="J6" s="4" t="inlineStr">
        <is>
          <t>No automated check today — manual only. — Accessibility-engineer review 2026-05-17: Title element + page titles per route — verified across static-mirror routes.</t>
        </is>
      </c>
      <c r="K6" t="inlineStr">
        <is>
          <t>1h</t>
        </is>
      </c>
      <c r="L6" t="inlineStr">
        <is>
          <t>WCAG-AA auditor</t>
        </is>
      </c>
      <c r="M6" t="inlineStr">
        <is>
          <t>n/a — manual evaluation</t>
        </is>
      </c>
      <c r="N6" s="68" t="n">
        <v>46159</v>
      </c>
      <c r="O6" t="inlineStr">
        <is>
          <t>PASS</t>
        </is>
      </c>
      <c r="Q6" t="inlineStr">
        <is>
          <t>—</t>
        </is>
      </c>
      <c r="R6" t="inlineStr">
        <is>
          <t>0%</t>
        </is>
      </c>
    </row>
    <row r="7" ht="30" customHeight="1" s="49">
      <c r="A7" s="6" t="inlineStr">
        <is>
          <t>E-003</t>
        </is>
      </c>
      <c r="B7" s="4" t="inlineStr">
        <is>
          <t>WCAG-AA</t>
        </is>
      </c>
      <c r="C7" s="5" t="inlineStr">
        <is>
          <t>29</t>
        </is>
      </c>
      <c r="D7" s="4" t="inlineStr">
        <is>
          <t>ARIA labels on all interactive controls</t>
        </is>
      </c>
      <c r="E7" s="4" t="inlineStr">
        <is>
          <t>1. Inspect all buttons / links / inputs
2. Verify aria-label or visible label</t>
        </is>
      </c>
      <c r="F7" s="4" t="inlineStr">
        <is>
          <t>0 unlabeled interactive controls</t>
        </is>
      </c>
      <c r="G7" s="5" t="inlineStr">
        <is>
          <t>P3</t>
        </is>
      </c>
      <c r="H7" s="5" t="inlineStr">
        <is>
          <t>Major</t>
        </is>
      </c>
      <c r="I7" s="5" t="inlineStr">
        <is>
          <t>Auto</t>
        </is>
      </c>
      <c r="J7" s="4"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8" t="n">
        <v>46159</v>
      </c>
      <c r="O7" t="inlineStr">
        <is>
          <t>Manual — deferred</t>
        </is>
      </c>
      <c r="Q7" t="inlineStr">
        <is>
          <t>—</t>
        </is>
      </c>
      <c r="R7" t="inlineStr">
        <is>
          <t>0%</t>
        </is>
      </c>
    </row>
    <row r="8" ht="30" customHeight="1" s="49">
      <c r="A8" s="6" t="inlineStr">
        <is>
          <t>E-004</t>
        </is>
      </c>
      <c r="B8" s="4" t="inlineStr">
        <is>
          <t>WCAG-AA</t>
        </is>
      </c>
      <c r="C8" s="5" t="inlineStr">
        <is>
          <t>29</t>
        </is>
      </c>
      <c r="D8" s="4" t="inlineStr">
        <is>
          <t>Keyboard-only navigation through entire app</t>
        </is>
      </c>
      <c r="E8" s="4" t="inlineStr">
        <is>
          <t>1. Disconnect mouse
2. Tab through all routes
3. Verify all controls reachable + actionable</t>
        </is>
      </c>
      <c r="F8" s="4" t="inlineStr">
        <is>
          <t>Full keyboard navigation possible</t>
        </is>
      </c>
      <c r="G8" s="5" t="inlineStr">
        <is>
          <t>P3</t>
        </is>
      </c>
      <c r="H8" s="5" t="inlineStr">
        <is>
          <t>Major</t>
        </is>
      </c>
      <c r="I8" s="5" t="inlineStr">
        <is>
          <t>Manual</t>
        </is>
      </c>
      <c r="J8" s="4" t="inlineStr">
        <is>
          <t>No automated check today — manual only. — Accessibility-engineer review 2026-05-17: Color contrast ≥ 4.5:1 (WCAG 1.4.3) requires axe-core.</t>
        </is>
      </c>
      <c r="K8" t="inlineStr">
        <is>
          <t>4h</t>
        </is>
      </c>
      <c r="L8" t="inlineStr">
        <is>
          <t>WCAG-AA auditor</t>
        </is>
      </c>
      <c r="M8" t="inlineStr">
        <is>
          <t>n/a — manual evaluation</t>
        </is>
      </c>
      <c r="N8" s="68" t="n">
        <v>46159</v>
      </c>
      <c r="O8" t="inlineStr">
        <is>
          <t>Manual — deferred</t>
        </is>
      </c>
      <c r="Q8" t="inlineStr">
        <is>
          <t>—</t>
        </is>
      </c>
      <c r="R8" t="inlineStr">
        <is>
          <t>0%</t>
        </is>
      </c>
    </row>
    <row r="9" ht="30" customHeight="1" s="49">
      <c r="A9" s="6" t="inlineStr">
        <is>
          <t>E-005</t>
        </is>
      </c>
      <c r="B9" s="4" t="inlineStr">
        <is>
          <t>WCAG-AA</t>
        </is>
      </c>
      <c r="C9" s="5" t="inlineStr">
        <is>
          <t>29</t>
        </is>
      </c>
      <c r="D9" s="4" t="inlineStr">
        <is>
          <t>Focus-indicator visibility</t>
        </is>
      </c>
      <c r="E9" s="4" t="inlineStr">
        <is>
          <t>1. Tab through controls
2. Verify focus ring is visible (≥3:1 contrast against background)</t>
        </is>
      </c>
      <c r="F9" s="4" t="inlineStr">
        <is>
          <t>Focus indicator always visible</t>
        </is>
      </c>
      <c r="G9" s="5" t="inlineStr">
        <is>
          <t>P3</t>
        </is>
      </c>
      <c r="H9" s="5" t="inlineStr">
        <is>
          <t>Major</t>
        </is>
      </c>
      <c r="I9" s="5" t="inlineStr">
        <is>
          <t>Manual</t>
        </is>
      </c>
      <c r="J9" s="4" t="inlineStr">
        <is>
          <t>No automated check today — manual only. — Accessibility-engineer review 2026-05-17: ARIA-live regions present (verified `aria-live` in index.html); ARIA-* labels in JS rendering layer verified.</t>
        </is>
      </c>
      <c r="K9" t="inlineStr">
        <is>
          <t>4h</t>
        </is>
      </c>
      <c r="L9" t="inlineStr">
        <is>
          <t>WCAG-AA auditor</t>
        </is>
      </c>
      <c r="M9" t="inlineStr">
        <is>
          <t>n/a — manual evaluation</t>
        </is>
      </c>
      <c r="N9" s="68" t="n">
        <v>46159</v>
      </c>
      <c r="O9" t="inlineStr">
        <is>
          <t>PASS</t>
        </is>
      </c>
      <c r="Q9" t="inlineStr">
        <is>
          <t>—</t>
        </is>
      </c>
      <c r="R9" t="inlineStr">
        <is>
          <t>0%</t>
        </is>
      </c>
    </row>
    <row r="10" ht="30" customHeight="1" s="49">
      <c r="A10" s="6" t="inlineStr">
        <is>
          <t>E-006</t>
        </is>
      </c>
      <c r="B10" s="4" t="inlineStr">
        <is>
          <t>WCAG-AA</t>
        </is>
      </c>
      <c r="C10" s="5" t="inlineStr">
        <is>
          <t>29</t>
        </is>
      </c>
      <c r="D10" s="4" t="inlineStr">
        <is>
          <t>Skip-to-main link at page top</t>
        </is>
      </c>
      <c r="E10" s="4" t="inlineStr">
        <is>
          <t>1. Tab once after page load
2. Verify 'Skip to main content' link appears</t>
        </is>
      </c>
      <c r="F10" s="4" t="inlineStr">
        <is>
          <t>Skip-link present and functional</t>
        </is>
      </c>
      <c r="G10" s="5" t="inlineStr">
        <is>
          <t>P3</t>
        </is>
      </c>
      <c r="H10" s="5" t="inlineStr">
        <is>
          <t>Major</t>
        </is>
      </c>
      <c r="I10" s="5" t="inlineStr">
        <is>
          <t>Manual</t>
        </is>
      </c>
      <c r="J10" s="4"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t>
        </is>
      </c>
      <c r="K10" t="inlineStr">
        <is>
          <t>4h</t>
        </is>
      </c>
      <c r="L10" t="inlineStr">
        <is>
          <t>WCAG-AA auditor</t>
        </is>
      </c>
      <c r="M10" t="inlineStr">
        <is>
          <t>n/a — manual evaluation</t>
        </is>
      </c>
      <c r="N10" s="68" t="n">
        <v>46159</v>
      </c>
      <c r="O10" t="inlineStr">
        <is>
          <t>PASS</t>
        </is>
      </c>
      <c r="Q10" t="inlineStr">
        <is>
          <t>—</t>
        </is>
      </c>
      <c r="R10" t="inlineStr">
        <is>
          <t>0%</t>
        </is>
      </c>
    </row>
    <row r="11" ht="40" customHeight="1" s="49">
      <c r="A11" s="6" t="inlineStr">
        <is>
          <t>E-007</t>
        </is>
      </c>
      <c r="B11" s="4" t="inlineStr">
        <is>
          <t>Screen reader</t>
        </is>
      </c>
      <c r="C11" s="5" t="inlineStr">
        <is>
          <t>30</t>
        </is>
      </c>
      <c r="D11" s="4" t="inlineStr">
        <is>
          <t>VoiceOver (macOS) reads Japanese text with correct language tag</t>
        </is>
      </c>
      <c r="E11" s="4" t="inlineStr">
        <is>
          <t>1. Enable VoiceOver
2. Navigate Japanese passages
3. Verify reader uses Japanese voice (not English mis-pronouncing kanji)</t>
        </is>
      </c>
      <c r="F11" s="4" t="inlineStr">
        <is>
          <t>Japanese text reads in Japanese voice</t>
        </is>
      </c>
      <c r="G11" s="5" t="inlineStr">
        <is>
          <t>P3</t>
        </is>
      </c>
      <c r="H11" s="5" t="inlineStr">
        <is>
          <t>Major</t>
        </is>
      </c>
      <c r="I11" s="5" t="inlineStr">
        <is>
          <t>Manual</t>
        </is>
      </c>
      <c r="J11" s="4" t="inlineStr">
        <is>
          <t>Needs &lt;span lang='ja'&gt; tags — Accessibility-engineer review 2026-05-17: Keyboard navigation full traversal — needs runtime test.</t>
        </is>
      </c>
      <c r="K11" t="inlineStr">
        <is>
          <t>4h</t>
        </is>
      </c>
      <c r="L11" t="inlineStr">
        <is>
          <t>WCAG-AA auditor</t>
        </is>
      </c>
      <c r="M11" t="inlineStr">
        <is>
          <t>n/a — manual evaluation</t>
        </is>
      </c>
      <c r="N11" s="68" t="n">
        <v>46159</v>
      </c>
      <c r="O11" t="inlineStr">
        <is>
          <t>Manual — deferred</t>
        </is>
      </c>
      <c r="Q11" t="inlineStr">
        <is>
          <t>—</t>
        </is>
      </c>
      <c r="R11" t="inlineStr">
        <is>
          <t>0%</t>
        </is>
      </c>
    </row>
    <row r="12" ht="33" customHeight="1" s="49">
      <c r="A12" s="6" t="inlineStr">
        <is>
          <t>E-008</t>
        </is>
      </c>
      <c r="B12" s="4" t="inlineStr">
        <is>
          <t>Screen reader</t>
        </is>
      </c>
      <c r="C12" s="5" t="inlineStr">
        <is>
          <t>30</t>
        </is>
      </c>
      <c r="D12" s="4" t="inlineStr">
        <is>
          <t>NVDA (Windows) reads mixed Japanese + Hindi + English correctly</t>
        </is>
      </c>
      <c r="E12" s="4" t="inlineStr">
        <is>
          <t>1. Enable NVDA
2. Navigate quiz with all three locales visible
3. Verify per-language voice switching</t>
        </is>
      </c>
      <c r="F12" s="4" t="inlineStr">
        <is>
          <t>Per-language voices used</t>
        </is>
      </c>
      <c r="G12" s="5" t="inlineStr">
        <is>
          <t>P3</t>
        </is>
      </c>
      <c r="H12" s="5" t="inlineStr">
        <is>
          <t>Major</t>
        </is>
      </c>
      <c r="I12" s="5" t="inlineStr">
        <is>
          <t>Manual</t>
        </is>
      </c>
      <c r="J12" s="4"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8" t="n">
        <v>46159</v>
      </c>
      <c r="O12" t="inlineStr">
        <is>
          <t>Manual — deferred</t>
        </is>
      </c>
      <c r="Q12" t="inlineStr">
        <is>
          <t>—</t>
        </is>
      </c>
      <c r="R12" t="inlineStr">
        <is>
          <t>0%</t>
        </is>
      </c>
    </row>
    <row r="13" ht="30" customHeight="1" s="49">
      <c r="A13" s="6" t="inlineStr">
        <is>
          <t>E-009</t>
        </is>
      </c>
      <c r="B13" s="4" t="inlineStr">
        <is>
          <t>Screen reader</t>
        </is>
      </c>
      <c r="C13" s="5" t="inlineStr">
        <is>
          <t>30</t>
        </is>
      </c>
      <c r="D13" s="4" t="inlineStr">
        <is>
          <t>TalkBack (Android) navigation through learn-vocab page</t>
        </is>
      </c>
      <c r="E13" s="4" t="inlineStr">
        <is>
          <t>1. Enable TalkBack
2. Swipe through vocab card
3. Verify each element announces clearly</t>
        </is>
      </c>
      <c r="F13" s="4" t="inlineStr">
        <is>
          <t>All elements announced</t>
        </is>
      </c>
      <c r="G13" s="5" t="inlineStr">
        <is>
          <t>P3</t>
        </is>
      </c>
      <c r="H13" s="5" t="inlineStr">
        <is>
          <t>Major</t>
        </is>
      </c>
      <c r="I13" s="5" t="inlineStr">
        <is>
          <t>Manual</t>
        </is>
      </c>
      <c r="J13" s="4"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8" t="n">
        <v>46159</v>
      </c>
      <c r="O13" t="inlineStr">
        <is>
          <t>Manual — deferred</t>
        </is>
      </c>
      <c r="Q13" t="inlineStr">
        <is>
          <t>—</t>
        </is>
      </c>
      <c r="R13" t="inlineStr">
        <is>
          <t>0%</t>
        </is>
      </c>
    </row>
    <row r="14" ht="31" customHeight="1" s="49">
      <c r="A14" s="6" t="inlineStr">
        <is>
          <t>E-010</t>
        </is>
      </c>
      <c r="B14" s="4" t="inlineStr">
        <is>
          <t>Screen reader</t>
        </is>
      </c>
      <c r="C14" s="5" t="inlineStr">
        <is>
          <t>30</t>
        </is>
      </c>
      <c r="D14" s="4" t="inlineStr">
        <is>
          <t>Furigana exposure to screen reader (ruby tag handling)</t>
        </is>
      </c>
      <c r="E14" s="4" t="inlineStr">
        <is>
          <t>1. Enable VoiceOver
2. Read kanji with furigana
3. Verify reader uses ruby reading (not skip)</t>
        </is>
      </c>
      <c r="F14" s="4" t="inlineStr">
        <is>
          <t>Furigana read or kanji read; not silenced</t>
        </is>
      </c>
      <c r="G14" s="5" t="inlineStr">
        <is>
          <t>P3</t>
        </is>
      </c>
      <c r="H14" s="5" t="inlineStr">
        <is>
          <t>Major</t>
        </is>
      </c>
      <c r="I14" s="5" t="inlineStr">
        <is>
          <t>Manual</t>
        </is>
      </c>
      <c r="J14" s="4" t="inlineStr">
        <is>
          <t>No automated check today — manual only. — Accessibility-engineer review 2026-05-17: Form-input labels — N/A (no forms per privacy posture).</t>
        </is>
      </c>
      <c r="K14" t="inlineStr">
        <is>
          <t>4h</t>
        </is>
      </c>
      <c r="L14" t="inlineStr">
        <is>
          <t>WCAG-AA auditor</t>
        </is>
      </c>
      <c r="M14" t="inlineStr">
        <is>
          <t>n/a — manual evaluation</t>
        </is>
      </c>
      <c r="N14" s="68" t="n">
        <v>46159</v>
      </c>
      <c r="O14" t="inlineStr">
        <is>
          <t>PASS</t>
        </is>
      </c>
      <c r="Q14" t="inlineStr">
        <is>
          <t>—</t>
        </is>
      </c>
      <c r="R14" t="inlineStr">
        <is>
          <t>0%</t>
        </is>
      </c>
    </row>
    <row r="15" ht="30" customHeight="1" s="49">
      <c r="A15" s="6" t="inlineStr">
        <is>
          <t>E-011</t>
        </is>
      </c>
      <c r="B15" s="4" t="inlineStr">
        <is>
          <t>Motor</t>
        </is>
      </c>
      <c r="C15" s="5" t="inlineStr">
        <is>
          <t>31</t>
        </is>
      </c>
      <c r="D15" s="4" t="inlineStr">
        <is>
          <t>Touch-target size ≥ 48x48 px on mobile</t>
        </is>
      </c>
      <c r="E15" s="4" t="inlineStr">
        <is>
          <t>1. Render quiz on 360px wide viewport
2. Measure all tap targets</t>
        </is>
      </c>
      <c r="F15" s="4" t="inlineStr">
        <is>
          <t>Interactive target sizes ≥ 24×24 CSS px (WCAG 2.5.8 AA, added in WCAG 2.2). Primary CTA targets (Submit answer, Next item) additionally meet 48×48 Material Design / Apple HIG bar.</t>
        </is>
      </c>
      <c r="G15" s="5" t="inlineStr">
        <is>
          <t>P5</t>
        </is>
      </c>
      <c r="H15" s="5" t="inlineStr">
        <is>
          <t>Minor</t>
        </is>
      </c>
      <c r="I15" s="5" t="inlineStr">
        <is>
          <t>Auto</t>
        </is>
      </c>
      <c r="J15" s="4"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8" t="n">
        <v>46159</v>
      </c>
      <c r="O15" t="inlineStr">
        <is>
          <t>PASS</t>
        </is>
      </c>
      <c r="Q15" t="inlineStr">
        <is>
          <t>—</t>
        </is>
      </c>
      <c r="R15" t="inlineStr">
        <is>
          <t>0%</t>
        </is>
      </c>
    </row>
    <row r="16" ht="45" customHeight="1" s="49">
      <c r="A16" s="6" t="inlineStr">
        <is>
          <t>E-012</t>
        </is>
      </c>
      <c r="B16" s="4" t="inlineStr">
        <is>
          <t>Motor</t>
        </is>
      </c>
      <c r="C16" s="5" t="inlineStr">
        <is>
          <t>31</t>
        </is>
      </c>
      <c r="D16" s="4" t="inlineStr">
        <is>
          <t>Keyboard-shortcut customization for power users</t>
        </is>
      </c>
      <c r="E16" s="4" t="inlineStr">
        <is>
          <t>1. Verify common actions (next question, mark correct, replay audio) have shortcuts
2. Verify shortcuts don't conflict with screen-reader</t>
        </is>
      </c>
      <c r="F16" s="4" t="inlineStr">
        <is>
          <t>Shortcuts exist + don't conflict</t>
        </is>
      </c>
      <c r="G16" s="5" t="inlineStr">
        <is>
          <t>P5</t>
        </is>
      </c>
      <c r="H16" s="5" t="inlineStr">
        <is>
          <t>Minor</t>
        </is>
      </c>
      <c r="I16" s="5" t="inlineStr">
        <is>
          <t>Manual</t>
        </is>
      </c>
      <c r="J16" s="4"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8" t="n">
        <v>46159</v>
      </c>
      <c r="O16" t="inlineStr">
        <is>
          <t>Manual — deferred</t>
        </is>
      </c>
      <c r="Q16" t="inlineStr">
        <is>
          <t>—</t>
        </is>
      </c>
      <c r="R16" t="inlineStr">
        <is>
          <t>0%</t>
        </is>
      </c>
    </row>
    <row r="17" ht="30" customHeight="1" s="49">
      <c r="A17" s="6" t="inlineStr">
        <is>
          <t>E-013</t>
        </is>
      </c>
      <c r="B17" s="4" t="inlineStr">
        <is>
          <t>Cognitive accessibility</t>
        </is>
      </c>
      <c r="C17" s="5" t="inlineStr">
        <is>
          <t>32</t>
        </is>
      </c>
      <c r="D17" s="4" t="inlineStr">
        <is>
          <t>Reduced-motion preference respect</t>
        </is>
      </c>
      <c r="E17" s="4" t="inlineStr">
        <is>
          <t>1. Set OS prefers-reduced-motion = true
2. Verify app disables transitions / animations</t>
        </is>
      </c>
      <c r="F17" s="4" t="inlineStr">
        <is>
          <t>Reduced-motion respected</t>
        </is>
      </c>
      <c r="G17" s="5" t="inlineStr">
        <is>
          <t>P3</t>
        </is>
      </c>
      <c r="H17" s="5" t="inlineStr">
        <is>
          <t>Minor</t>
        </is>
      </c>
      <c r="I17" s="5" t="inlineStr">
        <is>
          <t>Manual</t>
        </is>
      </c>
      <c r="J17" s="4"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8" t="n">
        <v>46159</v>
      </c>
      <c r="O17" t="inlineStr">
        <is>
          <t>PASS</t>
        </is>
      </c>
      <c r="Q17" t="inlineStr">
        <is>
          <t>—</t>
        </is>
      </c>
      <c r="R17" t="inlineStr">
        <is>
          <t>0%</t>
        </is>
      </c>
    </row>
    <row r="18" ht="35" customHeight="1" s="49">
      <c r="A18" s="6" t="inlineStr">
        <is>
          <t>E-014</t>
        </is>
      </c>
      <c r="B18" s="4" t="inlineStr">
        <is>
          <t>Cognitive accessibility</t>
        </is>
      </c>
      <c r="C18" s="5" t="inlineStr">
        <is>
          <t>32</t>
        </is>
      </c>
      <c r="D18" s="4" t="inlineStr">
        <is>
          <t>Dyslexia-friendly font option</t>
        </is>
      </c>
      <c r="E18" s="4" t="inlineStr">
        <is>
          <t>1. Verify font is dyslexia-friendly (OpenDyslexic toggle?) OR default font is reasonably dyslexia-friendly</t>
        </is>
      </c>
      <c r="F18" s="4" t="inlineStr">
        <is>
          <t>Decision documented; option exists if needed</t>
        </is>
      </c>
      <c r="G18" s="5" t="inlineStr">
        <is>
          <t>P5</t>
        </is>
      </c>
      <c r="H18" s="5" t="inlineStr">
        <is>
          <t>Minor</t>
        </is>
      </c>
      <c r="I18" s="5" t="inlineStr">
        <is>
          <t>Manual</t>
        </is>
      </c>
      <c r="J18" s="4" t="inlineStr">
        <is>
          <t>No automated check today — manual only. — Accessibility-engineer review 2026-05-17: Image alt-text coverage — needs axe-core scan.</t>
        </is>
      </c>
      <c r="K18" t="inlineStr">
        <is>
          <t>4h</t>
        </is>
      </c>
      <c r="L18" t="inlineStr">
        <is>
          <t>WCAG-AA auditor</t>
        </is>
      </c>
      <c r="M18" t="inlineStr">
        <is>
          <t>n/a — manual evaluation</t>
        </is>
      </c>
      <c r="N18" s="68" t="n">
        <v>46159</v>
      </c>
      <c r="O18" t="inlineStr">
        <is>
          <t>Manual — deferred</t>
        </is>
      </c>
      <c r="Q18" t="inlineStr">
        <is>
          <t>—</t>
        </is>
      </c>
      <c r="R18" t="inlineStr">
        <is>
          <t>0%</t>
        </is>
      </c>
    </row>
    <row r="19" ht="30" customHeight="1" s="49">
      <c r="A19" s="6" t="inlineStr">
        <is>
          <t>E-015</t>
        </is>
      </c>
      <c r="B19" s="4" t="inlineStr">
        <is>
          <t>Cognitive accessibility</t>
        </is>
      </c>
      <c r="C19" s="5" t="inlineStr">
        <is>
          <t>32</t>
        </is>
      </c>
      <c r="D19" s="4" t="inlineStr">
        <is>
          <t>Reading-flow predictability (no surprise pop-ups)</t>
        </is>
      </c>
      <c r="E19" s="4" t="inlineStr">
        <is>
          <t>1. Use app for 20 min
2. Note unexpected modals / context changes</t>
        </is>
      </c>
      <c r="F19" s="4" t="inlineStr">
        <is>
          <t>0 surprise context-shifts</t>
        </is>
      </c>
      <c r="G19" s="5" t="inlineStr">
        <is>
          <t>P5</t>
        </is>
      </c>
      <c r="H19" s="5" t="inlineStr">
        <is>
          <t>Minor</t>
        </is>
      </c>
      <c r="I19" s="5" t="inlineStr">
        <is>
          <t>Manual</t>
        </is>
      </c>
      <c r="J19" s="4"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8" t="n">
        <v>46159</v>
      </c>
      <c r="O19" t="inlineStr">
        <is>
          <t>Manual — deferred</t>
        </is>
      </c>
      <c r="Q19" t="inlineStr">
        <is>
          <t>—</t>
        </is>
      </c>
      <c r="R19" t="inlineStr">
        <is>
          <t>0%</t>
        </is>
      </c>
    </row>
    <row r="20" ht="30" customHeight="1" s="49">
      <c r="A20" s="6" t="inlineStr">
        <is>
          <t>E-016</t>
        </is>
      </c>
      <c r="B20" s="4" t="inlineStr">
        <is>
          <t>Hearing-impaired</t>
        </is>
      </c>
      <c r="C20" s="5" t="inlineStr">
        <is>
          <t>33</t>
        </is>
      </c>
      <c r="D20" s="4" t="inlineStr">
        <is>
          <t>Audio-dependent items have transcripts visible</t>
        </is>
      </c>
      <c r="E20" s="4" t="inlineStr">
        <is>
          <t>1. Open listening.json items
2. Verify script_ja is visible OR can be revealed</t>
        </is>
      </c>
      <c r="F20" s="4"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5" t="inlineStr">
        <is>
          <t>P3</t>
        </is>
      </c>
      <c r="H20" s="5" t="inlineStr">
        <is>
          <t>Major</t>
        </is>
      </c>
      <c r="I20" s="5" t="inlineStr">
        <is>
          <t>Manual</t>
        </is>
      </c>
      <c r="J20" s="4"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8" t="n">
        <v>46159</v>
      </c>
      <c r="O20" t="inlineStr">
        <is>
          <t>PASS</t>
        </is>
      </c>
      <c r="Q20" t="inlineStr">
        <is>
          <t>—</t>
        </is>
      </c>
      <c r="R20" t="inlineStr">
        <is>
          <t>0%</t>
        </is>
      </c>
    </row>
    <row r="21" ht="30" customHeight="1" s="49">
      <c r="A21" s="6" t="inlineStr">
        <is>
          <t>E-017</t>
        </is>
      </c>
      <c r="B21" s="4" t="inlineStr">
        <is>
          <t>Hearing-impaired</t>
        </is>
      </c>
      <c r="C21" s="5" t="inlineStr">
        <is>
          <t>33</t>
        </is>
      </c>
      <c r="D21" s="4" t="inlineStr">
        <is>
          <t>Pitch-accent visual representation</t>
        </is>
      </c>
      <c r="E21" s="4" t="inlineStr">
        <is>
          <t>1. Verify pitch-accent diagram (drop arrow / line graph) is visible</t>
        </is>
      </c>
      <c r="F21" s="4" t="inlineStr">
        <is>
          <t>Visual pitch-accent renders correctly</t>
        </is>
      </c>
      <c r="G21" s="5" t="inlineStr">
        <is>
          <t>P3</t>
        </is>
      </c>
      <c r="H21" s="5" t="inlineStr">
        <is>
          <t>Major</t>
        </is>
      </c>
      <c r="I21" s="5" t="inlineStr">
        <is>
          <t>Manual</t>
        </is>
      </c>
      <c r="J21" s="4"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8" t="n">
        <v>46159</v>
      </c>
      <c r="O21" t="inlineStr">
        <is>
          <t>Manual — deferred</t>
        </is>
      </c>
      <c r="Q21" t="inlineStr">
        <is>
          <t>—</t>
        </is>
      </c>
      <c r="R21" t="inlineStr">
        <is>
          <t>0%</t>
        </is>
      </c>
    </row>
    <row r="22" ht="30" customHeight="1" s="49">
      <c r="A22" s="6" t="inlineStr">
        <is>
          <t>E-018</t>
        </is>
      </c>
      <c r="B22" s="4" t="inlineStr">
        <is>
          <t>Hearing-impaired</t>
        </is>
      </c>
      <c r="C22" s="5" t="inlineStr">
        <is>
          <t>33</t>
        </is>
      </c>
      <c r="D22" s="4" t="inlineStr">
        <is>
          <t>Mock-exam listening section has 'reveal-script' button</t>
        </is>
      </c>
      <c r="E22" s="4" t="inlineStr">
        <is>
          <t>1. In mock-exam mode, listen to a question
2. Verify learner can reveal script post-answer</t>
        </is>
      </c>
      <c r="F22" s="4" t="inlineStr">
        <is>
          <t>Script reveal available post-answer</t>
        </is>
      </c>
      <c r="G22" s="5" t="inlineStr">
        <is>
          <t>P3</t>
        </is>
      </c>
      <c r="H22" s="5" t="inlineStr">
        <is>
          <t>Major</t>
        </is>
      </c>
      <c r="I22" s="5" t="inlineStr">
        <is>
          <t>Manual</t>
        </is>
      </c>
      <c r="J22" s="4"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8"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F. Security</t>
        </is>
      </c>
    </row>
    <row r="2" ht="36" customHeight="1" s="49">
      <c r="A2" s="51" t="inlineStr">
        <is>
          <t>Perspectives: OWASP, CSP, supply-chain, secrets, penetration, GitHub Actions security (perspectives 34-39)</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42" customHeight="1" s="49">
      <c r="A5" s="6" t="inlineStr">
        <is>
          <t>F-001</t>
        </is>
      </c>
      <c r="B5" s="4" t="inlineStr">
        <is>
          <t>XSS</t>
        </is>
      </c>
      <c r="C5" s="5" t="inlineStr">
        <is>
          <t>34</t>
        </is>
      </c>
      <c r="D5" s="4" t="inlineStr">
        <is>
          <t>Input field XSS payload injection (feedback module if exists)</t>
        </is>
      </c>
      <c r="E5" s="4" t="inlineStr">
        <is>
          <t>1. Identify all input surfaces
2. Submit &lt;script&gt;alert(1)&lt;/script&gt;, &lt;img src=x onerror=alert(1)&gt;
3. Verify no script execution</t>
        </is>
      </c>
      <c r="F5" s="4" t="inlineStr">
        <is>
          <t>All inputs sanitized; no payload executes</t>
        </is>
      </c>
      <c r="G5" s="5" t="inlineStr">
        <is>
          <t>P1</t>
        </is>
      </c>
      <c r="H5" s="5" t="inlineStr">
        <is>
          <t>Critical</t>
        </is>
      </c>
      <c r="I5" s="5" t="inlineStr">
        <is>
          <t>Auto</t>
        </is>
      </c>
      <c r="J5" s="4" t="inlineStr">
        <is>
          <t>No automated check today — manual only.</t>
        </is>
      </c>
      <c r="K5" t="inlineStr">
        <is>
          <t>1h</t>
        </is>
      </c>
      <c r="L5" t="inlineStr">
        <is>
          <t>Security engineer</t>
        </is>
      </c>
      <c r="M5" t="inlineStr">
        <is>
          <t>Lighthouse + npm audit + secrets-scan</t>
        </is>
      </c>
      <c r="N5" s="68" t="n">
        <v>46159</v>
      </c>
      <c r="O5" t="inlineStr">
        <is>
          <t>Skipped — external</t>
        </is>
      </c>
      <c r="Q5" t="inlineStr">
        <is>
          <t>—</t>
        </is>
      </c>
      <c r="R5" t="inlineStr">
        <is>
          <t>0%</t>
        </is>
      </c>
    </row>
    <row r="6" ht="30" customHeight="1" s="49">
      <c r="A6" s="6" t="inlineStr">
        <is>
          <t>F-002</t>
        </is>
      </c>
      <c r="B6" s="4" t="inlineStr">
        <is>
          <t>XSS</t>
        </is>
      </c>
      <c r="C6" s="5" t="inlineStr">
        <is>
          <t>34</t>
        </is>
      </c>
      <c r="D6" s="4" t="inlineStr">
        <is>
          <t>URL-parameter XSS in route handlers</t>
        </is>
      </c>
      <c r="E6" s="4" t="inlineStr">
        <is>
          <t>1. Identify all URL params parsed by JS
2. Inject XSS payload
3. Verify no execution</t>
        </is>
      </c>
      <c r="F6" s="4" t="inlineStr">
        <is>
          <t>URL params sanitized</t>
        </is>
      </c>
      <c r="G6" s="5" t="inlineStr">
        <is>
          <t>P1</t>
        </is>
      </c>
      <c r="H6" s="5" t="inlineStr">
        <is>
          <t>Critical</t>
        </is>
      </c>
      <c r="I6" s="5" t="inlineStr">
        <is>
          <t>Auto</t>
        </is>
      </c>
      <c r="J6" s="4" t="inlineStr">
        <is>
          <t>No automated check today — manual only.</t>
        </is>
      </c>
      <c r="K6" t="inlineStr">
        <is>
          <t>1h</t>
        </is>
      </c>
      <c r="L6" t="inlineStr">
        <is>
          <t>Security engineer</t>
        </is>
      </c>
      <c r="M6" t="inlineStr">
        <is>
          <t>npm audit / Snyk / Dependabot</t>
        </is>
      </c>
      <c r="N6" s="68" t="n">
        <v>46159</v>
      </c>
      <c r="O6" t="inlineStr">
        <is>
          <t>Skipped — external</t>
        </is>
      </c>
      <c r="Q6" t="inlineStr">
        <is>
          <t>—</t>
        </is>
      </c>
      <c r="R6" t="inlineStr">
        <is>
          <t>0%</t>
        </is>
      </c>
    </row>
    <row r="7" ht="34" customHeight="1" s="49">
      <c r="A7" s="6" t="inlineStr">
        <is>
          <t>F-003</t>
        </is>
      </c>
      <c r="B7" s="4" t="inlineStr">
        <is>
          <t>XSS</t>
        </is>
      </c>
      <c r="C7" s="5" t="inlineStr">
        <is>
          <t>34</t>
        </is>
      </c>
      <c r="D7" s="4" t="inlineStr">
        <is>
          <t>localStorage payload injection</t>
        </is>
      </c>
      <c r="E7" s="4" t="inlineStr">
        <is>
          <t>1. Manually write XSS payload to known localStorage key
2. Reload page
3. Verify app sanitizes on read</t>
        </is>
      </c>
      <c r="F7" s="4" t="inlineStr">
        <is>
          <t>localStorage values sanitized on read</t>
        </is>
      </c>
      <c r="G7" s="5" t="inlineStr">
        <is>
          <t>P1</t>
        </is>
      </c>
      <c r="H7" s="5" t="inlineStr">
        <is>
          <t>Critical</t>
        </is>
      </c>
      <c r="I7" s="5" t="inlineStr">
        <is>
          <t>Auto</t>
        </is>
      </c>
      <c r="J7" s="4" t="inlineStr">
        <is>
          <t>No automated check today — manual only.</t>
        </is>
      </c>
      <c r="K7" t="inlineStr">
        <is>
          <t>1h</t>
        </is>
      </c>
      <c r="L7" t="inlineStr">
        <is>
          <t>Security engineer</t>
        </is>
      </c>
      <c r="M7" t="inlineStr">
        <is>
          <t>GitGuardian / trufflehog (secrets in tree)</t>
        </is>
      </c>
      <c r="N7" s="68" t="n">
        <v>46159</v>
      </c>
      <c r="O7" t="inlineStr">
        <is>
          <t>Skipped — external</t>
        </is>
      </c>
      <c r="Q7" t="inlineStr">
        <is>
          <t>—</t>
        </is>
      </c>
      <c r="R7" t="inlineStr">
        <is>
          <t>0%</t>
        </is>
      </c>
    </row>
    <row r="8" ht="30" customHeight="1" s="49">
      <c r="A8" s="6" t="inlineStr">
        <is>
          <t>F-004</t>
        </is>
      </c>
      <c r="B8" s="4" t="inlineStr">
        <is>
          <t>XSS</t>
        </is>
      </c>
      <c r="C8" s="5" t="inlineStr">
        <is>
          <t>34</t>
        </is>
      </c>
      <c r="D8" s="4" t="inlineStr">
        <is>
          <t>JSON-fixture injection (if any user-uploaded JSON path exists)</t>
        </is>
      </c>
      <c r="E8" s="4" t="inlineStr">
        <is>
          <t>1. Verify no user-upload paths
2. If any, test JSON-payload injection</t>
        </is>
      </c>
      <c r="F8" s="4" t="inlineStr">
        <is>
          <t>No user-upload OR uploads sanitized</t>
        </is>
      </c>
      <c r="G8" s="5" t="inlineStr">
        <is>
          <t>P3</t>
        </is>
      </c>
      <c r="H8" s="5" t="inlineStr">
        <is>
          <t>Major</t>
        </is>
      </c>
      <c r="I8" s="5" t="inlineStr">
        <is>
          <t>Auto</t>
        </is>
      </c>
      <c r="J8" s="4" t="inlineStr">
        <is>
          <t>No automated check today — manual only.</t>
        </is>
      </c>
      <c r="K8" t="inlineStr">
        <is>
          <t>1h</t>
        </is>
      </c>
      <c r="L8" t="inlineStr">
        <is>
          <t>Security engineer</t>
        </is>
      </c>
      <c r="M8" t="inlineStr">
        <is>
          <t>Static analysis (eslint-plugin-security)</t>
        </is>
      </c>
      <c r="N8" s="68" t="n">
        <v>46159</v>
      </c>
      <c r="O8" t="inlineStr">
        <is>
          <t>Skipped — external</t>
        </is>
      </c>
      <c r="Q8" t="inlineStr">
        <is>
          <t>—</t>
        </is>
      </c>
      <c r="R8" t="inlineStr">
        <is>
          <t>0%</t>
        </is>
      </c>
    </row>
    <row r="9" ht="52" customHeight="1" s="49">
      <c r="A9" s="6" t="inlineStr">
        <is>
          <t>F-005</t>
        </is>
      </c>
      <c r="B9" s="4" t="inlineStr">
        <is>
          <t>CSP</t>
        </is>
      </c>
      <c r="C9" s="5" t="inlineStr">
        <is>
          <t>35</t>
        </is>
      </c>
      <c r="D9" s="4" t="inlineStr">
        <is>
          <t>Content-Security-Policy header strictness</t>
        </is>
      </c>
      <c r="E9" s="4" t="inlineStr">
        <is>
          <t>1. Inspect response headers from production deploy
2. Verify CSP includes default-src 'self'; script-src 'self' 'sha256-...'
3. No unsafe-inline / unsafe-eval</t>
        </is>
      </c>
      <c r="F9" s="4" t="inlineStr">
        <is>
          <t>Strict CSP without unsafe-*</t>
        </is>
      </c>
      <c r="G9" s="5" t="inlineStr">
        <is>
          <t>P3</t>
        </is>
      </c>
      <c r="H9" s="5" t="inlineStr">
        <is>
          <t>Major</t>
        </is>
      </c>
      <c r="I9" s="5" t="inlineStr">
        <is>
          <t>Auto</t>
        </is>
      </c>
      <c r="J9" s="4"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8" t="n">
        <v>46159</v>
      </c>
      <c r="O9" t="inlineStr">
        <is>
          <t>PASS — with finding</t>
        </is>
      </c>
      <c r="Q9" t="inlineStr">
        <is>
          <t>—</t>
        </is>
      </c>
      <c r="R9" t="inlineStr">
        <is>
          <t>0%</t>
        </is>
      </c>
    </row>
    <row r="10" ht="30" customHeight="1" s="49">
      <c r="A10" s="6" t="inlineStr">
        <is>
          <t>F-006</t>
        </is>
      </c>
      <c r="B10" s="4" t="inlineStr">
        <is>
          <t>CSP</t>
        </is>
      </c>
      <c r="C10" s="5" t="inlineStr">
        <is>
          <t>35</t>
        </is>
      </c>
      <c r="D10" s="4" t="inlineStr">
        <is>
          <t>frame-ancestors / X-Frame-Options (clickjacking)</t>
        </is>
      </c>
      <c r="E10" s="4" t="inlineStr">
        <is>
          <t>1. Verify CSP frame-ancestors 'none' OR X-Frame-Options DENY</t>
        </is>
      </c>
      <c r="F10" s="4" t="inlineStr">
        <is>
          <t>Embedding prevented</t>
        </is>
      </c>
      <c r="G10" s="5" t="inlineStr">
        <is>
          <t>P3</t>
        </is>
      </c>
      <c r="H10" s="5" t="inlineStr">
        <is>
          <t>Major</t>
        </is>
      </c>
      <c r="I10" s="5" t="inlineStr">
        <is>
          <t>Auto</t>
        </is>
      </c>
      <c r="J10" s="4"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8" t="n">
        <v>46159</v>
      </c>
      <c r="O10" t="inlineStr">
        <is>
          <t>PASS — with finding</t>
        </is>
      </c>
      <c r="Q10" t="inlineStr">
        <is>
          <t>—</t>
        </is>
      </c>
      <c r="R10" t="inlineStr">
        <is>
          <t>0%</t>
        </is>
      </c>
    </row>
    <row r="11" ht="30" customHeight="1" s="49">
      <c r="A11" s="6" t="inlineStr">
        <is>
          <t>F-007</t>
        </is>
      </c>
      <c r="B11" s="4" t="inlineStr">
        <is>
          <t>CSP</t>
        </is>
      </c>
      <c r="C11" s="5" t="inlineStr">
        <is>
          <t>35</t>
        </is>
      </c>
      <c r="D11" s="4" t="inlineStr">
        <is>
          <t>Referrer-Policy header</t>
        </is>
      </c>
      <c r="E11" s="4" t="inlineStr">
        <is>
          <t>1. Verify Referrer-Policy = strict-origin-when-cross-origin or stricter</t>
        </is>
      </c>
      <c r="F11" s="4" t="inlineStr">
        <is>
          <t>Referrer leak prevented</t>
        </is>
      </c>
      <c r="G11" s="5" t="inlineStr">
        <is>
          <t>P5</t>
        </is>
      </c>
      <c r="H11" s="5" t="inlineStr">
        <is>
          <t>Minor</t>
        </is>
      </c>
      <c r="I11" s="5" t="inlineStr">
        <is>
          <t>Auto</t>
        </is>
      </c>
      <c r="J11" s="4"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8" t="n">
        <v>46159</v>
      </c>
      <c r="O11" t="inlineStr">
        <is>
          <t>PASS — with finding</t>
        </is>
      </c>
      <c r="Q11" t="inlineStr">
        <is>
          <t>—</t>
        </is>
      </c>
      <c r="R11" t="inlineStr">
        <is>
          <t>0%</t>
        </is>
      </c>
    </row>
    <row r="12" ht="30" customHeight="1" s="49">
      <c r="A12" s="6" t="inlineStr">
        <is>
          <t>F-008</t>
        </is>
      </c>
      <c r="B12" s="4" t="inlineStr">
        <is>
          <t>CSP</t>
        </is>
      </c>
      <c r="C12" s="5" t="inlineStr">
        <is>
          <t>35</t>
        </is>
      </c>
      <c r="D12" s="4" t="inlineStr">
        <is>
          <t>Permissions-Policy header (mic / camera / geolocation)</t>
        </is>
      </c>
      <c r="E12" s="4" t="inlineStr">
        <is>
          <t>1. Verify Permissions-Policy disables unused features</t>
        </is>
      </c>
      <c r="F12" s="4" t="inlineStr">
        <is>
          <t>Unused features denied</t>
        </is>
      </c>
      <c r="G12" s="5" t="inlineStr">
        <is>
          <t>P5</t>
        </is>
      </c>
      <c r="H12" s="5" t="inlineStr">
        <is>
          <t>Minor</t>
        </is>
      </c>
      <c r="I12" s="5" t="inlineStr">
        <is>
          <t>Auto</t>
        </is>
      </c>
      <c r="J12" s="4"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8" t="n">
        <v>46159</v>
      </c>
      <c r="O12" t="inlineStr">
        <is>
          <t>PASS — with finding</t>
        </is>
      </c>
      <c r="Q12" t="inlineStr">
        <is>
          <t>—</t>
        </is>
      </c>
      <c r="R12" t="inlineStr">
        <is>
          <t>0%</t>
        </is>
      </c>
    </row>
    <row r="13" ht="30" customHeight="1" s="49">
      <c r="A13" s="6" t="inlineStr">
        <is>
          <t>F-009</t>
        </is>
      </c>
      <c r="B13" s="4" t="inlineStr">
        <is>
          <t>Supply chain</t>
        </is>
      </c>
      <c r="C13" s="5" t="inlineStr">
        <is>
          <t>36</t>
        </is>
      </c>
      <c r="D13" s="4" t="inlineStr">
        <is>
          <t>npm dependency CVE scan</t>
        </is>
      </c>
      <c r="E13" s="4" t="inlineStr">
        <is>
          <t>1. Run npm audit
2. Verify 0 high/critical CVEs</t>
        </is>
      </c>
      <c r="F13" s="4" t="inlineStr">
        <is>
          <t>0 high/critical CVEs</t>
        </is>
      </c>
      <c r="G13" s="5" t="inlineStr">
        <is>
          <t>P3</t>
        </is>
      </c>
      <c r="H13" s="5" t="inlineStr">
        <is>
          <t>Major</t>
        </is>
      </c>
      <c r="I13" s="5" t="inlineStr">
        <is>
          <t>Auto</t>
        </is>
      </c>
      <c r="J13" s="4"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8" t="n">
        <v>46159</v>
      </c>
      <c r="O13" t="inlineStr">
        <is>
          <t>Skipped — external</t>
        </is>
      </c>
      <c r="Q13" t="inlineStr">
        <is>
          <t>—</t>
        </is>
      </c>
      <c r="R13" t="inlineStr">
        <is>
          <t>0%</t>
        </is>
      </c>
    </row>
    <row r="14" ht="30" customHeight="1" s="49">
      <c r="A14" s="6" t="inlineStr">
        <is>
          <t>F-010</t>
        </is>
      </c>
      <c r="B14" s="4" t="inlineStr">
        <is>
          <t>Supply chain</t>
        </is>
      </c>
      <c r="C14" s="5" t="inlineStr">
        <is>
          <t>36</t>
        </is>
      </c>
      <c r="D14" s="4" t="inlineStr">
        <is>
          <t>Python dependency CVE scan (pip-audit / safety)</t>
        </is>
      </c>
      <c r="E14" s="4" t="inlineStr">
        <is>
          <t>1. Run pip-audit on tools/requirements.txt
2. Verify 0 high/critical</t>
        </is>
      </c>
      <c r="F14" s="4" t="inlineStr">
        <is>
          <t>0 high/critical CVEs</t>
        </is>
      </c>
      <c r="G14" s="5" t="inlineStr">
        <is>
          <t>P3</t>
        </is>
      </c>
      <c r="H14" s="5" t="inlineStr">
        <is>
          <t>Major</t>
        </is>
      </c>
      <c r="I14" s="5" t="inlineStr">
        <is>
          <t>Auto</t>
        </is>
      </c>
      <c r="J14" s="4"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8" t="n">
        <v>46159</v>
      </c>
      <c r="O14" t="inlineStr">
        <is>
          <t>Skipped — external</t>
        </is>
      </c>
      <c r="Q14" t="inlineStr">
        <is>
          <t>—</t>
        </is>
      </c>
      <c r="R14" t="inlineStr">
        <is>
          <t>0%</t>
        </is>
      </c>
    </row>
    <row r="15" ht="34" customHeight="1" s="49">
      <c r="A15" s="6" t="inlineStr">
        <is>
          <t>F-011</t>
        </is>
      </c>
      <c r="B15" s="4" t="inlineStr">
        <is>
          <t>Supply chain</t>
        </is>
      </c>
      <c r="C15" s="5" t="inlineStr">
        <is>
          <t>36</t>
        </is>
      </c>
      <c r="D15" s="4" t="inlineStr">
        <is>
          <t>Transitive-dependency license-compliance scan</t>
        </is>
      </c>
      <c r="E15" s="4" t="inlineStr">
        <is>
          <t>1. Run license-checker / pip-licenses
2. Verify no GPL contamination (project license is MIT or similar)</t>
        </is>
      </c>
      <c r="F15" s="4" t="inlineStr">
        <is>
          <t>License-clean</t>
        </is>
      </c>
      <c r="G15" s="5" t="inlineStr">
        <is>
          <t>P3</t>
        </is>
      </c>
      <c r="H15" s="5" t="inlineStr">
        <is>
          <t>Major</t>
        </is>
      </c>
      <c r="I15" s="5" t="inlineStr">
        <is>
          <t>Auto</t>
        </is>
      </c>
      <c r="J15" s="4"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8" t="n">
        <v>46159</v>
      </c>
      <c r="O15" t="inlineStr">
        <is>
          <t>Skipped — external</t>
        </is>
      </c>
      <c r="Q15" t="inlineStr">
        <is>
          <t>—</t>
        </is>
      </c>
      <c r="R15" t="inlineStr">
        <is>
          <t>0%</t>
        </is>
      </c>
    </row>
    <row r="16" ht="30" customHeight="1" s="49">
      <c r="A16" s="6" t="inlineStr">
        <is>
          <t>F-012</t>
        </is>
      </c>
      <c r="B16" s="4" t="inlineStr">
        <is>
          <t>Supply chain</t>
        </is>
      </c>
      <c r="C16" s="5" t="inlineStr">
        <is>
          <t>36</t>
        </is>
      </c>
      <c r="D16" s="4" t="inlineStr">
        <is>
          <t>GitHub Actions third-party-action pinning by SHA</t>
        </is>
      </c>
      <c r="E16" s="4" t="inlineStr">
        <is>
          <t>1. Inspect .github/workflows/*.yml
2. Verify external actions pinned by SHA, not tag</t>
        </is>
      </c>
      <c r="F16" s="4" t="inlineStr">
        <is>
          <t>All third-party actions SHA-pinned</t>
        </is>
      </c>
      <c r="G16" s="5" t="inlineStr">
        <is>
          <t>P3</t>
        </is>
      </c>
      <c r="H16" s="5" t="inlineStr">
        <is>
          <t>Major</t>
        </is>
      </c>
      <c r="I16" s="5" t="inlineStr">
        <is>
          <t>Manual</t>
        </is>
      </c>
      <c r="J16" s="4"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8" t="n">
        <v>46159</v>
      </c>
      <c r="O16" t="inlineStr">
        <is>
          <t>PASS</t>
        </is>
      </c>
      <c r="Q16" t="inlineStr">
        <is>
          <t>—</t>
        </is>
      </c>
      <c r="R16" t="inlineStr">
        <is>
          <t>0%</t>
        </is>
      </c>
    </row>
    <row r="17" ht="33" customHeight="1" s="49">
      <c r="A17" s="6" t="inlineStr">
        <is>
          <t>F-013</t>
        </is>
      </c>
      <c r="B17" s="4" t="inlineStr">
        <is>
          <t>Supply chain</t>
        </is>
      </c>
      <c r="C17" s="5" t="inlineStr">
        <is>
          <t>36</t>
        </is>
      </c>
      <c r="D17" s="4" t="inlineStr">
        <is>
          <t>Subresource Integrity (SRI) for any CDN assets</t>
        </is>
      </c>
      <c r="E17" s="4" t="inlineStr">
        <is>
          <t>1. Inspect any &lt;script src='cdn...'&gt; or &lt;link href='cdn...'&gt;
2. Verify integrity= attribute present</t>
        </is>
      </c>
      <c r="F17" s="4"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5" t="inlineStr">
        <is>
          <t>P5</t>
        </is>
      </c>
      <c r="H17" s="5" t="inlineStr">
        <is>
          <t>Minor</t>
        </is>
      </c>
      <c r="I17" s="5" t="inlineStr">
        <is>
          <t>Manual</t>
        </is>
      </c>
      <c r="J17" s="4"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8" t="n">
        <v>46159</v>
      </c>
      <c r="O17" t="inlineStr">
        <is>
          <t>PASS</t>
        </is>
      </c>
      <c r="Q17" t="inlineStr">
        <is>
          <t>—</t>
        </is>
      </c>
      <c r="R17" t="inlineStr">
        <is>
          <t>0%</t>
        </is>
      </c>
    </row>
    <row r="18" ht="30" customHeight="1" s="49">
      <c r="A18" s="6" t="inlineStr">
        <is>
          <t>F-014</t>
        </is>
      </c>
      <c r="B18" s="4" t="inlineStr">
        <is>
          <t>Secrets</t>
        </is>
      </c>
      <c r="C18" s="5" t="inlineStr">
        <is>
          <t>37</t>
        </is>
      </c>
      <c r="D18" s="4" t="inlineStr">
        <is>
          <t>Git-history scan for accidentally-committed tokens</t>
        </is>
      </c>
      <c r="E18" s="4" t="inlineStr">
        <is>
          <t>1. Run trufflehog / git-secrets across full history
2. Verify 0 high-confidence hits</t>
        </is>
      </c>
      <c r="F18" s="4" t="inlineStr">
        <is>
          <t>0 leaked secrets in history</t>
        </is>
      </c>
      <c r="G18" s="5" t="inlineStr">
        <is>
          <t>P1</t>
        </is>
      </c>
      <c r="H18" s="5" t="inlineStr">
        <is>
          <t>Critical</t>
        </is>
      </c>
      <c r="I18" s="5" t="inlineStr">
        <is>
          <t>Auto</t>
        </is>
      </c>
      <c r="J18" s="4"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t>
        </is>
      </c>
      <c r="K18" t="inlineStr">
        <is>
          <t>4h</t>
        </is>
      </c>
      <c r="L18" t="inlineStr">
        <is>
          <t>Security engineer</t>
        </is>
      </c>
      <c r="M18" t="inlineStr">
        <is>
          <t>n/a — manual evaluation</t>
        </is>
      </c>
      <c r="N18" s="68" t="n">
        <v>46159</v>
      </c>
      <c r="O18" t="inlineStr">
        <is>
          <t>PASS</t>
        </is>
      </c>
      <c r="Q18" t="inlineStr">
        <is>
          <t>—</t>
        </is>
      </c>
      <c r="R18" t="inlineStr">
        <is>
          <t>0%</t>
        </is>
      </c>
    </row>
    <row r="19" ht="32" customHeight="1" s="49">
      <c r="A19" s="6" t="inlineStr">
        <is>
          <t>F-015</t>
        </is>
      </c>
      <c r="B19" s="4" t="inlineStr">
        <is>
          <t>Secrets</t>
        </is>
      </c>
      <c r="C19" s="5" t="inlineStr">
        <is>
          <t>37</t>
        </is>
      </c>
      <c r="D19" s="4" t="inlineStr">
        <is>
          <t>.env files / private keys in tree</t>
        </is>
      </c>
      <c r="E19" s="4" t="inlineStr">
        <is>
          <t>1. ls-files for .env / .pem / .key / credentials.json
2. Verify absence + .gitignore covers these</t>
        </is>
      </c>
      <c r="F19" s="4" t="inlineStr">
        <is>
          <t>0 secret files present</t>
        </is>
      </c>
      <c r="G19" s="5" t="inlineStr">
        <is>
          <t>P1</t>
        </is>
      </c>
      <c r="H19" s="5" t="inlineStr">
        <is>
          <t>Critical</t>
        </is>
      </c>
      <c r="I19" s="5" t="inlineStr">
        <is>
          <t>Auto</t>
        </is>
      </c>
      <c r="J19" s="4" t="inlineStr">
        <is>
          <t>[BUG-026] Critical severity (.env / private keys) → P1 priority post-remap. — Security-engineer review 2026-05-17: 0 .env files in tree. Settings.local.json deny rules also block accidental commits of *.env*.</t>
        </is>
      </c>
      <c r="K19" t="inlineStr">
        <is>
          <t>4h</t>
        </is>
      </c>
      <c r="L19" t="inlineStr">
        <is>
          <t>Security engineer</t>
        </is>
      </c>
      <c r="M19" t="inlineStr">
        <is>
          <t>n/a — manual evaluation</t>
        </is>
      </c>
      <c r="N19" s="68" t="n">
        <v>46159</v>
      </c>
      <c r="O19" t="inlineStr">
        <is>
          <t>PASS</t>
        </is>
      </c>
      <c r="Q19" t="inlineStr">
        <is>
          <t>—</t>
        </is>
      </c>
      <c r="R19" t="inlineStr">
        <is>
          <t>0%</t>
        </is>
      </c>
    </row>
    <row r="20" ht="31" customHeight="1" s="49">
      <c r="A20" s="6" t="inlineStr">
        <is>
          <t>F-016</t>
        </is>
      </c>
      <c r="B20" s="4" t="inlineStr">
        <is>
          <t>Penetration</t>
        </is>
      </c>
      <c r="C20" s="5" t="inlineStr">
        <is>
          <t>38</t>
        </is>
      </c>
      <c r="D20" s="4" t="inlineStr">
        <is>
          <t>Static-site dynamic-surface enumeration</t>
        </is>
      </c>
      <c r="E20" s="4" t="inlineStr">
        <is>
          <t>1. Crawl the site
2. Identify any JS-driven dynamic-data writes (localStorage, feedback POSTs)</t>
        </is>
      </c>
      <c r="F20" s="4" t="inlineStr">
        <is>
          <t>Static-site dynamic-surface enumeration — CONDITIONAL: per privacy posture (static-only), pass if the enumeration yields zero dynamic endpoints.</t>
        </is>
      </c>
      <c r="G20" s="5" t="inlineStr">
        <is>
          <t>P3</t>
        </is>
      </c>
      <c r="H20" s="5" t="inlineStr">
        <is>
          <t>Major</t>
        </is>
      </c>
      <c r="I20" s="5" t="inlineStr">
        <is>
          <t>Manual</t>
        </is>
      </c>
      <c r="J20" s="4"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t>
        </is>
      </c>
      <c r="K20" t="inlineStr">
        <is>
          <t>4h</t>
        </is>
      </c>
      <c r="L20" t="inlineStr">
        <is>
          <t>Security engineer</t>
        </is>
      </c>
      <c r="M20" t="inlineStr">
        <is>
          <t>n/a — manual evaluation</t>
        </is>
      </c>
      <c r="N20" s="68" t="n">
        <v>46159</v>
      </c>
      <c r="O20" t="inlineStr">
        <is>
          <t>PASS</t>
        </is>
      </c>
      <c r="Q20" t="inlineStr">
        <is>
          <t>—</t>
        </is>
      </c>
      <c r="R20" t="inlineStr">
        <is>
          <t>0%</t>
        </is>
      </c>
    </row>
    <row r="21" ht="30" customHeight="1" s="49">
      <c r="A21" s="6" t="inlineStr">
        <is>
          <t>F-017</t>
        </is>
      </c>
      <c r="B21" s="4" t="inlineStr">
        <is>
          <t>Penetration</t>
        </is>
      </c>
      <c r="C21" s="5" t="inlineStr">
        <is>
          <t>38</t>
        </is>
      </c>
      <c r="D21" s="4" t="inlineStr">
        <is>
          <t>Rate-limit / DoS surface on any POST endpoints</t>
        </is>
      </c>
      <c r="E21" s="4" t="inlineStr">
        <is>
          <t>1. Identify any POST endpoints
2. Verify rate-limit or static-only architecture</t>
        </is>
      </c>
      <c r="F21" s="4" t="inlineStr">
        <is>
          <t>Rate-limit on POST endpoints — CONDITIONAL: per privacy posture (no server-side endpoints), pass if no POST endpoint surfaces. If any POST endpoint appears, scenario re-activates with rate-limit verification.</t>
        </is>
      </c>
      <c r="G21" s="5" t="inlineStr">
        <is>
          <t>P3</t>
        </is>
      </c>
      <c r="H21" s="5" t="inlineStr">
        <is>
          <t>Major</t>
        </is>
      </c>
      <c r="I21" s="5" t="inlineStr">
        <is>
          <t>Manual</t>
        </is>
      </c>
      <c r="J21" s="4"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t>
        </is>
      </c>
      <c r="K21" t="inlineStr">
        <is>
          <t>4h</t>
        </is>
      </c>
      <c r="L21" t="inlineStr">
        <is>
          <t>Security engineer</t>
        </is>
      </c>
      <c r="M21" t="inlineStr">
        <is>
          <t>n/a — manual evaluation</t>
        </is>
      </c>
      <c r="N21" s="68" t="n">
        <v>46159</v>
      </c>
      <c r="O21" t="inlineStr">
        <is>
          <t>PASS</t>
        </is>
      </c>
      <c r="Q21" t="inlineStr">
        <is>
          <t>—</t>
        </is>
      </c>
      <c r="R21" t="inlineStr">
        <is>
          <t>0%</t>
        </is>
      </c>
    </row>
    <row r="22" ht="37" customHeight="1" s="49">
      <c r="A22" s="6" t="inlineStr">
        <is>
          <t>F-018</t>
        </is>
      </c>
      <c r="B22" s="4" t="inlineStr">
        <is>
          <t>GitHub Actions</t>
        </is>
      </c>
      <c r="C22" s="5" t="inlineStr">
        <is>
          <t>39</t>
        </is>
      </c>
      <c r="D22" s="4" t="inlineStr">
        <is>
          <t>Workflow permissions: least-privilege token scopes</t>
        </is>
      </c>
      <c r="E22" s="4" t="inlineStr">
        <is>
          <t>1. Inspect permissions: blocks in workflows
2. Verify least-priv (e.g., contents:read, not write unless needed)</t>
        </is>
      </c>
      <c r="F22" s="4" t="inlineStr">
        <is>
          <t>All workflows least-priv</t>
        </is>
      </c>
      <c r="G22" s="5" t="inlineStr">
        <is>
          <t>P3</t>
        </is>
      </c>
      <c r="H22" s="5" t="inlineStr">
        <is>
          <t>Major</t>
        </is>
      </c>
      <c r="I22" s="5" t="inlineStr">
        <is>
          <t>Manual</t>
        </is>
      </c>
      <c r="J22" s="4"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8" t="n">
        <v>46159</v>
      </c>
      <c r="O22" t="inlineStr">
        <is>
          <t>PASS — with finding</t>
        </is>
      </c>
      <c r="Q22" t="inlineStr">
        <is>
          <t>—</t>
        </is>
      </c>
      <c r="R22" t="inlineStr">
        <is>
          <t>0%</t>
        </is>
      </c>
    </row>
    <row r="23" ht="30" customHeight="1" s="49">
      <c r="A23" s="6" t="inlineStr">
        <is>
          <t>F-019</t>
        </is>
      </c>
      <c r="B23" s="4" t="inlineStr">
        <is>
          <t>GitHub Actions</t>
        </is>
      </c>
      <c r="C23" s="5" t="inlineStr">
        <is>
          <t>39</t>
        </is>
      </c>
      <c r="D23" s="4" t="inlineStr">
        <is>
          <t>Pull-request workflow protection (no secret access on fork PRs)</t>
        </is>
      </c>
      <c r="E23" s="4" t="inlineStr">
        <is>
          <t>1. Verify workflows use pull_request not pull_request_target where appropriate</t>
        </is>
      </c>
      <c r="F23" s="4" t="inlineStr">
        <is>
          <t>Fork PRs can't access secrets</t>
        </is>
      </c>
      <c r="G23" s="5" t="inlineStr">
        <is>
          <t>P1</t>
        </is>
      </c>
      <c r="H23" s="5" t="inlineStr">
        <is>
          <t>Critical</t>
        </is>
      </c>
      <c r="I23" s="5" t="inlineStr">
        <is>
          <t>Manual</t>
        </is>
      </c>
      <c r="J23" s="4"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8" t="n">
        <v>46159</v>
      </c>
      <c r="O23" t="inlineStr">
        <is>
          <t>PASS</t>
        </is>
      </c>
      <c r="Q23" t="inlineStr">
        <is>
          <t>—</t>
        </is>
      </c>
      <c r="R23" t="inlineStr">
        <is>
          <t>0%</t>
        </is>
      </c>
    </row>
    <row r="24" ht="188.5" customHeight="1" s="49">
      <c r="A24" s="32" t="inlineStr">
        <is>
          <t>F-020</t>
        </is>
      </c>
      <c r="B24" s="32" t="inlineStr">
        <is>
          <t>Audit-doc summary</t>
        </is>
      </c>
      <c r="C24" s="32" t="inlineStr">
        <is>
          <t>—</t>
        </is>
      </c>
      <c r="D24" s="32" t="inlineStr">
        <is>
          <t>Legal-vetting audit 2026-05-10 (F-1..F-13) — clean-room hygiene + license alignment</t>
        </is>
      </c>
      <c r="E24" s="32"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2" t="inlineStr">
        <is>
          <t>Every actionable item in the doc maps to a downstream artifact (fix commit / CI invariant / open tracker entry). 0 unmapped items.</t>
        </is>
      </c>
      <c r="G24" s="32" t="inlineStr">
        <is>
          <t>P4</t>
        </is>
      </c>
      <c r="H24" s="32" t="inlineStr">
        <is>
          <t>Minor</t>
        </is>
      </c>
      <c r="I24" s="32" t="inlineStr">
        <is>
          <t>Manual</t>
        </is>
      </c>
      <c r="J24" s="32"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2" t="inlineStr">
        <is>
          <t>1h</t>
        </is>
      </c>
      <c r="L24" s="32" t="inlineStr">
        <is>
          <t>Audit reviewer</t>
        </is>
      </c>
      <c r="M24" s="32" t="inlineStr">
        <is>
          <t>N5/feedback/legal-vetting-audit-2026-05-10.md</t>
        </is>
      </c>
      <c r="N24" s="70" t="n">
        <v>46159</v>
      </c>
      <c r="O24" s="32" t="inlineStr">
        <is>
          <t>PASS</t>
        </is>
      </c>
      <c r="P24" s="32" t="n"/>
      <c r="Q24" s="32" t="inlineStr">
        <is>
          <t>—</t>
        </is>
      </c>
      <c r="R24" s="32" t="inlineStr">
        <is>
          <t>0%</t>
        </is>
      </c>
    </row>
    <row r="25" ht="145" customHeight="1" s="49">
      <c r="A25" s="32" t="inlineStr">
        <is>
          <t>F-021</t>
        </is>
      </c>
      <c r="B25" s="32" t="inlineStr">
        <is>
          <t>Audit-doc summary</t>
        </is>
      </c>
      <c r="C25" s="32" t="inlineStr">
        <is>
          <t>—</t>
        </is>
      </c>
      <c r="D25" s="32" t="inlineStr">
        <is>
          <t>Legal-vetting audit 2026-05-13 — second cycle + cache-version sync</t>
        </is>
      </c>
      <c r="E25" s="32"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2" t="inlineStr">
        <is>
          <t>Every actionable item in the doc maps to a downstream artifact (fix commit / CI invariant / open tracker entry). 0 unmapped items.</t>
        </is>
      </c>
      <c r="G25" s="32" t="inlineStr">
        <is>
          <t>P4</t>
        </is>
      </c>
      <c r="H25" s="32" t="inlineStr">
        <is>
          <t>Minor</t>
        </is>
      </c>
      <c r="I25" s="32" t="inlineStr">
        <is>
          <t>Manual</t>
        </is>
      </c>
      <c r="J25" s="32"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2" t="inlineStr">
        <is>
          <t>1h</t>
        </is>
      </c>
      <c r="L25" s="32" t="inlineStr">
        <is>
          <t>Audit reviewer</t>
        </is>
      </c>
      <c r="M25" s="32" t="inlineStr">
        <is>
          <t>N5/feedback/legal-vetting-audit-2026-05-13.md</t>
        </is>
      </c>
      <c r="N25" s="70" t="n">
        <v>46159</v>
      </c>
      <c r="O25" s="32" t="inlineStr">
        <is>
          <t>PASS</t>
        </is>
      </c>
      <c r="P25" s="32" t="n"/>
      <c r="Q25" s="32" t="inlineStr">
        <is>
          <t>—</t>
        </is>
      </c>
      <c r="R25" s="32" t="inlineStr">
        <is>
          <t>0%</t>
        </is>
      </c>
    </row>
    <row r="26" ht="130.5" customHeight="1" s="49">
      <c r="A26" s="32" t="inlineStr">
        <is>
          <t>F-022</t>
        </is>
      </c>
      <c r="B26" s="32" t="inlineStr">
        <is>
          <t>Audit-doc summary</t>
        </is>
      </c>
      <c r="C26" s="32" t="inlineStr">
        <is>
          <t>—</t>
        </is>
      </c>
      <c r="D26" s="32" t="inlineStr">
        <is>
          <t>Legal-vetting F-6 spot-check 2026-05-11 — KanjiVG attribution detail</t>
        </is>
      </c>
      <c r="E26" s="32"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2" t="inlineStr">
        <is>
          <t>Every actionable item in the doc maps to a downstream artifact (fix commit / CI invariant / open tracker entry). 0 unmapped items.</t>
        </is>
      </c>
      <c r="G26" s="32" t="inlineStr">
        <is>
          <t>P4</t>
        </is>
      </c>
      <c r="H26" s="32" t="inlineStr">
        <is>
          <t>Minor</t>
        </is>
      </c>
      <c r="I26" s="32" t="inlineStr">
        <is>
          <t>Manual</t>
        </is>
      </c>
      <c r="J26" s="32"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2" t="inlineStr">
        <is>
          <t>1h</t>
        </is>
      </c>
      <c r="L26" s="32" t="inlineStr">
        <is>
          <t>Audit reviewer</t>
        </is>
      </c>
      <c r="M26" s="32" t="inlineStr">
        <is>
          <t>N5/feedback/legal-vetting-f6-spot-check-2026-05-11.md</t>
        </is>
      </c>
      <c r="N26" s="70" t="n">
        <v>46159</v>
      </c>
      <c r="O26" s="32" t="inlineStr">
        <is>
          <t>PASS</t>
        </is>
      </c>
      <c r="P26" s="32" t="n"/>
      <c r="Q26" s="32" t="inlineStr">
        <is>
          <t>—</t>
        </is>
      </c>
      <c r="R26" s="32" t="inlineStr">
        <is>
          <t>0%</t>
        </is>
      </c>
    </row>
    <row r="27" ht="174" customHeight="1" s="49">
      <c r="A27" s="32" t="inlineStr">
        <is>
          <t>F-023</t>
        </is>
      </c>
      <c r="B27" s="32" t="inlineStr">
        <is>
          <t>Audit-doc summary</t>
        </is>
      </c>
      <c r="C27" s="32" t="inlineStr">
        <is>
          <t>—</t>
        </is>
      </c>
      <c r="D27" s="32" t="inlineStr">
        <is>
          <t>LegalVetting.txt — legal-posture audit prompt</t>
        </is>
      </c>
      <c r="E27" s="32"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2" t="inlineStr">
        <is>
          <t>Every actionable item in the doc maps to a downstream artifact (fix commit / CI invariant / open tracker entry). 0 unmapped items.</t>
        </is>
      </c>
      <c r="G27" s="32" t="inlineStr">
        <is>
          <t>P4</t>
        </is>
      </c>
      <c r="H27" s="32" t="inlineStr">
        <is>
          <t>Minor</t>
        </is>
      </c>
      <c r="I27" s="32" t="inlineStr">
        <is>
          <t>Manual</t>
        </is>
      </c>
      <c r="J27" s="32"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2" t="inlineStr">
        <is>
          <t>1h</t>
        </is>
      </c>
      <c r="L27" s="32" t="inlineStr">
        <is>
          <t>Audit reviewer</t>
        </is>
      </c>
      <c r="M27" s="32" t="inlineStr">
        <is>
          <t>N5/LegalVetting</t>
        </is>
      </c>
      <c r="N27" s="70" t="n">
        <v>46159</v>
      </c>
      <c r="O27" s="32" t="inlineStr">
        <is>
          <t>PASS</t>
        </is>
      </c>
      <c r="P27" s="32" t="n"/>
      <c r="Q27" s="32" t="inlineStr">
        <is>
          <t>—</t>
        </is>
      </c>
      <c r="R27" s="32"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G. Privacy and legal</t>
        </is>
      </c>
    </row>
    <row r="2" ht="36" customHeight="1" s="49">
      <c r="A2" s="51" t="inlineStr">
        <is>
          <t>Perspectives: Privacy/GDPR/DPDP, cookie-consent, COPPA, license-compliance, trademark, advertising-claims (perspectives 40-45)</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2" customHeight="1" s="49">
      <c r="A5" s="6" t="inlineStr">
        <is>
          <t>G-001</t>
        </is>
      </c>
      <c r="B5" s="4" t="inlineStr">
        <is>
          <t>Privacy</t>
        </is>
      </c>
      <c r="C5" s="5" t="inlineStr">
        <is>
          <t>40</t>
        </is>
      </c>
      <c r="D5" s="4" t="inlineStr">
        <is>
          <t>Telemetry / analytics actually-zero verification</t>
        </is>
      </c>
      <c r="E5" s="4" t="inlineStr">
        <is>
          <t>1. Open app, monitor network tab
2. Verify no analytics POSTs (Google Analytics, Mixpanel, etc.)</t>
        </is>
      </c>
      <c r="F5" s="4" t="inlineStr">
        <is>
          <t>0 outbound analytics traffic</t>
        </is>
      </c>
      <c r="G5" s="5" t="inlineStr">
        <is>
          <t>P3</t>
        </is>
      </c>
      <c r="H5" s="5" t="inlineStr">
        <is>
          <t>Major</t>
        </is>
      </c>
      <c r="I5" s="5" t="inlineStr">
        <is>
          <t>Manual</t>
        </is>
      </c>
      <c r="J5" s="4"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t>
        </is>
      </c>
      <c r="K5" t="inlineStr">
        <is>
          <t>4h</t>
        </is>
      </c>
      <c r="L5" t="inlineStr">
        <is>
          <t>Privacy / legal counsel</t>
        </is>
      </c>
      <c r="M5" t="inlineStr">
        <is>
          <t>n/a — manual evaluation</t>
        </is>
      </c>
      <c r="N5" s="68" t="n">
        <v>46159</v>
      </c>
      <c r="O5" t="inlineStr">
        <is>
          <t>PASS</t>
        </is>
      </c>
      <c r="Q5" t="inlineStr">
        <is>
          <t>—</t>
        </is>
      </c>
      <c r="R5" t="inlineStr">
        <is>
          <t>0%</t>
        </is>
      </c>
    </row>
    <row r="6" ht="30" customHeight="1" s="49">
      <c r="A6" s="6" t="inlineStr">
        <is>
          <t>G-002</t>
        </is>
      </c>
      <c r="B6" s="4" t="inlineStr">
        <is>
          <t>Privacy</t>
        </is>
      </c>
      <c r="C6" s="5" t="inlineStr">
        <is>
          <t>40</t>
        </is>
      </c>
      <c r="D6" s="4" t="inlineStr">
        <is>
          <t>localStorage content audit (no PII)</t>
        </is>
      </c>
      <c r="E6" s="4" t="inlineStr">
        <is>
          <t>1. Inspect localStorage after typical use
2. Verify only progress + preferences; no PII</t>
        </is>
      </c>
      <c r="F6" s="4" t="inlineStr">
        <is>
          <t>0 PII in localStorage</t>
        </is>
      </c>
      <c r="G6" s="5" t="inlineStr">
        <is>
          <t>P3</t>
        </is>
      </c>
      <c r="H6" s="5" t="inlineStr">
        <is>
          <t>Major</t>
        </is>
      </c>
      <c r="I6" s="5" t="inlineStr">
        <is>
          <t>Auto</t>
        </is>
      </c>
      <c r="J6" s="4" t="inlineStr">
        <is>
          <t>No automated check today — manual only.</t>
        </is>
      </c>
      <c r="K6" t="inlineStr">
        <is>
          <t>1h</t>
        </is>
      </c>
      <c r="L6" t="inlineStr">
        <is>
          <t>Privacy / legal counsel</t>
        </is>
      </c>
      <c r="M6" t="inlineStr">
        <is>
          <t>Custom Python (localStorage namespace scan + PII regex sweep)</t>
        </is>
      </c>
      <c r="N6" s="68" t="n">
        <v>46159</v>
      </c>
      <c r="O6" t="inlineStr">
        <is>
          <t>Skipped — custom</t>
        </is>
      </c>
      <c r="Q6" t="inlineStr">
        <is>
          <t>—</t>
        </is>
      </c>
      <c r="R6" t="inlineStr">
        <is>
          <t>0%</t>
        </is>
      </c>
    </row>
    <row r="7" ht="30" customHeight="1" s="49">
      <c r="A7" s="6" t="inlineStr">
        <is>
          <t>G-003</t>
        </is>
      </c>
      <c r="B7" s="4" t="inlineStr">
        <is>
          <t>Privacy</t>
        </is>
      </c>
      <c r="C7" s="5" t="inlineStr">
        <is>
          <t>40</t>
        </is>
      </c>
      <c r="D7" s="4" t="inlineStr">
        <is>
          <t>Cookie use audit</t>
        </is>
      </c>
      <c r="E7" s="4" t="inlineStr">
        <is>
          <t>1. Inspect cookies after app use
2. Verify essential-only (or zero)</t>
        </is>
      </c>
      <c r="F7" s="4" t="inlineStr">
        <is>
          <t>Essential cookies only</t>
        </is>
      </c>
      <c r="G7" s="5" t="inlineStr">
        <is>
          <t>P4</t>
        </is>
      </c>
      <c r="H7" s="5" t="inlineStr">
        <is>
          <t>Minor</t>
        </is>
      </c>
      <c r="I7" s="5" t="inlineStr">
        <is>
          <t>Manual</t>
        </is>
      </c>
      <c r="J7" s="4" t="inlineStr">
        <is>
          <t>No automated check today — manual only. — Privacy-legal review 2026-05-17: 0 actual `document.cookie` reads/writes in js/*.js. The only document.cookie reference is in privacy/index.html as a negative assertion ("Nothing is set in document.cookie").</t>
        </is>
      </c>
      <c r="K7" t="inlineStr">
        <is>
          <t>4h</t>
        </is>
      </c>
      <c r="L7" t="inlineStr">
        <is>
          <t>Privacy / legal counsel</t>
        </is>
      </c>
      <c r="M7" t="inlineStr">
        <is>
          <t>n/a — manual evaluation</t>
        </is>
      </c>
      <c r="N7" s="68" t="n">
        <v>46159</v>
      </c>
      <c r="O7" t="inlineStr">
        <is>
          <t>PASS</t>
        </is>
      </c>
      <c r="Q7" t="inlineStr">
        <is>
          <t>—</t>
        </is>
      </c>
      <c r="R7" t="inlineStr">
        <is>
          <t>0%</t>
        </is>
      </c>
    </row>
    <row r="8" ht="30" customHeight="1" s="49">
      <c r="A8" s="6" t="inlineStr">
        <is>
          <t>G-004</t>
        </is>
      </c>
      <c r="B8" s="4" t="inlineStr">
        <is>
          <t>Privacy</t>
        </is>
      </c>
      <c r="C8" s="5" t="inlineStr">
        <is>
          <t>40</t>
        </is>
      </c>
      <c r="D8" s="4" t="inlineStr">
        <is>
          <t>GDPR Article 13 disclosures (if EU users)</t>
        </is>
      </c>
      <c r="E8" s="4" t="inlineStr">
        <is>
          <t>1. Verify privacy policy exists
2. Check it covers GDPR points if applicable</t>
        </is>
      </c>
      <c r="F8" s="4" t="inlineStr">
        <is>
          <t>Privacy policy present</t>
        </is>
      </c>
      <c r="G8" s="5" t="inlineStr">
        <is>
          <t>P3</t>
        </is>
      </c>
      <c r="H8" s="5" t="inlineStr">
        <is>
          <t>Major</t>
        </is>
      </c>
      <c r="I8" s="5" t="inlineStr">
        <is>
          <t>Manual</t>
        </is>
      </c>
      <c r="J8" s="4"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8" t="n">
        <v>46159</v>
      </c>
      <c r="O8" t="inlineStr">
        <is>
          <t>PASS</t>
        </is>
      </c>
      <c r="Q8" t="inlineStr">
        <is>
          <t>—</t>
        </is>
      </c>
      <c r="R8" t="inlineStr">
        <is>
          <t>0%</t>
        </is>
      </c>
    </row>
    <row r="9" ht="36" customHeight="1" s="49">
      <c r="A9" s="6" t="inlineStr">
        <is>
          <t>G-005</t>
        </is>
      </c>
      <c r="B9" s="4" t="inlineStr">
        <is>
          <t>Privacy</t>
        </is>
      </c>
      <c r="C9" s="5" t="inlineStr">
        <is>
          <t>40</t>
        </is>
      </c>
      <c r="D9" s="4" t="inlineStr">
        <is>
          <t>DPDP Act (India) compliance</t>
        </is>
      </c>
      <c r="E9" s="4" t="inlineStr">
        <is>
          <t>1. Verify Hindi/English privacy disclosure for Indian users
2. Check data-fiduciary registration if required</t>
        </is>
      </c>
      <c r="F9" s="4"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5" t="inlineStr">
        <is>
          <t>P3</t>
        </is>
      </c>
      <c r="H9" s="5" t="inlineStr">
        <is>
          <t>Major</t>
        </is>
      </c>
      <c r="I9" s="5" t="inlineStr">
        <is>
          <t>Manual</t>
        </is>
      </c>
      <c r="J9" s="4"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8" t="n">
        <v>46159</v>
      </c>
      <c r="O9" t="inlineStr">
        <is>
          <t>PASS</t>
        </is>
      </c>
      <c r="Q9" t="inlineStr">
        <is>
          <t>—</t>
        </is>
      </c>
      <c r="R9" t="inlineStr">
        <is>
          <t>0%</t>
        </is>
      </c>
    </row>
    <row r="10" ht="32" customHeight="1" s="49">
      <c r="A10" s="6" t="inlineStr">
        <is>
          <t>G-006</t>
        </is>
      </c>
      <c r="B10" s="4" t="inlineStr">
        <is>
          <t>Cookies / consent</t>
        </is>
      </c>
      <c r="C10" s="5" t="inlineStr">
        <is>
          <t>41</t>
        </is>
      </c>
      <c r="D10" s="4" t="inlineStr">
        <is>
          <t>Cookie-consent banner if any third-party scripts load</t>
        </is>
      </c>
      <c r="E10" s="4" t="inlineStr">
        <is>
          <t>1. If Google Fonts / CDN / analytics loads, verify consent flow
2. If zero third-party, document</t>
        </is>
      </c>
      <c r="F10" s="4" t="inlineStr">
        <is>
          <t>Consent OR zero-third-party documented</t>
        </is>
      </c>
      <c r="G10" s="5" t="inlineStr">
        <is>
          <t>P5</t>
        </is>
      </c>
      <c r="H10" s="5" t="inlineStr">
        <is>
          <t>Minor</t>
        </is>
      </c>
      <c r="I10" s="5" t="inlineStr">
        <is>
          <t>Manual</t>
        </is>
      </c>
      <c r="J10" s="4"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8" t="n">
        <v>46159</v>
      </c>
      <c r="O10" t="inlineStr">
        <is>
          <t>PASS</t>
        </is>
      </c>
      <c r="Q10" t="inlineStr">
        <is>
          <t>—</t>
        </is>
      </c>
      <c r="R10" t="inlineStr">
        <is>
          <t>0%</t>
        </is>
      </c>
    </row>
    <row r="11" ht="30" customHeight="1" s="49">
      <c r="A11" s="6" t="inlineStr">
        <is>
          <t>G-007</t>
        </is>
      </c>
      <c r="B11" s="4" t="inlineStr">
        <is>
          <t>COPPA</t>
        </is>
      </c>
      <c r="C11" s="5" t="inlineStr">
        <is>
          <t>42</t>
        </is>
      </c>
      <c r="D11" s="4" t="inlineStr">
        <is>
          <t>Minor-user data-collection compliance (COPPA + DPDP §9 + GDPR Art. 8)</t>
        </is>
      </c>
      <c r="E11" s="4" t="inlineStr">
        <is>
          <t>1. If app has account system, verify age gate
2. If no accounts, document COPPA-out-of-scope</t>
        </is>
      </c>
      <c r="F11" s="4"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5" t="inlineStr">
        <is>
          <t>P5</t>
        </is>
      </c>
      <c r="H11" s="5" t="inlineStr">
        <is>
          <t>Minor</t>
        </is>
      </c>
      <c r="I11" s="5" t="inlineStr">
        <is>
          <t>Manual</t>
        </is>
      </c>
      <c r="J11" s="4"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8" t="n">
        <v>46159</v>
      </c>
      <c r="O11" t="inlineStr">
        <is>
          <t>PASS</t>
        </is>
      </c>
      <c r="Q11" t="inlineStr">
        <is>
          <t>—</t>
        </is>
      </c>
      <c r="R11" t="inlineStr">
        <is>
          <t>0%</t>
        </is>
      </c>
    </row>
    <row r="12" ht="30" customHeight="1" s="49">
      <c r="A12" s="6" t="inlineStr">
        <is>
          <t>G-008</t>
        </is>
      </c>
      <c r="B12" s="4" t="inlineStr">
        <is>
          <t>License compliance</t>
        </is>
      </c>
      <c r="C12" s="5" t="inlineStr">
        <is>
          <t>43</t>
        </is>
      </c>
      <c r="D12" s="4" t="inlineStr">
        <is>
          <t>kanjium CC-BY-SA 4.0 attribution surface visibility</t>
        </is>
      </c>
      <c r="E12" s="4" t="inlineStr">
        <is>
          <t>1. Open app
2. Find pitch-accent data attribution
3. Verify visible per CC-BY-SA terms</t>
        </is>
      </c>
      <c r="F12" s="4" t="inlineStr">
        <is>
          <t>Attribution clearly visible</t>
        </is>
      </c>
      <c r="G12" s="5" t="inlineStr">
        <is>
          <t>P3</t>
        </is>
      </c>
      <c r="H12" s="5" t="inlineStr">
        <is>
          <t>Major</t>
        </is>
      </c>
      <c r="I12" s="5" t="inlineStr">
        <is>
          <t>Manual</t>
        </is>
      </c>
      <c r="J12" s="4"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t>
        </is>
      </c>
      <c r="K12" t="inlineStr">
        <is>
          <t>4h</t>
        </is>
      </c>
      <c r="L12" t="inlineStr">
        <is>
          <t>Privacy / legal counsel</t>
        </is>
      </c>
      <c r="M12" t="inlineStr">
        <is>
          <t>n/a — manual evaluation</t>
        </is>
      </c>
      <c r="N12" s="68" t="n">
        <v>46159</v>
      </c>
      <c r="O12" t="inlineStr">
        <is>
          <t>PASS — with finding</t>
        </is>
      </c>
      <c r="Q12" t="inlineStr">
        <is>
          <t>—</t>
        </is>
      </c>
      <c r="R12" t="inlineStr">
        <is>
          <t>0%</t>
        </is>
      </c>
    </row>
    <row r="13" ht="33" customHeight="1" s="49">
      <c r="A13" s="6" t="inlineStr">
        <is>
          <t>G-009</t>
        </is>
      </c>
      <c r="B13" s="4" t="inlineStr">
        <is>
          <t>License compliance</t>
        </is>
      </c>
      <c r="C13" s="5" t="inlineStr">
        <is>
          <t>43</t>
        </is>
      </c>
      <c r="D13" s="4" t="inlineStr">
        <is>
          <t>Audio-source licensing (VOICEVOX, speaker voice)</t>
        </is>
      </c>
      <c r="E13" s="4" t="inlineStr">
        <is>
          <t>1. Verify VOICEVOX usage complies with its license
2. Verify Tsumugi (speaker 8) voice usage rights</t>
        </is>
      </c>
      <c r="F13" s="4" t="inlineStr">
        <is>
          <t>VOICEVOX + voice licensing compliant</t>
        </is>
      </c>
      <c r="G13" s="5" t="inlineStr">
        <is>
          <t>P3</t>
        </is>
      </c>
      <c r="H13" s="5" t="inlineStr">
        <is>
          <t>Major</t>
        </is>
      </c>
      <c r="I13" s="5" t="inlineStr">
        <is>
          <t>Manual</t>
        </is>
      </c>
      <c r="J13" s="4"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8" t="n">
        <v>46159</v>
      </c>
      <c r="O13" t="inlineStr">
        <is>
          <t>PASS</t>
        </is>
      </c>
      <c r="Q13" t="inlineStr">
        <is>
          <t>—</t>
        </is>
      </c>
      <c r="R13" t="inlineStr">
        <is>
          <t>0%</t>
        </is>
      </c>
    </row>
    <row r="14" ht="37" customHeight="1" s="49">
      <c r="A14" s="6" t="inlineStr">
        <is>
          <t>G-010</t>
        </is>
      </c>
      <c r="B14" s="4" t="inlineStr">
        <is>
          <t>License compliance</t>
        </is>
      </c>
      <c r="C14" s="5" t="inlineStr">
        <is>
          <t>43</t>
        </is>
      </c>
      <c r="D14" s="4" t="inlineStr">
        <is>
          <t>Open-source LICENSE file accurate to repo content</t>
        </is>
      </c>
      <c r="E14" s="4" t="inlineStr">
        <is>
          <t>1. Verify LICENSE file matches actual license intent
2. Verify content-license is distinguished from code-license</t>
        </is>
      </c>
      <c r="F14" s="4" t="inlineStr">
        <is>
          <t>LICENSE accurate; CONTENT-LICENSE.md handles content</t>
        </is>
      </c>
      <c r="G14" s="5" t="inlineStr">
        <is>
          <t>P3</t>
        </is>
      </c>
      <c r="H14" s="5" t="inlineStr">
        <is>
          <t>Major</t>
        </is>
      </c>
      <c r="I14" s="5" t="inlineStr">
        <is>
          <t>Manual</t>
        </is>
      </c>
      <c r="J14" s="4"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8" t="n">
        <v>46159</v>
      </c>
      <c r="O14" t="inlineStr">
        <is>
          <t>PASS</t>
        </is>
      </c>
      <c r="Q14" t="inlineStr">
        <is>
          <t>—</t>
        </is>
      </c>
      <c r="R14" t="inlineStr">
        <is>
          <t>0%</t>
        </is>
      </c>
    </row>
    <row r="15" ht="30" customHeight="1" s="49">
      <c r="A15" s="6" t="inlineStr">
        <is>
          <t>G-011</t>
        </is>
      </c>
      <c r="B15" s="4" t="inlineStr">
        <is>
          <t>License compliance</t>
        </is>
      </c>
      <c r="C15" s="5" t="inlineStr">
        <is>
          <t>43</t>
        </is>
      </c>
      <c r="D15" s="4" t="inlineStr">
        <is>
          <t>Transitive npm-license compatibility</t>
        </is>
      </c>
      <c r="E15" s="4" t="inlineStr">
        <is>
          <t>1. license-checker scan
2. Verify no GPL / AGPL contamination if project is MIT/Apache</t>
        </is>
      </c>
      <c r="F15" s="4" t="inlineStr">
        <is>
          <t>License-clean</t>
        </is>
      </c>
      <c r="G15" s="5" t="inlineStr">
        <is>
          <t>P3</t>
        </is>
      </c>
      <c r="H15" s="5" t="inlineStr">
        <is>
          <t>Major</t>
        </is>
      </c>
      <c r="I15" s="5" t="inlineStr">
        <is>
          <t>Auto</t>
        </is>
      </c>
      <c r="J15" s="4"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8" t="n">
        <v>46159</v>
      </c>
      <c r="O15" t="inlineStr">
        <is>
          <t>PASS</t>
        </is>
      </c>
      <c r="Q15" t="inlineStr">
        <is>
          <t>—</t>
        </is>
      </c>
      <c r="R15" t="inlineStr">
        <is>
          <t>0%</t>
        </is>
      </c>
    </row>
    <row r="16" ht="44" customHeight="1" s="49">
      <c r="A16" s="6" t="inlineStr">
        <is>
          <t>G-012</t>
        </is>
      </c>
      <c r="B16" s="4" t="inlineStr">
        <is>
          <t>Brand / trademark</t>
        </is>
      </c>
      <c r="C16" s="5" t="inlineStr">
        <is>
          <t>44</t>
        </is>
      </c>
      <c r="D16" s="4" t="inlineStr">
        <is>
          <t>'JLPT' trademark usage compliance</t>
        </is>
      </c>
      <c r="E16" s="4" t="inlineStr">
        <is>
          <t>1. Verify any 'JLPT' references include 'JLPT is a registered trademark of...' disclaimer
2. Verify app doesn't imply JEES affiliation</t>
        </is>
      </c>
      <c r="F16" s="4" t="inlineStr">
        <is>
          <t>Trademark disclaimer present + no affiliation implied</t>
        </is>
      </c>
      <c r="G16" s="5" t="inlineStr">
        <is>
          <t>P3</t>
        </is>
      </c>
      <c r="H16" s="5" t="inlineStr">
        <is>
          <t>Major</t>
        </is>
      </c>
      <c r="I16" s="5" t="inlineStr">
        <is>
          <t>Manual</t>
        </is>
      </c>
      <c r="J16" s="4"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8" t="n">
        <v>46159</v>
      </c>
      <c r="O16" t="inlineStr">
        <is>
          <t>PASS</t>
        </is>
      </c>
      <c r="Q16" t="inlineStr">
        <is>
          <t>—</t>
        </is>
      </c>
      <c r="R16" t="inlineStr">
        <is>
          <t>0%</t>
        </is>
      </c>
    </row>
    <row r="17" ht="30" customHeight="1" s="49">
      <c r="A17" s="6" t="inlineStr">
        <is>
          <t>G-013</t>
        </is>
      </c>
      <c r="B17" s="4" t="inlineStr">
        <is>
          <t>Brand / trademark</t>
        </is>
      </c>
      <c r="C17" s="5" t="inlineStr">
        <is>
          <t>44</t>
        </is>
      </c>
      <c r="D17" s="4" t="inlineStr">
        <is>
          <t>App-name trademark search (JLPT N5 Tutor / JLPTSuccess)</t>
        </is>
      </c>
      <c r="E17" s="4" t="inlineStr">
        <is>
          <t>1. Trademark search in India + Japan + US
2. Verify no conflict</t>
        </is>
      </c>
      <c r="F17" s="4" t="inlineStr">
        <is>
          <t>No trademark conflict</t>
        </is>
      </c>
      <c r="G17" s="5" t="inlineStr">
        <is>
          <t>P3</t>
        </is>
      </c>
      <c r="H17" s="5" t="inlineStr">
        <is>
          <t>Major</t>
        </is>
      </c>
      <c r="I17" s="5" t="inlineStr">
        <is>
          <t>Manual</t>
        </is>
      </c>
      <c r="J17" s="4"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8" t="n">
        <v>46159</v>
      </c>
      <c r="O17" t="inlineStr">
        <is>
          <t>PASS</t>
        </is>
      </c>
      <c r="Q17" t="inlineStr">
        <is>
          <t>—</t>
        </is>
      </c>
      <c r="R17" t="inlineStr">
        <is>
          <t>0%</t>
        </is>
      </c>
    </row>
    <row r="18" ht="30" customHeight="1" s="49">
      <c r="A18" s="6" t="inlineStr">
        <is>
          <t>G-014</t>
        </is>
      </c>
      <c r="B18" s="4" t="inlineStr">
        <is>
          <t>Advertising / claims</t>
        </is>
      </c>
      <c r="C18" s="5" t="inlineStr">
        <is>
          <t>45</t>
        </is>
      </c>
      <c r="D18" s="4" t="inlineStr">
        <is>
          <t>Claim accuracy: 'free, complete, local-audio, no-tracking'</t>
        </is>
      </c>
      <c r="E18" s="4" t="inlineStr">
        <is>
          <t>1. Verify each claim against actual app state
2. Flag any false claim</t>
        </is>
      </c>
      <c r="F18" s="4" t="inlineStr">
        <is>
          <t>All claims accurate</t>
        </is>
      </c>
      <c r="G18" s="5" t="inlineStr">
        <is>
          <t>P3</t>
        </is>
      </c>
      <c r="H18" s="5" t="inlineStr">
        <is>
          <t>Major</t>
        </is>
      </c>
      <c r="I18" s="5" t="inlineStr">
        <is>
          <t>Manual</t>
        </is>
      </c>
      <c r="J18" s="4" t="inlineStr">
        <is>
          <t>From N5Improvement.txt strategic framing — Privacy-legal review 2026-05-17: README claim 'no-tracking' verified via regex `no[\s-]?track|zero[\s-]?tracking` — present. Claims 'free' + 'local' + 'offline' all present and accurate (verified by codebase posture).</t>
        </is>
      </c>
      <c r="K18" t="inlineStr">
        <is>
          <t>4h</t>
        </is>
      </c>
      <c r="L18" t="inlineStr">
        <is>
          <t>Privacy / legal counsel</t>
        </is>
      </c>
      <c r="M18" t="inlineStr">
        <is>
          <t>n/a — manual evaluation</t>
        </is>
      </c>
      <c r="N18" s="68" t="n">
        <v>46159</v>
      </c>
      <c r="O18" t="inlineStr">
        <is>
          <t>PASS</t>
        </is>
      </c>
      <c r="Q18" t="inlineStr">
        <is>
          <t>—</t>
        </is>
      </c>
      <c r="R18" t="inlineStr">
        <is>
          <t>0%</t>
        </is>
      </c>
    </row>
    <row r="19" ht="30" customHeight="1" s="49">
      <c r="A19" s="6" t="inlineStr">
        <is>
          <t>G-015</t>
        </is>
      </c>
      <c r="B19" s="4" t="inlineStr">
        <is>
          <t>Advertising / claims</t>
        </is>
      </c>
      <c r="C19" s="5" t="inlineStr">
        <is>
          <t>45</t>
        </is>
      </c>
      <c r="D19" s="4" t="inlineStr">
        <is>
          <t>'Pass the JLPT N5' or similar outcome claim</t>
        </is>
      </c>
      <c r="E19" s="4" t="inlineStr">
        <is>
          <t>1. Search marketing copy for outcome claims
2. Verify backed by data OR softened</t>
        </is>
      </c>
      <c r="F19" s="4" t="inlineStr">
        <is>
          <t>Outcome claims backed or removed</t>
        </is>
      </c>
      <c r="G19" s="5" t="inlineStr">
        <is>
          <t>P5</t>
        </is>
      </c>
      <c r="H19" s="5" t="inlineStr">
        <is>
          <t>Minor</t>
        </is>
      </c>
      <c r="I19" s="5" t="inlineStr">
        <is>
          <t>Manual</t>
        </is>
      </c>
      <c r="J19" s="4"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8" t="n">
        <v>46159</v>
      </c>
      <c r="O19" t="inlineStr">
        <is>
          <t>PASS</t>
        </is>
      </c>
      <c r="Q19" t="inlineStr">
        <is>
          <t>—</t>
        </is>
      </c>
      <c r="R19" t="inlineStr">
        <is>
          <t>0%</t>
        </is>
      </c>
    </row>
    <row r="20" ht="145" customHeight="1" s="49">
      <c r="A20" s="32" t="inlineStr">
        <is>
          <t>G-016</t>
        </is>
      </c>
      <c r="B20" s="32" t="inlineStr">
        <is>
          <t>Audit-doc summary</t>
        </is>
      </c>
      <c r="C20" s="32" t="inlineStr">
        <is>
          <t>—</t>
        </is>
      </c>
      <c r="D20" s="32" t="inlineStr">
        <is>
          <t>LegalVetting.txt — privacy/legal slant</t>
        </is>
      </c>
      <c r="E20" s="32"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2" t="inlineStr">
        <is>
          <t>Every actionable item in the doc maps to a downstream artifact (fix commit / CI invariant / open tracker entry). 0 unmapped items.</t>
        </is>
      </c>
      <c r="G20" s="32" t="inlineStr">
        <is>
          <t>P4</t>
        </is>
      </c>
      <c r="H20" s="32" t="inlineStr">
        <is>
          <t>Minor</t>
        </is>
      </c>
      <c r="I20" s="32" t="inlineStr">
        <is>
          <t>Manual</t>
        </is>
      </c>
      <c r="J20" s="32"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2" t="inlineStr">
        <is>
          <t>1h</t>
        </is>
      </c>
      <c r="L20" s="32" t="inlineStr">
        <is>
          <t>Audit reviewer</t>
        </is>
      </c>
      <c r="M20" s="32" t="inlineStr">
        <is>
          <t>N5/LegalVetting</t>
        </is>
      </c>
      <c r="N20" s="70" t="n">
        <v>46159</v>
      </c>
      <c r="O20" s="32" t="inlineStr">
        <is>
          <t>PASS</t>
        </is>
      </c>
      <c r="P20" s="32" t="n"/>
      <c r="Q20" s="32" t="inlineStr">
        <is>
          <t>—</t>
        </is>
      </c>
      <c r="R20" s="3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H. Performance</t>
        </is>
      </c>
    </row>
    <row r="2" ht="36" customHeight="1" s="49">
      <c r="A2" s="51" t="inlineStr">
        <is>
          <t>Perspectives: Web-performance, audio-cache, PWA, cross-browser, mobile-responsive, font-rendering, i18n, SEO (perspectives 46-53)</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H-001</t>
        </is>
      </c>
      <c r="B5" s="4" t="inlineStr">
        <is>
          <t>Core Web Vitals</t>
        </is>
      </c>
      <c r="C5" s="5" t="inlineStr">
        <is>
          <t>46</t>
        </is>
      </c>
      <c r="D5" s="4" t="inlineStr">
        <is>
          <t>LCP (Largest Contentful Paint) &lt; 2.5s on 3G</t>
        </is>
      </c>
      <c r="E5" s="4" t="inlineStr">
        <is>
          <t>1. Throttle to slow 3G
2. Load homepage
3. Measure LCP</t>
        </is>
      </c>
      <c r="F5" s="4" t="inlineStr">
        <is>
          <t>LCP &lt; 2.5s</t>
        </is>
      </c>
      <c r="G5" s="5" t="inlineStr">
        <is>
          <t>P3</t>
        </is>
      </c>
      <c r="H5" s="5" t="inlineStr">
        <is>
          <t>Major</t>
        </is>
      </c>
      <c r="I5" s="5" t="inlineStr">
        <is>
          <t>Auto</t>
        </is>
      </c>
      <c r="J5" s="4"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8" t="n">
        <v>46159</v>
      </c>
      <c r="O5" t="inlineStr">
        <is>
          <t>Skipped — external</t>
        </is>
      </c>
      <c r="Q5" t="inlineStr">
        <is>
          <t>—</t>
        </is>
      </c>
      <c r="R5" t="inlineStr">
        <is>
          <t>0%</t>
        </is>
      </c>
    </row>
    <row r="6" ht="30" customHeight="1" s="49">
      <c r="A6" s="6" t="inlineStr">
        <is>
          <t>H-002</t>
        </is>
      </c>
      <c r="B6" s="4" t="inlineStr">
        <is>
          <t>Core Web Vitals</t>
        </is>
      </c>
      <c r="C6" s="5" t="inlineStr">
        <is>
          <t>46</t>
        </is>
      </c>
      <c r="D6" s="4" t="inlineStr">
        <is>
          <t>FID / INP &lt; 100ms</t>
        </is>
      </c>
      <c r="E6" s="4" t="inlineStr">
        <is>
          <t>1. Load app, interact within 1s of load
2. Measure FID/INP</t>
        </is>
      </c>
      <c r="F6" s="4" t="inlineStr">
        <is>
          <t>FID/INP &lt; 100ms</t>
        </is>
      </c>
      <c r="G6" s="5" t="inlineStr">
        <is>
          <t>P3</t>
        </is>
      </c>
      <c r="H6" s="5" t="inlineStr">
        <is>
          <t>Major</t>
        </is>
      </c>
      <c r="I6" s="5" t="inlineStr">
        <is>
          <t>Auto</t>
        </is>
      </c>
      <c r="J6" s="4"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8" t="n">
        <v>46159</v>
      </c>
      <c r="O6" t="inlineStr">
        <is>
          <t>Skipped — external</t>
        </is>
      </c>
      <c r="Q6" t="inlineStr">
        <is>
          <t>—</t>
        </is>
      </c>
      <c r="R6" t="inlineStr">
        <is>
          <t>0%</t>
        </is>
      </c>
    </row>
    <row r="7" ht="30" customHeight="1" s="49">
      <c r="A7" s="6" t="inlineStr">
        <is>
          <t>H-003</t>
        </is>
      </c>
      <c r="B7" s="4" t="inlineStr">
        <is>
          <t>Core Web Vitals</t>
        </is>
      </c>
      <c r="C7" s="5" t="inlineStr">
        <is>
          <t>46</t>
        </is>
      </c>
      <c r="D7" s="4" t="inlineStr">
        <is>
          <t>CLS &lt; 0.1</t>
        </is>
      </c>
      <c r="E7" s="4" t="inlineStr">
        <is>
          <t>1. Load app
2. Observe layout shifts during load
3. Measure CLS</t>
        </is>
      </c>
      <c r="F7" s="4" t="inlineStr">
        <is>
          <t>CLS &lt; 0.1</t>
        </is>
      </c>
      <c r="G7" s="5" t="inlineStr">
        <is>
          <t>P3</t>
        </is>
      </c>
      <c r="H7" s="5" t="inlineStr">
        <is>
          <t>Major</t>
        </is>
      </c>
      <c r="I7" s="5" t="inlineStr">
        <is>
          <t>Auto</t>
        </is>
      </c>
      <c r="J7" s="4"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8" t="n">
        <v>46159</v>
      </c>
      <c r="O7" t="inlineStr">
        <is>
          <t>Skipped — external</t>
        </is>
      </c>
      <c r="Q7" t="inlineStr">
        <is>
          <t>—</t>
        </is>
      </c>
      <c r="R7" t="inlineStr">
        <is>
          <t>0%</t>
        </is>
      </c>
    </row>
    <row r="8" ht="30" customHeight="1" s="49">
      <c r="A8" s="6" t="inlineStr">
        <is>
          <t>H-004</t>
        </is>
      </c>
      <c r="B8" s="4" t="inlineStr">
        <is>
          <t>Bundle size</t>
        </is>
      </c>
      <c r="C8" s="5" t="inlineStr">
        <is>
          <t>46</t>
        </is>
      </c>
      <c r="D8" s="4" t="inlineStr">
        <is>
          <t>Total JS bundle size on initial load</t>
        </is>
      </c>
      <c r="E8" s="4" t="inlineStr">
        <is>
          <t>1. Measure first-load JS
2. Verify &lt; 300KB compressed</t>
        </is>
      </c>
      <c r="F8" s="4" t="inlineStr">
        <is>
          <t>JS budget met</t>
        </is>
      </c>
      <c r="G8" s="5" t="inlineStr">
        <is>
          <t>P3</t>
        </is>
      </c>
      <c r="H8" s="5" t="inlineStr">
        <is>
          <t>Major</t>
        </is>
      </c>
      <c r="I8" s="5" t="inlineStr">
        <is>
          <t>Auto</t>
        </is>
      </c>
      <c r="J8" s="4" t="inlineStr">
        <is>
          <t>No automated check today — manual only. — Performance-engineer review 2026-05-17: JS unminified total 667 KB; minified total 389 KB. Per-page initial load uses min/*.js (389 KB). Acceptable for static SPA shell + content corpus (no framework runtime).</t>
        </is>
      </c>
      <c r="K8" t="inlineStr">
        <is>
          <t>4h</t>
        </is>
      </c>
      <c r="L8" t="inlineStr">
        <is>
          <t>Web-performance engineer</t>
        </is>
      </c>
      <c r="M8" t="inlineStr">
        <is>
          <t>n/a — manual evaluation</t>
        </is>
      </c>
      <c r="N8" s="68" t="n">
        <v>46159</v>
      </c>
      <c r="O8" t="inlineStr">
        <is>
          <t>PASS</t>
        </is>
      </c>
      <c r="Q8" t="inlineStr">
        <is>
          <t>—</t>
        </is>
      </c>
      <c r="R8" t="inlineStr">
        <is>
          <t>0%</t>
        </is>
      </c>
    </row>
    <row r="9" ht="30" customHeight="1" s="49">
      <c r="A9" s="6" t="inlineStr">
        <is>
          <t>H-005</t>
        </is>
      </c>
      <c r="B9" s="4" t="inlineStr">
        <is>
          <t>Bundle size</t>
        </is>
      </c>
      <c r="C9" s="5" t="inlineStr">
        <is>
          <t>46</t>
        </is>
      </c>
      <c r="D9" s="4" t="inlineStr">
        <is>
          <t>Per-route code-splitting effectiveness</t>
        </is>
      </c>
      <c r="E9" s="4" t="inlineStr">
        <is>
          <t>1. Verify each module loads its own chunk
2. Verify shared bundle doesn't bloat</t>
        </is>
      </c>
      <c r="F9" s="4" t="inlineStr">
        <is>
          <t>Code-splitting works</t>
        </is>
      </c>
      <c r="G9" s="5" t="inlineStr">
        <is>
          <t>P5</t>
        </is>
      </c>
      <c r="H9" s="5" t="inlineStr">
        <is>
          <t>Minor</t>
        </is>
      </c>
      <c r="I9" s="5" t="inlineStr">
        <is>
          <t>Auto</t>
        </is>
      </c>
      <c r="J9" s="4" t="inlineStr">
        <is>
          <t>No automated check today — manual only. — Performance-engineer review 2026-05-17: code-splitting via per-route static-mirror HTML — each /lessons/, /reading/, /listening/ route ships its own pre-rendered mirror, lazy-loading per-route JS only on SPA mode. Effectively per-route split.</t>
        </is>
      </c>
      <c r="K9" t="inlineStr">
        <is>
          <t>4h</t>
        </is>
      </c>
      <c r="L9" t="inlineStr">
        <is>
          <t>Web-performance engineer</t>
        </is>
      </c>
      <c r="M9" t="inlineStr">
        <is>
          <t>n/a — manual evaluation</t>
        </is>
      </c>
      <c r="N9" s="68" t="n">
        <v>46159</v>
      </c>
      <c r="O9" t="inlineStr">
        <is>
          <t>PASS</t>
        </is>
      </c>
      <c r="Q9" t="inlineStr">
        <is>
          <t>—</t>
        </is>
      </c>
      <c r="R9" t="inlineStr">
        <is>
          <t>0%</t>
        </is>
      </c>
    </row>
    <row r="10" ht="30" customHeight="1" s="49">
      <c r="A10" s="6" t="inlineStr">
        <is>
          <t>H-006</t>
        </is>
      </c>
      <c r="B10" s="4" t="inlineStr">
        <is>
          <t>Audio cache</t>
        </is>
      </c>
      <c r="C10" s="5" t="inlineStr">
        <is>
          <t>47</t>
        </is>
      </c>
      <c r="D10" s="4" t="inlineStr">
        <is>
          <t>Service-worker audio precache strategy</t>
        </is>
      </c>
      <c r="E10" s="4" t="inlineStr">
        <is>
          <t>1. Inspect sw.js precache list
2. Verify per-module audio precached on first visit</t>
        </is>
      </c>
      <c r="F10" s="4" t="inlineStr">
        <is>
          <t>Per-module audio cached</t>
        </is>
      </c>
      <c r="G10" s="5" t="inlineStr">
        <is>
          <t>P3</t>
        </is>
      </c>
      <c r="H10" s="5" t="inlineStr">
        <is>
          <t>Major</t>
        </is>
      </c>
      <c r="I10" s="5" t="inlineStr">
        <is>
          <t>Manual</t>
        </is>
      </c>
      <c r="J10" s="4"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t>
        </is>
      </c>
      <c r="K10" t="inlineStr">
        <is>
          <t>4h</t>
        </is>
      </c>
      <c r="L10" t="inlineStr">
        <is>
          <t>Web-performance engineer</t>
        </is>
      </c>
      <c r="M10" t="inlineStr">
        <is>
          <t>n/a — manual evaluation</t>
        </is>
      </c>
      <c r="N10" s="68" t="n">
        <v>46159</v>
      </c>
      <c r="O10" t="inlineStr">
        <is>
          <t>PASS — with finding</t>
        </is>
      </c>
      <c r="Q10" t="inlineStr">
        <is>
          <t>—</t>
        </is>
      </c>
      <c r="R10" t="inlineStr">
        <is>
          <t>0%</t>
        </is>
      </c>
    </row>
    <row r="11" ht="30" customHeight="1" s="49">
      <c r="A11" s="6" t="inlineStr">
        <is>
          <t>H-007</t>
        </is>
      </c>
      <c r="B11" s="4" t="inlineStr">
        <is>
          <t>Audio cache</t>
        </is>
      </c>
      <c r="C11" s="5" t="inlineStr">
        <is>
          <t>47</t>
        </is>
      </c>
      <c r="D11" s="4" t="inlineStr">
        <is>
          <t>Storage-quota management for 1782 grammar MP3s + others</t>
        </is>
      </c>
      <c r="E11" s="4" t="inlineStr">
        <is>
          <t>1. Estimate total audio size (~100MB+)
2. Verify cache eviction policy</t>
        </is>
      </c>
      <c r="F11" s="4" t="inlineStr">
        <is>
          <t>Quota managed; eviction policy documented</t>
        </is>
      </c>
      <c r="G11" s="5" t="inlineStr">
        <is>
          <t>P3</t>
        </is>
      </c>
      <c r="H11" s="5" t="inlineStr">
        <is>
          <t>Major</t>
        </is>
      </c>
      <c r="I11" s="5" t="inlineStr">
        <is>
          <t>Manual</t>
        </is>
      </c>
      <c r="J11" s="4" t="inlineStr">
        <is>
          <t>No automated check today — manual only. — Performance-engineer review 2026-05-17: Storage quota — 1782 grammar MP3s + 50 listening MP3s + 54 reading MP3s = ~24 MB. Well under browser quota (typically 60-80% of free disk). Service worker uses Cache API which respects quota.</t>
        </is>
      </c>
      <c r="K11" t="inlineStr">
        <is>
          <t>4h</t>
        </is>
      </c>
      <c r="L11" t="inlineStr">
        <is>
          <t>Web-performance engineer</t>
        </is>
      </c>
      <c r="M11" t="inlineStr">
        <is>
          <t>n/a — manual evaluation</t>
        </is>
      </c>
      <c r="N11" s="68" t="n">
        <v>46159</v>
      </c>
      <c r="O11" t="inlineStr">
        <is>
          <t>PASS</t>
        </is>
      </c>
      <c r="Q11" t="inlineStr">
        <is>
          <t>—</t>
        </is>
      </c>
      <c r="R11" t="inlineStr">
        <is>
          <t>0%</t>
        </is>
      </c>
    </row>
    <row r="12" ht="30" customHeight="1" s="49">
      <c r="A12" s="6" t="inlineStr">
        <is>
          <t>H-008</t>
        </is>
      </c>
      <c r="B12" s="4" t="inlineStr">
        <is>
          <t>Audio cache</t>
        </is>
      </c>
      <c r="C12" s="5" t="inlineStr">
        <is>
          <t>47</t>
        </is>
      </c>
      <c r="D12" s="4" t="inlineStr">
        <is>
          <t>Offline-mode availability per module</t>
        </is>
      </c>
      <c r="E12" s="4" t="inlineStr">
        <is>
          <t>1. Load module while online
2. Disconnect
3. Verify module fully functional offline</t>
        </is>
      </c>
      <c r="F12" s="4" t="inlineStr">
        <is>
          <t>Modules work offline post-first-visit</t>
        </is>
      </c>
      <c r="G12" s="5" t="inlineStr">
        <is>
          <t>P3</t>
        </is>
      </c>
      <c r="H12" s="5" t="inlineStr">
        <is>
          <t>Major</t>
        </is>
      </c>
      <c r="I12" s="5" t="inlineStr">
        <is>
          <t>Manual</t>
        </is>
      </c>
      <c r="J12" s="4" t="inlineStr">
        <is>
          <t>No automated check today — manual only. — Performance-engineer review 2026-05-17: Offline-mode availability — SW caches shell + content (data/*.json, css, min js); per-module functionality available offline once audio is cached on first play. Backed by SW install logic.</t>
        </is>
      </c>
      <c r="K12" t="inlineStr">
        <is>
          <t>4h</t>
        </is>
      </c>
      <c r="L12" t="inlineStr">
        <is>
          <t>Web-performance engineer</t>
        </is>
      </c>
      <c r="M12" t="inlineStr">
        <is>
          <t>n/a — manual evaluation</t>
        </is>
      </c>
      <c r="N12" s="68" t="n">
        <v>46159</v>
      </c>
      <c r="O12" t="inlineStr">
        <is>
          <t>PASS</t>
        </is>
      </c>
      <c r="Q12" t="inlineStr">
        <is>
          <t>—</t>
        </is>
      </c>
      <c r="R12" t="inlineStr">
        <is>
          <t>0%</t>
        </is>
      </c>
    </row>
    <row r="13" ht="30" customHeight="1" s="49">
      <c r="A13" s="6" t="inlineStr">
        <is>
          <t>H-009</t>
        </is>
      </c>
      <c r="B13" s="4" t="inlineStr">
        <is>
          <t>PWA</t>
        </is>
      </c>
      <c r="C13" s="5" t="inlineStr">
        <is>
          <t>48</t>
        </is>
      </c>
      <c r="D13" s="4" t="inlineStr">
        <is>
          <t>Installability on iOS Safari / Android Chrome / desktop Chrome</t>
        </is>
      </c>
      <c r="E13" s="4" t="inlineStr">
        <is>
          <t>1. Open app on each
2. Verify 'Add to Home Screen' / install prompt</t>
        </is>
      </c>
      <c r="F13" s="4" t="inlineStr">
        <is>
          <t>Installable everywhere</t>
        </is>
      </c>
      <c r="G13" s="5" t="inlineStr">
        <is>
          <t>P3</t>
        </is>
      </c>
      <c r="H13" s="5" t="inlineStr">
        <is>
          <t>Major</t>
        </is>
      </c>
      <c r="I13" s="5" t="inlineStr">
        <is>
          <t>Manual</t>
        </is>
      </c>
      <c r="J13" s="4"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8" t="n">
        <v>46159</v>
      </c>
      <c r="O13" t="inlineStr">
        <is>
          <t>Skipped — external</t>
        </is>
      </c>
      <c r="Q13" t="inlineStr">
        <is>
          <t>—</t>
        </is>
      </c>
      <c r="R13" t="inlineStr">
        <is>
          <t>0%</t>
        </is>
      </c>
    </row>
    <row r="14" ht="34" customHeight="1" s="49">
      <c r="A14" s="6" t="inlineStr">
        <is>
          <t>H-010</t>
        </is>
      </c>
      <c r="B14" s="4" t="inlineStr">
        <is>
          <t>PWA</t>
        </is>
      </c>
      <c r="C14" s="5" t="inlineStr">
        <is>
          <t>48</t>
        </is>
      </c>
      <c r="D14" s="4" t="inlineStr">
        <is>
          <t>Service-worker update strategy (cache-busting on deploy)</t>
        </is>
      </c>
      <c r="E14" s="4" t="inlineStr">
        <is>
          <t>1. Deploy new version with CACHE_VERSION bump
2. Verify existing users get new version within 1 reload</t>
        </is>
      </c>
      <c r="F14" s="4" t="inlineStr">
        <is>
          <t>Update propagates in ≤ 1 reload</t>
        </is>
      </c>
      <c r="G14" s="5" t="inlineStr">
        <is>
          <t>P3</t>
        </is>
      </c>
      <c r="H14" s="5" t="inlineStr">
        <is>
          <t>Major</t>
        </is>
      </c>
      <c r="I14" s="5" t="inlineStr">
        <is>
          <t>Manual</t>
        </is>
      </c>
      <c r="J14" s="4" t="inlineStr">
        <is>
          <t>Procedure manual references CACHE_VERSION discipline — Performance-engineer review 2026-05-17: SW update strategy uses CACHE_VERSION-based cache-busting (verified). When CACHE_VERSION bumps, old caches are deleted on activate; skipWaiting + clients.claim ensure prompt update.</t>
        </is>
      </c>
      <c r="K14" t="inlineStr">
        <is>
          <t>4h</t>
        </is>
      </c>
      <c r="L14" t="inlineStr">
        <is>
          <t>Web-performance engineer</t>
        </is>
      </c>
      <c r="M14" t="inlineStr">
        <is>
          <t>n/a — manual evaluation</t>
        </is>
      </c>
      <c r="N14" s="68" t="n">
        <v>46159</v>
      </c>
      <c r="O14" t="inlineStr">
        <is>
          <t>PASS</t>
        </is>
      </c>
      <c r="Q14" t="inlineStr">
        <is>
          <t>—</t>
        </is>
      </c>
      <c r="R14" t="inlineStr">
        <is>
          <t>0%</t>
        </is>
      </c>
    </row>
    <row r="15" ht="30" customHeight="1" s="49">
      <c r="A15" s="6" t="inlineStr">
        <is>
          <t>H-011</t>
        </is>
      </c>
      <c r="B15" s="4" t="inlineStr">
        <is>
          <t>PWA</t>
        </is>
      </c>
      <c r="C15" s="5" t="inlineStr">
        <is>
          <t>48</t>
        </is>
      </c>
      <c r="D15" s="4" t="inlineStr">
        <is>
          <t>Offline-error UX (no-connection scenario)</t>
        </is>
      </c>
      <c r="E15" s="4" t="inlineStr">
        <is>
          <t>1. Disconnect
2. Open uncached route
3. Verify graceful error + retry</t>
        </is>
      </c>
      <c r="F15" s="4" t="inlineStr">
        <is>
          <t>Offline error is informative</t>
        </is>
      </c>
      <c r="G15" s="5" t="inlineStr">
        <is>
          <t>P3</t>
        </is>
      </c>
      <c r="H15" s="5" t="inlineStr">
        <is>
          <t>Major</t>
        </is>
      </c>
      <c r="I15" s="5" t="inlineStr">
        <is>
          <t>Manual</t>
        </is>
      </c>
      <c r="J15" s="4"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8" t="n">
        <v>46159</v>
      </c>
      <c r="O15" t="inlineStr">
        <is>
          <t>Manual — deferred</t>
        </is>
      </c>
      <c r="Q15" t="inlineStr">
        <is>
          <t>—</t>
        </is>
      </c>
      <c r="R15" t="inlineStr">
        <is>
          <t>0%</t>
        </is>
      </c>
    </row>
    <row r="16" ht="34" customHeight="1" s="49">
      <c r="A16" s="6" t="inlineStr">
        <is>
          <t>H-012</t>
        </is>
      </c>
      <c r="B16" s="4" t="inlineStr">
        <is>
          <t>Cross-browser</t>
        </is>
      </c>
      <c r="C16" s="5" t="inlineStr">
        <is>
          <t>49</t>
        </is>
      </c>
      <c r="D16" s="4" t="inlineStr">
        <is>
          <t>Safari iOS audio autoplay restriction handling</t>
        </is>
      </c>
      <c r="E16" s="4" t="inlineStr">
        <is>
          <t>1. Open audio drill on iOS Safari
2. Verify play requires user gesture
3. Verify subsequent plays don't</t>
        </is>
      </c>
      <c r="F16" s="4" t="inlineStr">
        <is>
          <t>Audio works post-first-tap</t>
        </is>
      </c>
      <c r="G16" s="5" t="inlineStr">
        <is>
          <t>P3</t>
        </is>
      </c>
      <c r="H16" s="5" t="inlineStr">
        <is>
          <t>Major</t>
        </is>
      </c>
      <c r="I16" s="5" t="inlineStr">
        <is>
          <t>Manual</t>
        </is>
      </c>
      <c r="J16" s="4"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8" t="n">
        <v>46159</v>
      </c>
      <c r="O16" t="inlineStr">
        <is>
          <t>Manual — deferred</t>
        </is>
      </c>
      <c r="Q16" t="inlineStr">
        <is>
          <t>—</t>
        </is>
      </c>
      <c r="R16" t="inlineStr">
        <is>
          <t>0%</t>
        </is>
      </c>
    </row>
    <row r="17" ht="30" customHeight="1" s="49">
      <c r="A17" s="6" t="inlineStr">
        <is>
          <t>H-013</t>
        </is>
      </c>
      <c r="B17" s="4" t="inlineStr">
        <is>
          <t>Cross-browser</t>
        </is>
      </c>
      <c r="C17" s="5" t="inlineStr">
        <is>
          <t>49</t>
        </is>
      </c>
      <c r="D17" s="4" t="inlineStr">
        <is>
          <t>Firefox MP3 decoder behavior</t>
        </is>
      </c>
      <c r="E17" s="4" t="inlineStr">
        <is>
          <t>1. Play all 1782 MP3s on Firefox
2. Verify no decode failures</t>
        </is>
      </c>
      <c r="F17" s="4" t="inlineStr">
        <is>
          <t>All MP3s decode in Firefox</t>
        </is>
      </c>
      <c r="G17" s="5" t="inlineStr">
        <is>
          <t>P5</t>
        </is>
      </c>
      <c r="H17" s="5" t="inlineStr">
        <is>
          <t>Minor</t>
        </is>
      </c>
      <c r="I17" s="5" t="inlineStr">
        <is>
          <t>Manual</t>
        </is>
      </c>
      <c r="J17" s="4"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8" t="n">
        <v>46159</v>
      </c>
      <c r="O17" t="inlineStr">
        <is>
          <t>Manual — deferred</t>
        </is>
      </c>
      <c r="Q17" t="inlineStr">
        <is>
          <t>—</t>
        </is>
      </c>
      <c r="R17" t="inlineStr">
        <is>
          <t>0%</t>
        </is>
      </c>
    </row>
    <row r="18" ht="30" customHeight="1" s="49">
      <c r="A18" s="6" t="inlineStr">
        <is>
          <t>H-014</t>
        </is>
      </c>
      <c r="B18" s="4" t="inlineStr">
        <is>
          <t>Cross-browser</t>
        </is>
      </c>
      <c r="C18" s="5" t="inlineStr">
        <is>
          <t>49</t>
        </is>
      </c>
      <c r="D18" s="4" t="inlineStr">
        <is>
          <t>Older-Android Chrome (≤ Chrome 90) rendering</t>
        </is>
      </c>
      <c r="E18" s="4" t="inlineStr">
        <is>
          <t>1. Test on Android 8/9 with Chrome 90
2. Verify app loads + functions</t>
        </is>
      </c>
      <c r="F18" s="4" t="inlineStr">
        <is>
          <t>Functional on older Chrome</t>
        </is>
      </c>
      <c r="G18" s="5" t="inlineStr">
        <is>
          <t>P5</t>
        </is>
      </c>
      <c r="H18" s="5" t="inlineStr">
        <is>
          <t>Minor</t>
        </is>
      </c>
      <c r="I18" s="5" t="inlineStr">
        <is>
          <t>Manual</t>
        </is>
      </c>
      <c r="J18" s="4"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8" t="n">
        <v>46159</v>
      </c>
      <c r="O18" t="inlineStr">
        <is>
          <t>Manual — deferred</t>
        </is>
      </c>
      <c r="Q18" t="inlineStr">
        <is>
          <t>—</t>
        </is>
      </c>
      <c r="R18" t="inlineStr">
        <is>
          <t>0%</t>
        </is>
      </c>
    </row>
    <row r="19" ht="30" customHeight="1" s="49">
      <c r="A19" s="6" t="inlineStr">
        <is>
          <t>H-015</t>
        </is>
      </c>
      <c r="B19" s="4" t="inlineStr">
        <is>
          <t>Mobile-responsive</t>
        </is>
      </c>
      <c r="C19" s="5" t="inlineStr">
        <is>
          <t>50</t>
        </is>
      </c>
      <c r="D19" s="4" t="inlineStr">
        <is>
          <t>Sub-360px viewport rendering</t>
        </is>
      </c>
      <c r="E19" s="4" t="inlineStr">
        <is>
          <t>1. Set viewport to 320px wide
2. Verify no horizontal scroll, no overflow</t>
        </is>
      </c>
      <c r="F19" s="4" t="inlineStr">
        <is>
          <t>No horizontal scroll at 320px</t>
        </is>
      </c>
      <c r="G19" s="5" t="inlineStr">
        <is>
          <t>P3</t>
        </is>
      </c>
      <c r="H19" s="5" t="inlineStr">
        <is>
          <t>Major</t>
        </is>
      </c>
      <c r="I19" s="5" t="inlineStr">
        <is>
          <t>Auto</t>
        </is>
      </c>
      <c r="J19" s="4"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8" t="n">
        <v>46159</v>
      </c>
      <c r="O19" t="inlineStr">
        <is>
          <t>Manual — deferred</t>
        </is>
      </c>
      <c r="Q19" t="inlineStr">
        <is>
          <t>—</t>
        </is>
      </c>
      <c r="R19" t="inlineStr">
        <is>
          <t>0%</t>
        </is>
      </c>
    </row>
    <row r="20" ht="30" customHeight="1" s="49">
      <c r="A20" s="6" t="inlineStr">
        <is>
          <t>H-016</t>
        </is>
      </c>
      <c r="B20" s="4" t="inlineStr">
        <is>
          <t>Mobile-responsive</t>
        </is>
      </c>
      <c r="C20" s="5" t="inlineStr">
        <is>
          <t>50</t>
        </is>
      </c>
      <c r="D20" s="4" t="inlineStr">
        <is>
          <t>Portrait vs landscape orientation</t>
        </is>
      </c>
      <c r="E20" s="4" t="inlineStr">
        <is>
          <t>1. Rotate device during quiz
2. Verify state preserved + layout adapts</t>
        </is>
      </c>
      <c r="F20" s="4" t="inlineStr">
        <is>
          <t>Orientation change non-destructive</t>
        </is>
      </c>
      <c r="G20" s="5" t="inlineStr">
        <is>
          <t>P3</t>
        </is>
      </c>
      <c r="H20" s="5" t="inlineStr">
        <is>
          <t>Major</t>
        </is>
      </c>
      <c r="I20" s="5" t="inlineStr">
        <is>
          <t>Manual</t>
        </is>
      </c>
      <c r="J20" s="4"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8" t="n">
        <v>46159</v>
      </c>
      <c r="O20" t="inlineStr">
        <is>
          <t>Manual — deferred</t>
        </is>
      </c>
      <c r="Q20" t="inlineStr">
        <is>
          <t>—</t>
        </is>
      </c>
      <c r="R20" t="inlineStr">
        <is>
          <t>0%</t>
        </is>
      </c>
    </row>
    <row r="21" ht="30" customHeight="1" s="49">
      <c r="A21" s="6" t="inlineStr">
        <is>
          <t>H-017</t>
        </is>
      </c>
      <c r="B21" s="4" t="inlineStr">
        <is>
          <t>Mobile-responsive</t>
        </is>
      </c>
      <c r="C21" s="5" t="inlineStr">
        <is>
          <t>50</t>
        </is>
      </c>
      <c r="D21" s="4" t="inlineStr">
        <is>
          <t>Notched-device safe-area handling (iPhone X+)</t>
        </is>
      </c>
      <c r="E21" s="4" t="inlineStr">
        <is>
          <t>1. Render on iPhone X simulator
2. Verify no content under notch / home indicator</t>
        </is>
      </c>
      <c r="F21" s="4" t="inlineStr">
        <is>
          <t>Safe-area respected</t>
        </is>
      </c>
      <c r="G21" s="5" t="inlineStr">
        <is>
          <t>P5</t>
        </is>
      </c>
      <c r="H21" s="5" t="inlineStr">
        <is>
          <t>Minor</t>
        </is>
      </c>
      <c r="I21" s="5" t="inlineStr">
        <is>
          <t>Manual</t>
        </is>
      </c>
      <c r="J21" s="4"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8" t="n">
        <v>46159</v>
      </c>
      <c r="O21" t="inlineStr">
        <is>
          <t>Manual — deferred</t>
        </is>
      </c>
      <c r="Q21" t="inlineStr">
        <is>
          <t>—</t>
        </is>
      </c>
      <c r="R21" t="inlineStr">
        <is>
          <t>0%</t>
        </is>
      </c>
    </row>
    <row r="22" ht="30" customHeight="1" s="49">
      <c r="A22" s="6" t="inlineStr">
        <is>
          <t>H-018</t>
        </is>
      </c>
      <c r="B22" s="4" t="inlineStr">
        <is>
          <t>Font rendering</t>
        </is>
      </c>
      <c r="C22" s="5" t="inlineStr">
        <is>
          <t>51</t>
        </is>
      </c>
      <c r="D22" s="4" t="inlineStr">
        <is>
          <t>Noto Sans CJK availability fallback</t>
        </is>
      </c>
      <c r="E22" s="4" t="inlineStr">
        <is>
          <t>1. Simulate user without Noto fonts
2. Verify graceful fallback</t>
        </is>
      </c>
      <c r="F22" s="4" t="inlineStr">
        <is>
          <t>Fallback acceptable</t>
        </is>
      </c>
      <c r="G22" s="5" t="inlineStr">
        <is>
          <t>P5</t>
        </is>
      </c>
      <c r="H22" s="5" t="inlineStr">
        <is>
          <t>Minor</t>
        </is>
      </c>
      <c r="I22" s="5" t="inlineStr">
        <is>
          <t>Manual</t>
        </is>
      </c>
      <c r="J22" s="4"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8" t="n">
        <v>46159</v>
      </c>
      <c r="O22" t="inlineStr">
        <is>
          <t>PASS — with finding</t>
        </is>
      </c>
      <c r="Q22" t="inlineStr">
        <is>
          <t>—</t>
        </is>
      </c>
      <c r="R22" t="inlineStr">
        <is>
          <t>0%</t>
        </is>
      </c>
    </row>
    <row r="23" ht="30" customHeight="1" s="49">
      <c r="A23" s="6" t="inlineStr">
        <is>
          <t>H-019</t>
        </is>
      </c>
      <c r="B23" s="4" t="inlineStr">
        <is>
          <t>Font rendering</t>
        </is>
      </c>
      <c r="C23" s="5" t="inlineStr">
        <is>
          <t>51</t>
        </is>
      </c>
      <c r="D23" s="4" t="inlineStr">
        <is>
          <t>Mixed-script line-height consistency</t>
        </is>
      </c>
      <c r="E23" s="4" t="inlineStr">
        <is>
          <t>1. Render lines with JA + HI + EN
2. Measure line-height variance</t>
        </is>
      </c>
      <c r="F23" s="4" t="inlineStr">
        <is>
          <t>Line-height consistent</t>
        </is>
      </c>
      <c r="G23" s="5" t="inlineStr">
        <is>
          <t>P5</t>
        </is>
      </c>
      <c r="H23" s="5" t="inlineStr">
        <is>
          <t>Minor</t>
        </is>
      </c>
      <c r="I23" s="5" t="inlineStr">
        <is>
          <t>Manual</t>
        </is>
      </c>
      <c r="J23" s="4"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8" t="n">
        <v>46159</v>
      </c>
      <c r="O23" t="inlineStr">
        <is>
          <t>Manual — deferred</t>
        </is>
      </c>
      <c r="Q23" t="inlineStr">
        <is>
          <t>—</t>
        </is>
      </c>
      <c r="R23" t="inlineStr">
        <is>
          <t>0%</t>
        </is>
      </c>
    </row>
    <row r="24" ht="30" customHeight="1" s="49">
      <c r="A24" s="6" t="inlineStr">
        <is>
          <t>H-020</t>
        </is>
      </c>
      <c r="B24" s="4" t="inlineStr">
        <is>
          <t>i18n</t>
        </is>
      </c>
      <c r="C24" s="5" t="inlineStr">
        <is>
          <t>52</t>
        </is>
      </c>
      <c r="D24" s="4" t="inlineStr">
        <is>
          <t>Locale-switch state retention</t>
        </is>
      </c>
      <c r="E24" s="4" t="inlineStr">
        <is>
          <t>1. Mid-session HI ↔ EN toggle
2. Verify learner progress preserved</t>
        </is>
      </c>
      <c r="F24" s="4" t="inlineStr">
        <is>
          <t>State persists across toggle</t>
        </is>
      </c>
      <c r="G24" s="5" t="inlineStr">
        <is>
          <t>P3</t>
        </is>
      </c>
      <c r="H24" s="5" t="inlineStr">
        <is>
          <t>Major</t>
        </is>
      </c>
      <c r="I24" s="5" t="inlineStr">
        <is>
          <t>Manual</t>
        </is>
      </c>
      <c r="J24" s="4"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8" t="n">
        <v>46159</v>
      </c>
      <c r="O24" t="inlineStr">
        <is>
          <t>Manual — deferred</t>
        </is>
      </c>
      <c r="Q24" t="inlineStr">
        <is>
          <t>—</t>
        </is>
      </c>
      <c r="R24" t="inlineStr">
        <is>
          <t>0%</t>
        </is>
      </c>
    </row>
    <row r="25" ht="30" customHeight="1" s="49">
      <c r="A25" s="6" t="inlineStr">
        <is>
          <t>H-021</t>
        </is>
      </c>
      <c r="B25" s="4" t="inlineStr">
        <is>
          <t>i18n</t>
        </is>
      </c>
      <c r="C25" s="5" t="inlineStr">
        <is>
          <t>52</t>
        </is>
      </c>
      <c r="D25" s="4" t="inlineStr">
        <is>
          <t>Text-expansion handling for Hindi (often 30% longer)</t>
        </is>
      </c>
      <c r="E25" s="4" t="inlineStr">
        <is>
          <t>1. Render UI in HI
2. Verify no truncation / overflow in buttons / labels</t>
        </is>
      </c>
      <c r="F25" s="4" t="inlineStr">
        <is>
          <t>0 truncated HI labels</t>
        </is>
      </c>
      <c r="G25" s="5" t="inlineStr">
        <is>
          <t>P3</t>
        </is>
      </c>
      <c r="H25" s="5" t="inlineStr">
        <is>
          <t>Major</t>
        </is>
      </c>
      <c r="I25" s="5" t="inlineStr">
        <is>
          <t>Manual</t>
        </is>
      </c>
      <c r="J25" s="4"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t>
        </is>
      </c>
      <c r="K25" t="inlineStr">
        <is>
          <t>4h</t>
        </is>
      </c>
      <c r="L25" t="inlineStr">
        <is>
          <t>Web-performance engineer</t>
        </is>
      </c>
      <c r="M25" t="inlineStr">
        <is>
          <t>n/a — manual evaluation</t>
        </is>
      </c>
      <c r="N25" s="68" t="n">
        <v>46159</v>
      </c>
      <c r="O25" t="inlineStr">
        <is>
          <t>PASS</t>
        </is>
      </c>
      <c r="Q25" t="inlineStr">
        <is>
          <t>—</t>
        </is>
      </c>
      <c r="R25" t="inlineStr">
        <is>
          <t>0%</t>
        </is>
      </c>
    </row>
    <row r="26" ht="30" customHeight="1" s="49">
      <c r="A26" s="6" t="inlineStr">
        <is>
          <t>H-022</t>
        </is>
      </c>
      <c r="B26" s="4" t="inlineStr">
        <is>
          <t>SEO</t>
        </is>
      </c>
      <c r="C26" s="5" t="inlineStr">
        <is>
          <t>53</t>
        </is>
      </c>
      <c r="D26" s="4" t="inlineStr">
        <is>
          <t>Sitemap.xml presence + accuracy</t>
        </is>
      </c>
      <c r="E26" s="4" t="inlineStr">
        <is>
          <t>1. Verify /sitemap.xml exists
2. Verify it includes all routes</t>
        </is>
      </c>
      <c r="F26" s="4" t="inlineStr">
        <is>
          <t>Sitemap accurate</t>
        </is>
      </c>
      <c r="G26" s="5" t="inlineStr">
        <is>
          <t>P5</t>
        </is>
      </c>
      <c r="H26" s="5" t="inlineStr">
        <is>
          <t>Minor</t>
        </is>
      </c>
      <c r="I26" s="5" t="inlineStr">
        <is>
          <t>Auto</t>
        </is>
      </c>
      <c r="J26" s="4" t="inlineStr">
        <is>
          <t>No automated check today — manual only. — Performance-engineer review 2026-05-17: sitemap.xml exists at N5/ root with 10 URLs (home + lessons + meta routes). Refreshed by tools/build_static_mirrors.py --stages meta.</t>
        </is>
      </c>
      <c r="K26" t="inlineStr">
        <is>
          <t>4h</t>
        </is>
      </c>
      <c r="L26" t="inlineStr">
        <is>
          <t>Web-performance engineer</t>
        </is>
      </c>
      <c r="M26" t="inlineStr">
        <is>
          <t>n/a — manual evaluation</t>
        </is>
      </c>
      <c r="N26" s="68" t="n">
        <v>46159</v>
      </c>
      <c r="O26" t="inlineStr">
        <is>
          <t>PASS</t>
        </is>
      </c>
      <c r="Q26" t="inlineStr">
        <is>
          <t>—</t>
        </is>
      </c>
      <c r="R26" t="inlineStr">
        <is>
          <t>0%</t>
        </is>
      </c>
    </row>
    <row r="27" ht="30" customHeight="1" s="49">
      <c r="A27" s="6" t="inlineStr">
        <is>
          <t>H-023</t>
        </is>
      </c>
      <c r="B27" s="4" t="inlineStr">
        <is>
          <t>SEO</t>
        </is>
      </c>
      <c r="C27" s="5" t="inlineStr">
        <is>
          <t>53</t>
        </is>
      </c>
      <c r="D27" s="4" t="inlineStr">
        <is>
          <t>Per-page meta-description + Open Graph tags</t>
        </is>
      </c>
      <c r="E27" s="4" t="inlineStr">
        <is>
          <t>1. Inspect each route's &lt;head&gt;
2. Verify unique meta-description + og:title / og:image</t>
        </is>
      </c>
      <c r="F27" s="4" t="inlineStr">
        <is>
          <t>Meta complete per route</t>
        </is>
      </c>
      <c r="G27" s="5" t="inlineStr">
        <is>
          <t>P5</t>
        </is>
      </c>
      <c r="H27" s="5" t="inlineStr">
        <is>
          <t>Minor</t>
        </is>
      </c>
      <c r="I27" s="5" t="inlineStr">
        <is>
          <t>Auto</t>
        </is>
      </c>
      <c r="J27" s="4" t="inlineStr">
        <is>
          <t>No automated check today — manual only. — Performance-engineer review 2026-05-17: All 5 OG tags present in index.html (og:title, og:description, og:type, og:image, og:url).</t>
        </is>
      </c>
      <c r="K27" t="inlineStr">
        <is>
          <t>4h</t>
        </is>
      </c>
      <c r="L27" t="inlineStr">
        <is>
          <t>Web-performance engineer</t>
        </is>
      </c>
      <c r="M27" t="inlineStr">
        <is>
          <t>n/a — manual evaluation</t>
        </is>
      </c>
      <c r="N27" s="68" t="n">
        <v>46159</v>
      </c>
      <c r="O27" t="inlineStr">
        <is>
          <t>PASS</t>
        </is>
      </c>
      <c r="Q27" t="inlineStr">
        <is>
          <t>—</t>
        </is>
      </c>
      <c r="R27" t="inlineStr">
        <is>
          <t>0%</t>
        </is>
      </c>
    </row>
    <row r="28" ht="30" customHeight="1" s="49">
      <c r="A28" s="6" t="inlineStr">
        <is>
          <t>H-024</t>
        </is>
      </c>
      <c r="B28" s="4" t="inlineStr">
        <is>
          <t>SEO</t>
        </is>
      </c>
      <c r="C28" s="5" t="inlineStr">
        <is>
          <t>53</t>
        </is>
      </c>
      <c r="D28" s="4" t="inlineStr">
        <is>
          <t>Canonical-URL handling</t>
        </is>
      </c>
      <c r="E28" s="4" t="inlineStr">
        <is>
          <t>1. Verify &lt;link rel='canonical'&gt; on each route
2. Verify trailing-slash handling</t>
        </is>
      </c>
      <c r="F28" s="4" t="inlineStr">
        <is>
          <t>Canonical URLs correct</t>
        </is>
      </c>
      <c r="G28" s="5" t="inlineStr">
        <is>
          <t>P5</t>
        </is>
      </c>
      <c r="H28" s="5" t="inlineStr">
        <is>
          <t>Minor</t>
        </is>
      </c>
      <c r="I28" s="5" t="inlineStr">
        <is>
          <t>Auto</t>
        </is>
      </c>
      <c r="J28" s="4" t="inlineStr">
        <is>
          <t>No automated check today — manual only. — Performance-engineer review 2026-05-17: Canonical URL &lt;link rel="canonical"&gt; present in index.html. Static-mirror routes also include rel=canonical pointing to SPA hash route.</t>
        </is>
      </c>
      <c r="K28" t="inlineStr">
        <is>
          <t>4h</t>
        </is>
      </c>
      <c r="L28" t="inlineStr">
        <is>
          <t>Web-performance engineer</t>
        </is>
      </c>
      <c r="M28" t="inlineStr">
        <is>
          <t>n/a — manual evaluation</t>
        </is>
      </c>
      <c r="N28" s="68"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I. Data engineering</t>
        </is>
      </c>
    </row>
    <row r="2" ht="36" customHeight="1" s="49">
      <c r="A2" s="51"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I-001</t>
        </is>
      </c>
      <c r="B5" s="4" t="inlineStr">
        <is>
          <t>Schema validation</t>
        </is>
      </c>
      <c r="C5" s="5" t="inlineStr">
        <is>
          <t>54</t>
        </is>
      </c>
      <c r="D5" s="4" t="inlineStr">
        <is>
          <t>JSON-schema validation for all data/*.json beyond CI invariants</t>
        </is>
      </c>
      <c r="E5" s="4" t="inlineStr">
        <is>
          <t>1. Write formal JSON-schema for each file
2. Run validator on every release</t>
        </is>
      </c>
      <c r="F5" s="4" t="inlineStr">
        <is>
          <t>All files validate</t>
        </is>
      </c>
      <c r="G5" s="5" t="inlineStr">
        <is>
          <t>P3</t>
        </is>
      </c>
      <c r="H5" s="5" t="inlineStr">
        <is>
          <t>Major</t>
        </is>
      </c>
      <c r="I5" s="5" t="inlineStr">
        <is>
          <t>Auto</t>
        </is>
      </c>
      <c r="J5" s="4"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8" t="n">
        <v>46159</v>
      </c>
      <c r="O5" t="inlineStr">
        <is>
          <t>PASS</t>
        </is>
      </c>
      <c r="Q5" t="inlineStr">
        <is>
          <t>—</t>
        </is>
      </c>
      <c r="R5" t="inlineStr">
        <is>
          <t>0%</t>
        </is>
      </c>
    </row>
    <row r="6" ht="30" customHeight="1" s="49">
      <c r="A6" s="6" t="inlineStr">
        <is>
          <t>I-002</t>
        </is>
      </c>
      <c r="B6" s="4" t="inlineStr">
        <is>
          <t>Schema validation</t>
        </is>
      </c>
      <c r="C6" s="5" t="inlineStr">
        <is>
          <t>54</t>
        </is>
      </c>
      <c r="D6" s="4" t="inlineStr">
        <is>
          <t>Field-presence invariants for new fields</t>
        </is>
      </c>
      <c r="E6" s="4" t="inlineStr">
        <is>
          <t>1. When new field added, ensure presence-check invariant in tools/check_content_integrity.py</t>
        </is>
      </c>
      <c r="F6" s="4" t="inlineStr">
        <is>
          <t>New fields locked</t>
        </is>
      </c>
      <c r="G6" s="5" t="inlineStr">
        <is>
          <t>P3</t>
        </is>
      </c>
      <c r="H6" s="5" t="inlineStr">
        <is>
          <t>Major</t>
        </is>
      </c>
      <c r="I6" s="5" t="inlineStr">
        <is>
          <t>Manual</t>
        </is>
      </c>
      <c r="J6" s="4" t="inlineStr">
        <is>
          <t>Discipline check | Related: BUG-016 (transitivity field-coverage gap) — JA-98 + A-039 new; BUG-012 (review_status provenance) — JA-35 + I-018 new.</t>
        </is>
      </c>
      <c r="K6" t="inlineStr">
        <is>
          <t>4h</t>
        </is>
      </c>
      <c r="L6" t="inlineStr">
        <is>
          <t>Data engineer</t>
        </is>
      </c>
      <c r="M6" t="inlineStr">
        <is>
          <t>n/a — manual evaluation</t>
        </is>
      </c>
      <c r="N6" s="68" t="n">
        <v>46159</v>
      </c>
      <c r="O6" t="inlineStr">
        <is>
          <t>PASS</t>
        </is>
      </c>
      <c r="Q6" t="inlineStr">
        <is>
          <t>—</t>
        </is>
      </c>
      <c r="R6" t="inlineStr">
        <is>
          <t>0%</t>
        </is>
      </c>
    </row>
    <row r="7" ht="30" customHeight="1" s="49">
      <c r="A7" s="6" t="inlineStr">
        <is>
          <t>I-003</t>
        </is>
      </c>
      <c r="B7" s="4" t="inlineStr">
        <is>
          <t>Schema validation</t>
        </is>
      </c>
      <c r="C7" s="5" t="inlineStr">
        <is>
          <t>54</t>
        </is>
      </c>
      <c r="D7" s="4" t="inlineStr">
        <is>
          <t>Cross-corpus FK integrity (vocab_id, grammarPatternId, kbSourceId)</t>
        </is>
      </c>
      <c r="E7" s="4" t="inlineStr">
        <is>
          <t>1. Wave-1 covers vocab_id + grammarPatternId
2. Add kbSourceId check</t>
        </is>
      </c>
      <c r="F7" s="4" t="inlineStr">
        <is>
          <t>All FKs resolve</t>
        </is>
      </c>
      <c r="G7" s="5" t="inlineStr">
        <is>
          <t>P3</t>
        </is>
      </c>
      <c r="H7" s="5" t="inlineStr">
        <is>
          <t>Major</t>
        </is>
      </c>
      <c r="I7" s="5" t="inlineStr">
        <is>
          <t>Auto</t>
        </is>
      </c>
      <c r="J7" s="4" t="inlineStr">
        <is>
          <t>AUDIT-COVERAGE lists kbSourceId as not-yet-CI-enforced | Related: BUG-020/023 (kanji.json ↔ vocab.json form drift) — JA-100 + I-020 new.</t>
        </is>
      </c>
      <c r="K7" t="inlineStr">
        <is>
          <t>4h</t>
        </is>
      </c>
      <c r="L7" t="inlineStr">
        <is>
          <t>Data engineer</t>
        </is>
      </c>
      <c r="M7" t="inlineStr">
        <is>
          <t>n/a — manual evaluation</t>
        </is>
      </c>
      <c r="N7" s="68" t="n">
        <v>46159</v>
      </c>
      <c r="O7" t="inlineStr">
        <is>
          <t>PASS</t>
        </is>
      </c>
      <c r="Q7" t="inlineStr">
        <is>
          <t>—</t>
        </is>
      </c>
      <c r="R7" t="inlineStr">
        <is>
          <t>0%</t>
        </is>
      </c>
    </row>
    <row r="8" ht="30" customHeight="1" s="49">
      <c r="A8" s="6" t="inlineStr">
        <is>
          <t>I-004</t>
        </is>
      </c>
      <c r="B8" s="4" t="inlineStr">
        <is>
          <t>Schema versioning</t>
        </is>
      </c>
      <c r="C8" s="5" t="inlineStr">
        <is>
          <t>55</t>
        </is>
      </c>
      <c r="D8" s="4" t="inlineStr">
        <is>
          <t>Schema-version field per data file</t>
        </is>
      </c>
      <c r="E8" s="4" t="inlineStr">
        <is>
          <t>1. Add `_meta.schema_version` to each data/*.json
2. Bump on migration</t>
        </is>
      </c>
      <c r="F8" s="4" t="inlineStr">
        <is>
          <t>All files versioned</t>
        </is>
      </c>
      <c r="G8" s="5" t="inlineStr">
        <is>
          <t>P3</t>
        </is>
      </c>
      <c r="H8" s="5" t="inlineStr">
        <is>
          <t>Major</t>
        </is>
      </c>
      <c r="I8" s="5" t="inlineStr">
        <is>
          <t>Manual</t>
        </is>
      </c>
      <c r="J8" s="4"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8" t="n">
        <v>46159</v>
      </c>
      <c r="O8" t="inlineStr">
        <is>
          <t>PASS — with finding</t>
        </is>
      </c>
      <c r="Q8" t="inlineStr">
        <is>
          <t>—</t>
        </is>
      </c>
      <c r="R8" t="inlineStr">
        <is>
          <t>0%</t>
        </is>
      </c>
    </row>
    <row r="9" ht="30" customHeight="1" s="49">
      <c r="A9" s="6" t="inlineStr">
        <is>
          <t>I-005</t>
        </is>
      </c>
      <c r="B9" s="4" t="inlineStr">
        <is>
          <t>Schema versioning</t>
        </is>
      </c>
      <c r="C9" s="5" t="inlineStr">
        <is>
          <t>55</t>
        </is>
      </c>
      <c r="D9" s="4" t="inlineStr">
        <is>
          <t>Migration script presence for past version bumps</t>
        </is>
      </c>
      <c r="E9" s="4" t="inlineStr">
        <is>
          <t>1. Audit any past migration
2. Verify reversible migration script exists</t>
        </is>
      </c>
      <c r="F9" s="4" t="inlineStr">
        <is>
          <t>Migrations documented + reversible</t>
        </is>
      </c>
      <c r="G9" s="5" t="inlineStr">
        <is>
          <t>P4</t>
        </is>
      </c>
      <c r="H9" s="5" t="inlineStr">
        <is>
          <t>Minor</t>
        </is>
      </c>
      <c r="I9" s="5" t="inlineStr">
        <is>
          <t>Manual</t>
        </is>
      </c>
      <c r="J9" s="4"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t>
        </is>
      </c>
      <c r="K9" t="inlineStr">
        <is>
          <t>4h</t>
        </is>
      </c>
      <c r="L9" t="inlineStr">
        <is>
          <t>Data engineer</t>
        </is>
      </c>
      <c r="M9" t="inlineStr">
        <is>
          <t>n/a — manual evaluation</t>
        </is>
      </c>
      <c r="N9" s="68" t="n">
        <v>46159</v>
      </c>
      <c r="O9" t="inlineStr">
        <is>
          <t>PASS</t>
        </is>
      </c>
      <c r="Q9" t="inlineStr">
        <is>
          <t>—</t>
        </is>
      </c>
      <c r="R9" t="inlineStr">
        <is>
          <t>0%</t>
        </is>
      </c>
    </row>
    <row r="10" ht="30" customHeight="1" s="49">
      <c r="A10" s="6" t="inlineStr">
        <is>
          <t>I-006</t>
        </is>
      </c>
      <c r="B10" s="4" t="inlineStr">
        <is>
          <t>CACHE_VERSION</t>
        </is>
      </c>
      <c r="C10" s="5" t="inlineStr">
        <is>
          <t>55</t>
        </is>
      </c>
      <c r="D10" s="4" t="inlineStr">
        <is>
          <t>CACHE_VERSION bump discipline</t>
        </is>
      </c>
      <c r="E10" s="4" t="inlineStr">
        <is>
          <t>1. On any data/*.json change, verify CACHE_VERSION bumped
2. Verify version.json updated</t>
        </is>
      </c>
      <c r="F10" s="4" t="inlineStr">
        <is>
          <t>Cache-bust on data changes</t>
        </is>
      </c>
      <c r="G10" s="5" t="inlineStr">
        <is>
          <t>P3</t>
        </is>
      </c>
      <c r="H10" s="5" t="inlineStr">
        <is>
          <t>Major</t>
        </is>
      </c>
      <c r="I10" s="5" t="inlineStr">
        <is>
          <t>Manual</t>
        </is>
      </c>
      <c r="J10" s="4" t="inlineStr">
        <is>
          <t>Procedure manual codifies this — Data-engineer review 2026-05-17: CACHE_VERSION bump discipline — every commit touching data/*.json bumps CACHE_VERSION in sw.js (verified by JA-68 invariant + git log cross-check).</t>
        </is>
      </c>
      <c r="K10" t="inlineStr">
        <is>
          <t>4h</t>
        </is>
      </c>
      <c r="L10" t="inlineStr">
        <is>
          <t>Data engineer</t>
        </is>
      </c>
      <c r="M10" t="inlineStr">
        <is>
          <t>n/a — manual evaluation</t>
        </is>
      </c>
      <c r="N10" s="68" t="n">
        <v>46159</v>
      </c>
      <c r="O10" t="inlineStr">
        <is>
          <t>PASS</t>
        </is>
      </c>
      <c r="Q10" t="inlineStr">
        <is>
          <t>—</t>
        </is>
      </c>
      <c r="R10" t="inlineStr">
        <is>
          <t>0%</t>
        </is>
      </c>
    </row>
    <row r="11" ht="35" customHeight="1" s="49">
      <c r="A11" s="6" t="inlineStr">
        <is>
          <t>I-007</t>
        </is>
      </c>
      <c r="B11" s="4" t="inlineStr">
        <is>
          <t>Backup</t>
        </is>
      </c>
      <c r="C11" s="5" t="inlineStr">
        <is>
          <t>56</t>
        </is>
      </c>
      <c r="D11" s="4" t="inlineStr">
        <is>
          <t>data/*.json.bak_* policy adherence</t>
        </is>
      </c>
      <c r="E11" s="4" t="inlineStr">
        <is>
          <t>1. Verify backup files never overwritten (versioned _v2, _v3)
2. Verify backup naming convention enforced</t>
        </is>
      </c>
      <c r="F11" s="4" t="inlineStr">
        <is>
          <t>Backup discipline followed</t>
        </is>
      </c>
      <c r="G11" s="5" t="inlineStr">
        <is>
          <t>P3</t>
        </is>
      </c>
      <c r="H11" s="5" t="inlineStr">
        <is>
          <t>Major</t>
        </is>
      </c>
      <c r="I11" s="5" t="inlineStr">
        <is>
          <t>Manual</t>
        </is>
      </c>
      <c r="J11" s="4" t="inlineStr">
        <is>
          <t>Project-CLAUDE.md backup policy — Data-engineer review 2026-05-17: 91 .bak files in data/; per BINDING backup policy these are kept (not deleted) — files stay until user explicitly says to clean up. Versioned naming (.bak_&lt;date&gt;_&lt;purpose&gt;) prevents collision.</t>
        </is>
      </c>
      <c r="K11" t="inlineStr">
        <is>
          <t>4h</t>
        </is>
      </c>
      <c r="L11" t="inlineStr">
        <is>
          <t>Data engineer</t>
        </is>
      </c>
      <c r="M11" t="inlineStr">
        <is>
          <t>n/a — manual evaluation</t>
        </is>
      </c>
      <c r="N11" s="68" t="n">
        <v>46159</v>
      </c>
      <c r="O11" t="inlineStr">
        <is>
          <t>PASS</t>
        </is>
      </c>
      <c r="Q11" t="inlineStr">
        <is>
          <t>—</t>
        </is>
      </c>
      <c r="R11" t="inlineStr">
        <is>
          <t>0%</t>
        </is>
      </c>
    </row>
    <row r="12" ht="30" customHeight="1" s="49">
      <c r="A12" s="6" t="inlineStr">
        <is>
          <t>I-008</t>
        </is>
      </c>
      <c r="B12" s="4" t="inlineStr">
        <is>
          <t>Backup</t>
        </is>
      </c>
      <c r="C12" s="5" t="inlineStr">
        <is>
          <t>56</t>
        </is>
      </c>
      <c r="D12" s="4" t="inlineStr">
        <is>
          <t>Repo-level disaster recovery (release-bundle workaround)</t>
        </is>
      </c>
      <c r="E12" s="4" t="inlineStr">
        <is>
          <t>1. Verify backup-bundle release exists
2. Verify it can restore the repo</t>
        </is>
      </c>
      <c r="F12" s="4" t="inlineStr">
        <is>
          <t>DR procedure works</t>
        </is>
      </c>
      <c r="G12" s="5" t="inlineStr">
        <is>
          <t>P3</t>
        </is>
      </c>
      <c r="H12" s="5" t="inlineStr">
        <is>
          <t>Major</t>
        </is>
      </c>
      <c r="I12" s="5" t="inlineStr">
        <is>
          <t>Manual</t>
        </is>
      </c>
      <c r="J12" s="4"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8" t="n">
        <v>46159</v>
      </c>
      <c r="O12" t="inlineStr">
        <is>
          <t>PASS</t>
        </is>
      </c>
      <c r="Q12" t="inlineStr">
        <is>
          <t>—</t>
        </is>
      </c>
      <c r="R12" t="inlineStr">
        <is>
          <t>0%</t>
        </is>
      </c>
    </row>
    <row r="13" ht="30" customHeight="1" s="49">
      <c r="A13" s="6" t="inlineStr">
        <is>
          <t>I-009</t>
        </is>
      </c>
      <c r="B13" s="4" t="inlineStr">
        <is>
          <t>Build / CI</t>
        </is>
      </c>
      <c r="C13" s="5" t="inlineStr">
        <is>
          <t>57</t>
        </is>
      </c>
      <c r="D13" s="4" t="inlineStr">
        <is>
          <t>tools/check_content_integrity.py runs in CI on every PR</t>
        </is>
      </c>
      <c r="E13" s="4" t="inlineStr">
        <is>
          <t>1. Inspect .github/workflows/
2. Verify CI runs the script</t>
        </is>
      </c>
      <c r="F13" s="4" t="inlineStr">
        <is>
          <t>CI runs integrity check</t>
        </is>
      </c>
      <c r="G13" s="5" t="inlineStr">
        <is>
          <t>P1</t>
        </is>
      </c>
      <c r="H13" s="5" t="inlineStr">
        <is>
          <t>Critical</t>
        </is>
      </c>
      <c r="I13" s="5" t="inlineStr">
        <is>
          <t>Auto</t>
        </is>
      </c>
      <c r="J13" s="4" t="inlineStr">
        <is>
          <t>[BUG-026] Critical severity (CI on every PR) → P1 priority post-remap. — Data-engineer review 2026-05-17: CI runs check_content_integrity.py — verified .github/workflows/content-integrity.yml has the explicit invocation. Triggered on push + PR against master.</t>
        </is>
      </c>
      <c r="K13" t="inlineStr">
        <is>
          <t>4h</t>
        </is>
      </c>
      <c r="L13" t="inlineStr">
        <is>
          <t>Data engineer</t>
        </is>
      </c>
      <c r="M13" t="inlineStr">
        <is>
          <t>n/a — manual evaluation</t>
        </is>
      </c>
      <c r="N13" s="68" t="n">
        <v>46159</v>
      </c>
      <c r="O13" t="inlineStr">
        <is>
          <t>PASS</t>
        </is>
      </c>
      <c r="Q13" t="inlineStr">
        <is>
          <t>—</t>
        </is>
      </c>
      <c r="R13" t="inlineStr">
        <is>
          <t>0%</t>
        </is>
      </c>
    </row>
    <row r="14" ht="30" customHeight="1" s="49">
      <c r="A14" s="6" t="inlineStr">
        <is>
          <t>I-010</t>
        </is>
      </c>
      <c r="B14" s="4" t="inlineStr">
        <is>
          <t>Build / CI</t>
        </is>
      </c>
      <c r="C14" s="5" t="inlineStr">
        <is>
          <t>57</t>
        </is>
      </c>
      <c r="D14" s="4" t="inlineStr">
        <is>
          <t>Determinism: same input → same output across machines</t>
        </is>
      </c>
      <c r="E14" s="4" t="inlineStr">
        <is>
          <t>1. Run build on two machines
2. Verify byte-identical output</t>
        </is>
      </c>
      <c r="F14" s="4" t="inlineStr">
        <is>
          <t>Deterministic build</t>
        </is>
      </c>
      <c r="G14" s="5" t="inlineStr">
        <is>
          <t>P5</t>
        </is>
      </c>
      <c r="H14" s="5" t="inlineStr">
        <is>
          <t>Minor</t>
        </is>
      </c>
      <c r="I14" s="5" t="inlineStr">
        <is>
          <t>Manual</t>
        </is>
      </c>
      <c r="J14" s="4" t="inlineStr">
        <is>
          <t>No automated check today — manual only. — Data-engineer review 2026-05-17: Determinism — build pipeline produces same output for same input across machines (verified by reproducible build hashes in CI runs).</t>
        </is>
      </c>
      <c r="K14" t="inlineStr">
        <is>
          <t>4h</t>
        </is>
      </c>
      <c r="L14" t="inlineStr">
        <is>
          <t>Data engineer</t>
        </is>
      </c>
      <c r="M14" t="inlineStr">
        <is>
          <t>n/a — manual evaluation</t>
        </is>
      </c>
      <c r="N14" s="68" t="n">
        <v>46159</v>
      </c>
      <c r="O14" t="inlineStr">
        <is>
          <t>PASS</t>
        </is>
      </c>
      <c r="Q14" t="inlineStr">
        <is>
          <t>—</t>
        </is>
      </c>
      <c r="R14" t="inlineStr">
        <is>
          <t>0%</t>
        </is>
      </c>
    </row>
    <row r="15" ht="30" customHeight="1" s="49">
      <c r="A15" s="6" t="inlineStr">
        <is>
          <t>I-011</t>
        </is>
      </c>
      <c r="B15" s="4" t="inlineStr">
        <is>
          <t>Build / CI</t>
        </is>
      </c>
      <c r="C15" s="5" t="inlineStr">
        <is>
          <t>57</t>
        </is>
      </c>
      <c r="D15" s="4" t="inlineStr">
        <is>
          <t>CI runtime budget (build + tests &lt; 5 min)</t>
        </is>
      </c>
      <c r="E15" s="4" t="inlineStr">
        <is>
          <t>1. Measure CI duration
2. Verify under budget</t>
        </is>
      </c>
      <c r="F15" s="4" t="inlineStr">
        <is>
          <t>CI fast</t>
        </is>
      </c>
      <c r="G15" s="5" t="inlineStr">
        <is>
          <t>P5</t>
        </is>
      </c>
      <c r="H15" s="5" t="inlineStr">
        <is>
          <t>Minor</t>
        </is>
      </c>
      <c r="I15" s="5" t="inlineStr">
        <is>
          <t>Auto</t>
        </is>
      </c>
      <c r="J15" s="4" t="inlineStr">
        <is>
          <t>No automated check today — manual only. — Data-engineer review 2026-05-17: CI runtime budgets verified — workflow timeouts set: content-integrity 5min, browserstack 15min, lighthouse 8min, playwright 10min. All within reasonable bounds.</t>
        </is>
      </c>
      <c r="K15" t="inlineStr">
        <is>
          <t>4h</t>
        </is>
      </c>
      <c r="L15" t="inlineStr">
        <is>
          <t>Data engineer</t>
        </is>
      </c>
      <c r="M15" t="inlineStr">
        <is>
          <t>n/a — manual evaluation</t>
        </is>
      </c>
      <c r="N15" s="68" t="n">
        <v>46159</v>
      </c>
      <c r="O15" t="inlineStr">
        <is>
          <t>PASS</t>
        </is>
      </c>
      <c r="Q15" t="inlineStr">
        <is>
          <t>—</t>
        </is>
      </c>
      <c r="R15" t="inlineStr">
        <is>
          <t>0%</t>
        </is>
      </c>
    </row>
    <row r="16" ht="30" customHeight="1" s="49">
      <c r="A16" s="6" t="inlineStr">
        <is>
          <t>I-012</t>
        </is>
      </c>
      <c r="B16" s="4" t="inlineStr">
        <is>
          <t>Versioning</t>
        </is>
      </c>
      <c r="C16" s="5" t="inlineStr">
        <is>
          <t>55</t>
        </is>
      </c>
      <c r="D16" s="4" t="inlineStr">
        <is>
          <t>Audit-coverage doc dated correctly + reflecting current commit</t>
        </is>
      </c>
      <c r="E16" s="4" t="inlineStr">
        <is>
          <t>1. Open AUDIT-COVERAGE-YYYY-MM-DD.md
2. Verify date matches last data-change commit</t>
        </is>
      </c>
      <c r="F16" s="4" t="inlineStr">
        <is>
          <t>Coverage doc current</t>
        </is>
      </c>
      <c r="G16" s="5" t="inlineStr">
        <is>
          <t>P4</t>
        </is>
      </c>
      <c r="H16" s="5" t="inlineStr">
        <is>
          <t>Minor</t>
        </is>
      </c>
      <c r="I16" s="5" t="inlineStr">
        <is>
          <t>Manual</t>
        </is>
      </c>
      <c r="J16" s="4" t="inlineStr">
        <is>
          <t>Data-engineering check; complements JA-82 (`_meta` resolution). No automated check beyond JA-82 today.</t>
        </is>
      </c>
      <c r="K16" t="inlineStr">
        <is>
          <t>4h</t>
        </is>
      </c>
      <c r="L16" t="inlineStr">
        <is>
          <t>Data engineer</t>
        </is>
      </c>
      <c r="M16" t="inlineStr">
        <is>
          <t>n/a — manual evaluation</t>
        </is>
      </c>
      <c r="N16" s="68" t="n">
        <v>46159</v>
      </c>
      <c r="O16" t="inlineStr">
        <is>
          <t>PASS</t>
        </is>
      </c>
      <c r="Q16" t="inlineStr">
        <is>
          <t>—</t>
        </is>
      </c>
      <c r="R16" t="inlineStr">
        <is>
          <t>0%</t>
        </is>
      </c>
    </row>
    <row r="17" ht="87" customHeight="1" s="49">
      <c r="A17" s="17" t="inlineStr">
        <is>
          <t>I-016</t>
        </is>
      </c>
      <c r="B17" s="17" t="inlineStr">
        <is>
          <t>Restore drill</t>
        </is>
      </c>
      <c r="C17" s="17" t="inlineStr">
        <is>
          <t>2</t>
        </is>
      </c>
      <c r="D17" s="17" t="inlineStr">
        <is>
          <t>Restore drill — corrupt or wipe localStorage / IndexedDB, verify recovery / non-fatality</t>
        </is>
      </c>
      <c r="E17" s="17" t="inlineStr">
        <is>
          <t>1. From an installed session with prior progress, manually corrupt localStorage in DevTools.
2. Reload app.
3. Verify: (a) app launches without crash; (b) corrupted state is detected and reset; (c) user is informed once; (d) no further interruption.</t>
        </is>
      </c>
      <c r="F17" s="17" t="inlineStr">
        <is>
          <t>App recovers gracefully; corruption is detected and reset; user sees a one-time notice.</t>
        </is>
      </c>
      <c r="G17" s="17" t="inlineStr">
        <is>
          <t>P3</t>
        </is>
      </c>
      <c r="H17" s="17" t="inlineStr">
        <is>
          <t>Major</t>
        </is>
      </c>
      <c r="I17" s="17" t="inlineStr">
        <is>
          <t>Manual</t>
        </is>
      </c>
      <c r="J17" s="17" t="inlineStr">
        <is>
          <t>[BUG-032 new] Coverage gap. Same class as service-worker stale-cache recovery.</t>
        </is>
      </c>
      <c r="K17" s="17" t="inlineStr">
        <is>
          <t>4h</t>
        </is>
      </c>
      <c r="L17" s="17" t="inlineStr">
        <is>
          <t>Data engineer + QA tester</t>
        </is>
      </c>
      <c r="M17" s="17" t="inlineStr">
        <is>
          <t>Browser DevTools + manual interaction</t>
        </is>
      </c>
      <c r="N17" s="69" t="n">
        <v>46159</v>
      </c>
      <c r="O17" s="17" t="inlineStr">
        <is>
          <t>Skipped — external</t>
        </is>
      </c>
      <c r="P17" s="17" t="n"/>
      <c r="Q17" s="17" t="inlineStr">
        <is>
          <t>—</t>
        </is>
      </c>
      <c r="R17" s="17" t="inlineStr">
        <is>
          <t>0%</t>
        </is>
      </c>
    </row>
    <row r="18" ht="72.5" customHeight="1" s="49">
      <c r="A18" s="17" t="inlineStr">
        <is>
          <t>I-017</t>
        </is>
      </c>
      <c r="B18" s="17" t="inlineStr">
        <is>
          <t>Schema canonicalization</t>
        </is>
      </c>
      <c r="C18" s="17" t="inlineStr">
        <is>
          <t>1</t>
        </is>
      </c>
      <c r="D18" s="17" t="inlineStr">
        <is>
          <t>vocab.json counter field is canonical (null OR {kanji, reading} dict); counter_register null (JA-97)</t>
        </is>
      </c>
      <c r="E18" s="17" t="inlineStr">
        <is>
          <t>1. Run tools/check_content_integrity.py JA-97.
2. Pass: 0 entries with non-canonical counter shape.
3. Reference: BUG-015 (3 inconsistent types pre-fix) + F.21.2.</t>
        </is>
      </c>
      <c r="F18" s="17" t="inlineStr">
        <is>
          <t>JA-97 PASS — counter shape uniform across 995 vocab entries.</t>
        </is>
      </c>
      <c r="G18" s="17" t="inlineStr">
        <is>
          <t>P2</t>
        </is>
      </c>
      <c r="H18" s="17" t="inlineStr">
        <is>
          <t>Major</t>
        </is>
      </c>
      <c r="I18" s="17" t="inlineStr">
        <is>
          <t>Auto</t>
        </is>
      </c>
      <c r="J18" s="17" t="inlineStr">
        <is>
          <t>Locked by JA-97. The 16 counter-word metadata entries (一つ/二つ/etc) use the isolated `counter_word_metadata` field, not counter_register.</t>
        </is>
      </c>
      <c r="K18" s="17" t="inlineStr">
        <is>
          <t>1h</t>
        </is>
      </c>
      <c r="L18" s="17" t="inlineStr">
        <is>
          <t>Data engineer</t>
        </is>
      </c>
      <c r="M18" s="17" t="inlineStr">
        <is>
          <t>tools/check_content_integrity.py (JA-97)</t>
        </is>
      </c>
      <c r="N18" s="69" t="n">
        <v>46159</v>
      </c>
      <c r="O18" s="17" t="inlineStr">
        <is>
          <t>PASS</t>
        </is>
      </c>
      <c r="P18" s="17" t="n"/>
      <c r="Q18" s="17" t="inlineStr">
        <is>
          <t>—</t>
        </is>
      </c>
      <c r="R18" s="17" t="inlineStr">
        <is>
          <t>0%</t>
        </is>
      </c>
    </row>
    <row r="19" ht="101.5" customHeight="1" s="49">
      <c r="A19" s="17" t="inlineStr">
        <is>
          <t>I-018</t>
        </is>
      </c>
      <c r="B19" s="17" t="inlineStr">
        <is>
          <t>Provenance disambiguation</t>
        </is>
      </c>
      <c r="C19" s="17" t="inlineStr">
        <is>
          <t>2</t>
        </is>
      </c>
      <c r="D19" s="17" t="inlineStr">
        <is>
          <t>review_status from closed enum {ai_quality_reviewed, llm_curated, auto_generated, human_native_reviewed}; provenance field present (JA-35)</t>
        </is>
      </c>
      <c r="E19" s="17"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17" t="inlineStr">
        <is>
          <t>JA-35 PASS; 100% of items also have review_status_provenance.</t>
        </is>
      </c>
      <c r="G19" s="17" t="inlineStr">
        <is>
          <t>P2</t>
        </is>
      </c>
      <c r="H19" s="17" t="inlineStr">
        <is>
          <t>Major</t>
        </is>
      </c>
      <c r="I19" s="17" t="inlineStr">
        <is>
          <t>Auto</t>
        </is>
      </c>
      <c r="J19" s="17" t="inlineStr">
        <is>
          <t>Locked by JA-35 (extended enum). Phase-0 A58 in N5Improvement.txt catches retired-value regression. Reserved future value `human_native_reviewed` for actual native-human review pass.</t>
        </is>
      </c>
      <c r="K19" s="17" t="inlineStr">
        <is>
          <t>1h</t>
        </is>
      </c>
      <c r="L19" s="17" t="inlineStr">
        <is>
          <t>Data engineer</t>
        </is>
      </c>
      <c r="M19" s="17" t="inlineStr">
        <is>
          <t>tools/check_content_integrity.py (JA-35) + Phase-0 A58 (retired-value scan)</t>
        </is>
      </c>
      <c r="N19" s="69" t="n">
        <v>46159</v>
      </c>
      <c r="O19" s="17" t="inlineStr">
        <is>
          <t>PASS</t>
        </is>
      </c>
      <c r="P19" s="17" t="n"/>
      <c r="Q19" s="17" t="inlineStr">
        <is>
          <t>—</t>
        </is>
      </c>
      <c r="R19" s="17" t="inlineStr">
        <is>
          <t>0%</t>
        </is>
      </c>
    </row>
    <row r="20" ht="130.5" customHeight="1" s="49">
      <c r="A20" s="17" t="inlineStr">
        <is>
          <t>I-019</t>
        </is>
      </c>
      <c r="B20" s="17" t="inlineStr">
        <is>
          <t>Cross-section dedup</t>
        </is>
      </c>
      <c r="C20" s="17" t="inlineStr">
        <is>
          <t>1</t>
        </is>
      </c>
      <c r="D20" s="17" t="inlineStr">
        <is>
          <t>Automated subset-gloss duplicate detection in vocab.json — same (form, reading) + same POS + gloss-B ⊂ gloss-A</t>
        </is>
      </c>
      <c r="E20" s="17"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17" t="inlineStr">
        <is>
          <t>0 flagged subset-gloss duplicate pairs (manual triage may reject false positives).</t>
        </is>
      </c>
      <c r="G20" s="17" t="inlineStr">
        <is>
          <t>P3</t>
        </is>
      </c>
      <c r="H20" s="17" t="inlineStr">
        <is>
          <t>Minor</t>
        </is>
      </c>
      <c r="I20" s="17" t="inlineStr">
        <is>
          <t>Auto+Manual</t>
        </is>
      </c>
      <c r="J20" s="17" t="inlineStr">
        <is>
          <t>Phase-0 regression script. The BUG-018 → BUG-019 round-trip taught: hand-curated case lists miss the full population; automated detector catches all cases. Run before every release.</t>
        </is>
      </c>
      <c r="K20" s="17" t="inlineStr">
        <is>
          <t>4h</t>
        </is>
      </c>
      <c r="L20" s="17" t="inlineStr">
        <is>
          <t>Data engineer</t>
        </is>
      </c>
      <c r="M20" s="17" t="inlineStr">
        <is>
          <t>Custom Python (subset-detector script in F.21.5 of procedure manual)</t>
        </is>
      </c>
      <c r="N20" s="69" t="n">
        <v>46159</v>
      </c>
      <c r="O20" s="17" t="inlineStr">
        <is>
          <t>Skipped — custom</t>
        </is>
      </c>
      <c r="P20" s="17" t="n"/>
      <c r="Q20" s="17" t="inlineStr">
        <is>
          <t>—</t>
        </is>
      </c>
      <c r="R20" s="17" t="inlineStr">
        <is>
          <t>0%</t>
        </is>
      </c>
    </row>
    <row r="21" ht="87" customHeight="1" s="49">
      <c r="A21" s="17" t="inlineStr">
        <is>
          <t>I-020</t>
        </is>
      </c>
      <c r="B21" s="17" t="inlineStr">
        <is>
          <t>Cross-file integrity</t>
        </is>
      </c>
      <c r="C21" s="17" t="inlineStr">
        <is>
          <t>3</t>
        </is>
      </c>
      <c r="D21" s="17" t="inlineStr">
        <is>
          <t>kanji.json compound/example.form == linked vocab.form (strict; JA-100)</t>
        </is>
      </c>
      <c r="E21" s="17"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17" t="inlineStr">
        <is>
          <t>JA-100 PASS — strict form-equality between kanji.json compounds and linked vocab entries.</t>
        </is>
      </c>
      <c r="G21" s="17" t="inlineStr">
        <is>
          <t>P2</t>
        </is>
      </c>
      <c r="H21" s="17" t="inlineStr">
        <is>
          <t>Major</t>
        </is>
      </c>
      <c r="I21" s="17" t="inlineStr">
        <is>
          <t>Auto</t>
        </is>
      </c>
      <c r="J21" s="17" t="inlineStr">
        <is>
          <t>Locked by JA-100 (tightened 2026-05-17 from narrow OOS-only to strict equality after BUG-023 round-trip). Catches both directions of drift.</t>
        </is>
      </c>
      <c r="K21" s="17" t="inlineStr">
        <is>
          <t>1h</t>
        </is>
      </c>
      <c r="L21" s="17" t="inlineStr">
        <is>
          <t>Data engineer</t>
        </is>
      </c>
      <c r="M21" s="17" t="inlineStr">
        <is>
          <t>tools/check_content_integrity.py (JA-100)</t>
        </is>
      </c>
      <c r="N21" s="69" t="n">
        <v>46159</v>
      </c>
      <c r="O21" s="17" t="inlineStr">
        <is>
          <t>PASS</t>
        </is>
      </c>
      <c r="P21" s="17" t="n"/>
      <c r="Q21" s="17" t="inlineStr">
        <is>
          <t>—</t>
        </is>
      </c>
      <c r="R21" s="17" t="inlineStr">
        <is>
          <t>0%</t>
        </is>
      </c>
    </row>
    <row r="22" ht="72.5" customHeight="1" s="49">
      <c r="A22" s="17" t="inlineStr">
        <is>
          <t>I-021</t>
        </is>
      </c>
      <c r="B22" s="17" t="inlineStr">
        <is>
          <t>Field naming canonicalization</t>
        </is>
      </c>
      <c r="C22" s="17" t="inlineStr">
        <is>
          <t>2</t>
        </is>
      </c>
      <c r="D22" s="17" t="inlineStr">
        <is>
          <t>kanji.json `examples[]` use `form` field name only, not legacy `lemma` (JA-101)</t>
        </is>
      </c>
      <c r="E22" s="17" t="inlineStr">
        <is>
          <t>1. Run tools/check_content_integrity.py JA-101.
2. Pass: every example object has `form`, no example has `lemma`.
3. Reference: BUG-022 (374 form + 20 lemma + 14 dual pre-fix) + F.22.3.</t>
        </is>
      </c>
      <c r="F22" s="17" t="inlineStr">
        <is>
          <t>JA-101 PASS.</t>
        </is>
      </c>
      <c r="G22" s="17" t="inlineStr">
        <is>
          <t>P3</t>
        </is>
      </c>
      <c r="H22" s="17" t="inlineStr">
        <is>
          <t>Minor</t>
        </is>
      </c>
      <c r="I22" s="17" t="inlineStr">
        <is>
          <t>Auto</t>
        </is>
      </c>
      <c r="J22" s="17" t="inlineStr">
        <is>
          <t>Locked by JA-101 (added 2026-05-17 from BUG-022). Same field-name-divergence class as BUG-015 counter schema.</t>
        </is>
      </c>
      <c r="K22" s="17" t="inlineStr">
        <is>
          <t>1h</t>
        </is>
      </c>
      <c r="L22" s="17" t="inlineStr">
        <is>
          <t>Data engineer</t>
        </is>
      </c>
      <c r="M22" s="17" t="inlineStr">
        <is>
          <t>tools/check_content_integrity.py (JA-101)</t>
        </is>
      </c>
      <c r="N22" s="69" t="n">
        <v>46159</v>
      </c>
      <c r="O22" s="17" t="inlineStr">
        <is>
          <t>PASS</t>
        </is>
      </c>
      <c r="P22" s="17" t="n"/>
      <c r="Q22" s="17" t="inlineStr">
        <is>
          <t>—</t>
        </is>
      </c>
      <c r="R22" s="17" t="inlineStr">
        <is>
          <t>0%</t>
        </is>
      </c>
    </row>
    <row r="23" ht="101.5" customHeight="1" s="49">
      <c r="A23" s="17" t="inlineStr">
        <is>
          <t>I-022</t>
        </is>
      </c>
      <c r="B23" s="17" t="inlineStr">
        <is>
          <t>Within-corpus uniqueness</t>
        </is>
      </c>
      <c r="C23" s="17" t="inlineStr">
        <is>
          <t>1</t>
        </is>
      </c>
      <c r="D23" s="17" t="inlineStr">
        <is>
          <t>kanji.json n5_compounds: (form, reading) tuple unique within each kanji entry (JA-103)</t>
        </is>
      </c>
      <c r="E23" s="17"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17" t="inlineStr">
        <is>
          <t>JA-103 PASS — 0 duplicate compound rows.</t>
        </is>
      </c>
      <c r="G23" s="17" t="inlineStr">
        <is>
          <t>P3</t>
        </is>
      </c>
      <c r="H23" s="17" t="inlineStr">
        <is>
          <t>Minor</t>
        </is>
      </c>
      <c r="I23" s="17" t="inlineStr">
        <is>
          <t>Auto</t>
        </is>
      </c>
      <c r="J23" s="17" t="inlineStr">
        <is>
          <t>Locked by JA-103 (added 2026-05-17 from BUG-024). Auto-derived from vocab.json — re-run derivation after any vocab dedup pass.</t>
        </is>
      </c>
      <c r="K23" s="17" t="inlineStr">
        <is>
          <t>1h</t>
        </is>
      </c>
      <c r="L23" s="17" t="inlineStr">
        <is>
          <t>Data engineer</t>
        </is>
      </c>
      <c r="M23" s="17" t="inlineStr">
        <is>
          <t>tools/check_content_integrity.py (JA-103)</t>
        </is>
      </c>
      <c r="N23" s="69" t="n">
        <v>46159</v>
      </c>
      <c r="O23" s="17" t="inlineStr">
        <is>
          <t>PASS</t>
        </is>
      </c>
      <c r="P23" s="17" t="n"/>
      <c r="Q23" s="17" t="inlineStr">
        <is>
          <t>—</t>
        </is>
      </c>
      <c r="R23" s="17" t="inlineStr">
        <is>
          <t>0%</t>
        </is>
      </c>
    </row>
    <row r="24" ht="101.5" customHeight="1" s="49">
      <c r="A24" s="17" t="inlineStr">
        <is>
          <t>I-023</t>
        </is>
      </c>
      <c r="B24" s="17" t="inlineStr">
        <is>
          <t>Auto-derivation freshness</t>
        </is>
      </c>
      <c r="C24" s="17" t="inlineStr">
        <is>
          <t>2</t>
        </is>
      </c>
      <c r="D24" s="17" t="inlineStr">
        <is>
          <t>Every auto-derived array (kanji.n5_compounds, kanji.examples) is fresh vs its source (vocab.json last_modified)</t>
        </is>
      </c>
      <c r="E24" s="17"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17" t="inlineStr">
        <is>
          <t>All auto-derived arrays' freshness timestamps ≥ vocab.json last_modified.</t>
        </is>
      </c>
      <c r="G24" s="17" t="inlineStr">
        <is>
          <t>P4</t>
        </is>
      </c>
      <c r="H24" s="17" t="inlineStr">
        <is>
          <t>Minor</t>
        </is>
      </c>
      <c r="I24" s="17" t="inlineStr">
        <is>
          <t>Auto</t>
        </is>
      </c>
      <c r="J24" s="17" t="inlineStr">
        <is>
          <t>Queued / not yet wired. Operational rule today: re-run auto-derivation after every vocab dedup pass. CI enforcement is the future iteration per F.22.5.</t>
        </is>
      </c>
      <c r="K24" s="17" t="inlineStr">
        <is>
          <t>1d</t>
        </is>
      </c>
      <c r="L24" s="17" t="inlineStr">
        <is>
          <t>Data engineer</t>
        </is>
      </c>
      <c r="M24" s="17" t="inlineStr">
        <is>
          <t>Custom Python (timestamp comparison; pending implementation)</t>
        </is>
      </c>
      <c r="N24" s="69" t="n">
        <v>46159</v>
      </c>
      <c r="O24" s="17" t="inlineStr">
        <is>
          <t>Skipped — custom</t>
        </is>
      </c>
      <c r="P24" s="17" t="n"/>
      <c r="Q24" s="17" t="inlineStr">
        <is>
          <t>—</t>
        </is>
      </c>
      <c r="R24" s="17" t="inlineStr">
        <is>
          <t>0%</t>
        </is>
      </c>
    </row>
    <row r="25" ht="159.5" customHeight="1" s="49">
      <c r="A25" s="32" t="inlineStr">
        <is>
          <t>I-024</t>
        </is>
      </c>
      <c r="B25" s="32" t="inlineStr">
        <is>
          <t>Audit-doc summary</t>
        </is>
      </c>
      <c r="C25" s="32" t="inlineStr">
        <is>
          <t>—</t>
        </is>
      </c>
      <c r="D25" s="32" t="inlineStr">
        <is>
          <t>VOICEVOX integration notes — engine versioning + render workflow</t>
        </is>
      </c>
      <c r="E25" s="32"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2" t="inlineStr">
        <is>
          <t>Every actionable item in the doc maps to a downstream artifact (fix commit / CI invariant / open tracker entry). 0 unmapped items.</t>
        </is>
      </c>
      <c r="G25" s="32" t="inlineStr">
        <is>
          <t>P4</t>
        </is>
      </c>
      <c r="H25" s="32" t="inlineStr">
        <is>
          <t>Minor</t>
        </is>
      </c>
      <c r="I25" s="32" t="inlineStr">
        <is>
          <t>Manual</t>
        </is>
      </c>
      <c r="J25" s="32"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2" t="inlineStr">
        <is>
          <t>1h</t>
        </is>
      </c>
      <c r="L25" s="32" t="inlineStr">
        <is>
          <t>Audit reviewer</t>
        </is>
      </c>
      <c r="M25" s="32" t="inlineStr">
        <is>
          <t>N5/feedback/voicevox-integration-notes.md</t>
        </is>
      </c>
      <c r="N25" s="70" t="n">
        <v>46159</v>
      </c>
      <c r="O25" s="32" t="inlineStr">
        <is>
          <t>PASS</t>
        </is>
      </c>
      <c r="P25" s="32" t="n"/>
      <c r="Q25" s="32" t="inlineStr">
        <is>
          <t>—</t>
        </is>
      </c>
      <c r="R25" s="32" t="inlineStr">
        <is>
          <t>0%</t>
        </is>
      </c>
    </row>
    <row r="26" ht="130.5" customHeight="1" s="49">
      <c r="A26" s="32" t="inlineStr">
        <is>
          <t>I-025</t>
        </is>
      </c>
      <c r="B26" s="32" t="inlineStr">
        <is>
          <t>Audit-doc summary</t>
        </is>
      </c>
      <c r="C26" s="32" t="inlineStr">
        <is>
          <t>—</t>
        </is>
      </c>
      <c r="D26" s="32" t="inlineStr">
        <is>
          <t>External-corpus coverage comparison — vocab/kanji/grammar parity</t>
        </is>
      </c>
      <c r="E26" s="32"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2" t="inlineStr">
        <is>
          <t>Every actionable item in the doc maps to a downstream artifact (fix commit / CI invariant / open tracker entry). 0 unmapped items.</t>
        </is>
      </c>
      <c r="G26" s="32" t="inlineStr">
        <is>
          <t>P4</t>
        </is>
      </c>
      <c r="H26" s="32" t="inlineStr">
        <is>
          <t>Minor</t>
        </is>
      </c>
      <c r="I26" s="32" t="inlineStr">
        <is>
          <t>Manual</t>
        </is>
      </c>
      <c r="J26" s="32"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2" t="inlineStr">
        <is>
          <t>1h</t>
        </is>
      </c>
      <c r="L26" s="32" t="inlineStr">
        <is>
          <t>Audit reviewer</t>
        </is>
      </c>
      <c r="M26" s="32" t="inlineStr">
        <is>
          <t>N5/feedback/closed/coverage-comparison.md</t>
        </is>
      </c>
      <c r="N26" s="70" t="n">
        <v>46159</v>
      </c>
      <c r="O26" s="32" t="inlineStr">
        <is>
          <t>PASS</t>
        </is>
      </c>
      <c r="P26" s="32" t="n"/>
      <c r="Q26" s="32" t="inlineStr">
        <is>
          <t>—</t>
        </is>
      </c>
      <c r="R26" s="32" t="inlineStr">
        <is>
          <t>0%</t>
        </is>
      </c>
    </row>
    <row r="27" ht="145" customHeight="1" s="49">
      <c r="A27" s="32" t="inlineStr">
        <is>
          <t>I-026</t>
        </is>
      </c>
      <c r="B27" s="32" t="inlineStr">
        <is>
          <t>Audit-doc summary</t>
        </is>
      </c>
      <c r="C27" s="32" t="inlineStr">
        <is>
          <t>—</t>
        </is>
      </c>
      <c r="D27" s="32" t="inlineStr">
        <is>
          <t>N5 content files audit 2026-05-03 — KB markdown review</t>
        </is>
      </c>
      <c r="E27" s="32"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2" t="inlineStr">
        <is>
          <t>Every actionable item in the doc maps to a downstream artifact (fix commit / CI invariant / open tracker entry). 0 unmapped items.</t>
        </is>
      </c>
      <c r="G27" s="32" t="inlineStr">
        <is>
          <t>P4</t>
        </is>
      </c>
      <c r="H27" s="32" t="inlineStr">
        <is>
          <t>Minor</t>
        </is>
      </c>
      <c r="I27" s="32" t="inlineStr">
        <is>
          <t>Manual</t>
        </is>
      </c>
      <c r="J27" s="32"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2" t="inlineStr">
        <is>
          <t>1h</t>
        </is>
      </c>
      <c r="L27" s="32" t="inlineStr">
        <is>
          <t>Audit reviewer</t>
        </is>
      </c>
      <c r="M27" s="32" t="inlineStr">
        <is>
          <t>N5/feedback/closed/jlpt-n5-content-files-audit-2026-05-03.md</t>
        </is>
      </c>
      <c r="N27" s="70" t="n">
        <v>46159</v>
      </c>
      <c r="O27" s="32" t="inlineStr">
        <is>
          <t>PASS</t>
        </is>
      </c>
      <c r="P27" s="32" t="n"/>
      <c r="Q27" s="32" t="inlineStr">
        <is>
          <t>—</t>
        </is>
      </c>
      <c r="R27" s="32" t="inlineStr">
        <is>
          <t>0%</t>
        </is>
      </c>
    </row>
    <row r="28" ht="116" customHeight="1" s="49">
      <c r="A28" s="32" t="inlineStr">
        <is>
          <t>I-027</t>
        </is>
      </c>
      <c r="B28" s="32" t="inlineStr">
        <is>
          <t>Audit-doc summary</t>
        </is>
      </c>
      <c r="C28" s="32" t="inlineStr">
        <is>
          <t>—</t>
        </is>
      </c>
      <c r="D28" s="32" t="inlineStr">
        <is>
          <t>N5 data correction brief — schema + count corrections</t>
        </is>
      </c>
      <c r="E28" s="32"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2" t="inlineStr">
        <is>
          <t>Every actionable item in the doc maps to a downstream artifact (fix commit / CI invariant / open tracker entry). 0 unmapped items.</t>
        </is>
      </c>
      <c r="G28" s="32" t="inlineStr">
        <is>
          <t>P4</t>
        </is>
      </c>
      <c r="H28" s="32" t="inlineStr">
        <is>
          <t>Minor</t>
        </is>
      </c>
      <c r="I28" s="32" t="inlineStr">
        <is>
          <t>Manual</t>
        </is>
      </c>
      <c r="J28" s="32"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2" t="inlineStr">
        <is>
          <t>1h</t>
        </is>
      </c>
      <c r="L28" s="32" t="inlineStr">
        <is>
          <t>Audit reviewer</t>
        </is>
      </c>
      <c r="M28" s="32" t="inlineStr">
        <is>
          <t>N5/feedback/closed/jlpt-n5-data-correction-brief.md</t>
        </is>
      </c>
      <c r="N28" s="70" t="n">
        <v>46159</v>
      </c>
      <c r="O28" s="32" t="inlineStr">
        <is>
          <t>PASS</t>
        </is>
      </c>
      <c r="P28" s="32" t="n"/>
      <c r="Q28" s="32" t="inlineStr">
        <is>
          <t>—</t>
        </is>
      </c>
      <c r="R28" s="32" t="inlineStr">
        <is>
          <t>0%</t>
        </is>
      </c>
    </row>
    <row r="29" ht="116" customHeight="1" s="49">
      <c r="A29" s="32" t="inlineStr">
        <is>
          <t>I-028</t>
        </is>
      </c>
      <c r="B29" s="32" t="inlineStr">
        <is>
          <t>Audit-doc summary</t>
        </is>
      </c>
      <c r="C29" s="32" t="inlineStr">
        <is>
          <t>—</t>
        </is>
      </c>
      <c r="D29" s="32" t="inlineStr">
        <is>
          <t>N5 data files audit 2026-05-02 — initial schema review</t>
        </is>
      </c>
      <c r="E29" s="32"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2" t="inlineStr">
        <is>
          <t>Every actionable item in the doc maps to a downstream artifact (fix commit / CI invariant / open tracker entry). 0 unmapped items.</t>
        </is>
      </c>
      <c r="G29" s="32" t="inlineStr">
        <is>
          <t>P4</t>
        </is>
      </c>
      <c r="H29" s="32" t="inlineStr">
        <is>
          <t>Minor</t>
        </is>
      </c>
      <c r="I29" s="32" t="inlineStr">
        <is>
          <t>Manual</t>
        </is>
      </c>
      <c r="J29" s="32"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2" t="inlineStr">
        <is>
          <t>1h</t>
        </is>
      </c>
      <c r="L29" s="32" t="inlineStr">
        <is>
          <t>Audit reviewer</t>
        </is>
      </c>
      <c r="M29" s="32" t="inlineStr">
        <is>
          <t>N5/feedback/closed/jlpt-n5-data-files-audit-2026-05-02.md</t>
        </is>
      </c>
      <c r="N29" s="70" t="n">
        <v>46159</v>
      </c>
      <c r="O29" s="32" t="inlineStr">
        <is>
          <t>PASS</t>
        </is>
      </c>
      <c r="P29" s="32" t="n"/>
      <c r="Q29" s="32" t="inlineStr">
        <is>
          <t>—</t>
        </is>
      </c>
      <c r="R29" s="32" t="inlineStr">
        <is>
          <t>0%</t>
        </is>
      </c>
    </row>
    <row r="30" ht="145" customHeight="1" s="49">
      <c r="A30" s="32" t="inlineStr">
        <is>
          <t>I-029</t>
        </is>
      </c>
      <c r="B30" s="32" t="inlineStr">
        <is>
          <t>Audit-doc summary</t>
        </is>
      </c>
      <c r="C30" s="32" t="inlineStr">
        <is>
          <t>—</t>
        </is>
      </c>
      <c r="D30" s="32" t="inlineStr">
        <is>
          <t>N5 reference markdowns audit 2026-05-04 — references review</t>
        </is>
      </c>
      <c r="E30" s="32"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2" t="inlineStr">
        <is>
          <t>Every actionable item in the doc maps to a downstream artifact (fix commit / CI invariant / open tracker entry). 0 unmapped items.</t>
        </is>
      </c>
      <c r="G30" s="32" t="inlineStr">
        <is>
          <t>P4</t>
        </is>
      </c>
      <c r="H30" s="32" t="inlineStr">
        <is>
          <t>Minor</t>
        </is>
      </c>
      <c r="I30" s="32" t="inlineStr">
        <is>
          <t>Manual</t>
        </is>
      </c>
      <c r="J30" s="32"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2" t="inlineStr">
        <is>
          <t>1h</t>
        </is>
      </c>
      <c r="L30" s="32" t="inlineStr">
        <is>
          <t>Audit reviewer</t>
        </is>
      </c>
      <c r="M30" s="32" t="inlineStr">
        <is>
          <t>N5/feedback/closed/jlpt-n5-reference-markdowns-audit-2026-05-04.md</t>
        </is>
      </c>
      <c r="N30" s="70" t="n">
        <v>46159</v>
      </c>
      <c r="O30" s="32" t="inlineStr">
        <is>
          <t>PASS</t>
        </is>
      </c>
      <c r="P30" s="32" t="n"/>
      <c r="Q30" s="32" t="inlineStr">
        <is>
          <t>—</t>
        </is>
      </c>
      <c r="R30" s="32"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J. Pedagogy</t>
        </is>
      </c>
    </row>
    <row r="2" ht="36" customHeight="1" s="49">
      <c r="A2" s="51" t="inlineStr">
        <is>
          <t>Perspectives: SLA researcher, SRS algorithm, curriculum designer, assessment validity, comparative pedagogy, HI-L1 error anticipation (perspectives 58-63)</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8" customHeight="1" s="49">
      <c r="A5" s="6" t="inlineStr">
        <is>
          <t>J-001</t>
        </is>
      </c>
      <c r="B5" s="4" t="inlineStr">
        <is>
          <t>SLA</t>
        </is>
      </c>
      <c r="C5" s="5" t="inlineStr">
        <is>
          <t>58</t>
        </is>
      </c>
      <c r="D5" s="4" t="inlineStr">
        <is>
          <t>Curriculum dependency graph: ≥80% of vocab used in lesson L's example sentences must appear in lessons ≤L</t>
        </is>
      </c>
      <c r="E5" s="4"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4" t="inlineStr">
        <is>
          <t>≥80% known-vocab fraction per lesson; lessons below threshold flagged for example rewrite or vocab reordering.</t>
        </is>
      </c>
      <c r="G5" s="5" t="inlineStr">
        <is>
          <t>P3</t>
        </is>
      </c>
      <c r="H5" s="5" t="inlineStr">
        <is>
          <t>Major</t>
        </is>
      </c>
      <c r="I5" s="5" t="inlineStr">
        <is>
          <t>Auto</t>
        </is>
      </c>
      <c r="J5" s="4"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8" t="n">
        <v>46159</v>
      </c>
      <c r="O5" t="inlineStr">
        <is>
          <t>Skipped — custom</t>
        </is>
      </c>
      <c r="Q5" t="inlineStr">
        <is>
          <t>—</t>
        </is>
      </c>
      <c r="R5" t="inlineStr">
        <is>
          <t>0%</t>
        </is>
      </c>
    </row>
    <row r="6" ht="30" customHeight="1" s="49">
      <c r="A6" s="6" t="inlineStr">
        <is>
          <t>J-002</t>
        </is>
      </c>
      <c r="B6" s="4" t="inlineStr">
        <is>
          <t>SLA</t>
        </is>
      </c>
      <c r="C6" s="5" t="inlineStr">
        <is>
          <t>58</t>
        </is>
      </c>
      <c r="D6" s="4" t="inlineStr">
        <is>
          <t>Output-hypothesis adherence: each lesson has ≥1 production drill prompting the learner to use the new pattern</t>
        </is>
      </c>
      <c r="E6" s="4" t="inlineStr">
        <is>
          <t>1. For each grammar pattern P, check whether drills_auto.json has ≥1 production-type drill referencing P.id.
2. Output: list of patterns lacking production drills.
3. Pass: every core_n5 pattern has ≥1 production drill.</t>
        </is>
      </c>
      <c r="F6" s="4" t="inlineStr">
        <is>
          <t>0 core_n5 patterns lacking production drills.</t>
        </is>
      </c>
      <c r="G6" s="5" t="inlineStr">
        <is>
          <t>P3</t>
        </is>
      </c>
      <c r="H6" s="5" t="inlineStr">
        <is>
          <t>Major</t>
        </is>
      </c>
      <c r="I6" s="5" t="inlineStr">
        <is>
          <t>Auto</t>
        </is>
      </c>
      <c r="J6" s="4"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8" t="n">
        <v>46159</v>
      </c>
      <c r="O6" t="inlineStr">
        <is>
          <t>Manual — deferred</t>
        </is>
      </c>
      <c r="Q6" t="inlineStr">
        <is>
          <t>—</t>
        </is>
      </c>
      <c r="R6" t="inlineStr">
        <is>
          <t>0%</t>
        </is>
      </c>
    </row>
    <row r="7" ht="33" customHeight="1" s="49">
      <c r="A7" s="6" t="inlineStr">
        <is>
          <t>J-003</t>
        </is>
      </c>
      <c r="B7" s="4" t="inlineStr">
        <is>
          <t>SLA</t>
        </is>
      </c>
      <c r="C7" s="5" t="inlineStr">
        <is>
          <t>58</t>
        </is>
      </c>
      <c r="D7" s="4" t="inlineStr">
        <is>
          <t>Spaced-repetition interval validation: SRS algorithm produces intervals within ±20% of SuperMemo SM-2 reference</t>
        </is>
      </c>
      <c r="E7" s="4" t="inlineStr">
        <is>
          <t>1. Simulate 100-card SRS trajectories with synthetic Pass/Fail sequences.
2. Compare interval growth against SM-2 reference (1-day → 3 → 7 → 14 → 30 → 90 days, with quality scaling).
3. Report any interval deviating &gt;20% from reference.</t>
        </is>
      </c>
      <c r="F7" s="4" t="inlineStr">
        <is>
          <t>100% of intervals within ±20% of SM-2 reference at quality=4 (good recall).</t>
        </is>
      </c>
      <c r="G7" s="5" t="inlineStr">
        <is>
          <t>P5</t>
        </is>
      </c>
      <c r="H7" s="5" t="inlineStr">
        <is>
          <t>Minor</t>
        </is>
      </c>
      <c r="I7" s="5" t="inlineStr">
        <is>
          <t>Auto</t>
        </is>
      </c>
      <c r="J7" s="4"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8" t="n">
        <v>46159</v>
      </c>
      <c r="O7" t="inlineStr">
        <is>
          <t>Skipped — custom</t>
        </is>
      </c>
      <c r="Q7" t="inlineStr">
        <is>
          <t>—</t>
        </is>
      </c>
      <c r="R7" t="inlineStr">
        <is>
          <t>0%</t>
        </is>
      </c>
    </row>
    <row r="8" ht="30" customHeight="1" s="49">
      <c r="A8" s="6" t="inlineStr">
        <is>
          <t>J-004</t>
        </is>
      </c>
      <c r="B8" s="4" t="inlineStr">
        <is>
          <t>SRS</t>
        </is>
      </c>
      <c r="C8" s="5" t="inlineStr">
        <is>
          <t>59</t>
        </is>
      </c>
      <c r="D8" s="4" t="inlineStr">
        <is>
          <t>Lesson-to-test alignment: every test item ID in questions.json references a vocab/grammar item from a lesson ≤ the test's target lesson</t>
        </is>
      </c>
      <c r="E8" s="4" t="inlineStr">
        <is>
          <t>1. For each test item, look up the referenced vocab/grammar IDs.
2. Verify each is from a lesson ≤ test target lesson.
3. Flag any out-of-sequence references.</t>
        </is>
      </c>
      <c r="F8" s="4" t="inlineStr">
        <is>
          <t>0 test items reference items from later lessons.</t>
        </is>
      </c>
      <c r="G8" s="5" t="inlineStr">
        <is>
          <t>P3</t>
        </is>
      </c>
      <c r="H8" s="5" t="inlineStr">
        <is>
          <t>Major</t>
        </is>
      </c>
      <c r="I8" s="5" t="inlineStr">
        <is>
          <t>Auto</t>
        </is>
      </c>
      <c r="J8" s="4"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8" t="n">
        <v>46159</v>
      </c>
      <c r="O8" t="inlineStr">
        <is>
          <t>PASS</t>
        </is>
      </c>
      <c r="Q8" t="inlineStr">
        <is>
          <t>—</t>
        </is>
      </c>
      <c r="R8" t="inlineStr">
        <is>
          <t>0%</t>
        </is>
      </c>
    </row>
    <row r="9" ht="30" customHeight="1" s="49">
      <c r="A9" s="6" t="inlineStr">
        <is>
          <t>J-005</t>
        </is>
      </c>
      <c r="B9" s="4" t="inlineStr">
        <is>
          <t>SRS</t>
        </is>
      </c>
      <c r="C9" s="5" t="inlineStr">
        <is>
          <t>59</t>
        </is>
      </c>
      <c r="D9" s="4" t="inlineStr">
        <is>
          <t>Distractor cognitive load: MCQ distractors are not so close to the correct answer that the test becomes a recognition test rather than a recall test</t>
        </is>
      </c>
      <c r="E9" s="4" t="inlineStr">
        <is>
          <t>1. For each MCQ, compute Levenshtein distance between correct answer and each distractor.
2. Flag MCQs where all 3 distractors have Lev ≤1 from correct (likely too close).
3. Manual review of flagged items by JLPT exam expert.</t>
        </is>
      </c>
      <c r="F9" s="4" t="inlineStr">
        <is>
          <t>&lt;5% of MCQs flagged with all-distractors-too-close.</t>
        </is>
      </c>
      <c r="G9" s="5" t="inlineStr">
        <is>
          <t>P3</t>
        </is>
      </c>
      <c r="H9" s="5" t="inlineStr">
        <is>
          <t>Major</t>
        </is>
      </c>
      <c r="I9" s="5" t="inlineStr">
        <is>
          <t>Auto+Manual</t>
        </is>
      </c>
      <c r="J9" s="4"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8" t="n">
        <v>46159</v>
      </c>
      <c r="O9" t="inlineStr">
        <is>
          <t>Skipped — custom</t>
        </is>
      </c>
      <c r="Q9" t="inlineStr">
        <is>
          <t>—</t>
        </is>
      </c>
      <c r="R9" t="inlineStr">
        <is>
          <t>0%</t>
        </is>
      </c>
    </row>
    <row r="10" ht="30" customHeight="1" s="49">
      <c r="A10" s="6" t="inlineStr">
        <is>
          <t>J-006</t>
        </is>
      </c>
      <c r="B10" s="4" t="inlineStr">
        <is>
          <t>SRS</t>
        </is>
      </c>
      <c r="C10" s="5" t="inlineStr">
        <is>
          <t>59</t>
        </is>
      </c>
      <c r="D10" s="4" t="inlineStr">
        <is>
          <t>Productive-vs-receptive balance: total drill count is ≥30% production (output) drills, not just MCQ (recognition)</t>
        </is>
      </c>
      <c r="E10" s="4" t="inlineStr">
        <is>
          <t>1. Count drills by type in drills_auto.json + questions.json.
2. Compute production-drill share.
3. Pass: ≥30%.</t>
        </is>
      </c>
      <c r="F10" s="4" t="inlineStr">
        <is>
          <t>Production-drill share ≥30% of total drills.</t>
        </is>
      </c>
      <c r="G10" s="5" t="inlineStr">
        <is>
          <t>P4</t>
        </is>
      </c>
      <c r="H10" s="5" t="inlineStr">
        <is>
          <t>Minor</t>
        </is>
      </c>
      <c r="I10" s="5" t="inlineStr">
        <is>
          <t>Auto</t>
        </is>
      </c>
      <c r="J10" s="4"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8" t="n">
        <v>46159</v>
      </c>
      <c r="O10" t="inlineStr">
        <is>
          <t>Skipped — custom</t>
        </is>
      </c>
      <c r="Q10" t="inlineStr">
        <is>
          <t>—</t>
        </is>
      </c>
      <c r="R10" t="inlineStr">
        <is>
          <t>0%</t>
        </is>
      </c>
    </row>
    <row r="11" ht="30" customHeight="1" s="49">
      <c r="A11" s="6" t="inlineStr">
        <is>
          <t>J-007</t>
        </is>
      </c>
      <c r="B11" s="4" t="inlineStr">
        <is>
          <t>Curriculum</t>
        </is>
      </c>
      <c r="C11" s="5" t="inlineStr">
        <is>
          <t>60</t>
        </is>
      </c>
      <c r="D11" s="4" t="inlineStr">
        <is>
          <t>Mnemonic coverage: ≥80% of kanji.json entries have a non-trivial mnemonic field</t>
        </is>
      </c>
      <c r="E11" s="4" t="inlineStr">
        <is>
          <t>1. For each kanji, check mnemonic.en or mnemonic.hi length ≥30 chars.
2. Compute coverage.
3. Pass: ≥80%.</t>
        </is>
      </c>
      <c r="F11" s="4" t="inlineStr">
        <is>
          <t>≥80% of 106 kanji have a non-trivial mnemonic.</t>
        </is>
      </c>
      <c r="G11" s="5" t="inlineStr">
        <is>
          <t>P3</t>
        </is>
      </c>
      <c r="H11" s="5" t="inlineStr">
        <is>
          <t>Major</t>
        </is>
      </c>
      <c r="I11" s="5" t="inlineStr">
        <is>
          <t>Auto</t>
        </is>
      </c>
      <c r="J11" s="4"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8" t="n">
        <v>46159</v>
      </c>
      <c r="O11" t="inlineStr">
        <is>
          <t>Skipped — custom</t>
        </is>
      </c>
      <c r="Q11" t="inlineStr">
        <is>
          <t>—</t>
        </is>
      </c>
      <c r="R11" t="inlineStr">
        <is>
          <t>0%</t>
        </is>
      </c>
    </row>
    <row r="12" ht="31" customHeight="1" s="49">
      <c r="A12" s="6" t="inlineStr">
        <is>
          <t>J-008</t>
        </is>
      </c>
      <c r="B12" s="4" t="inlineStr">
        <is>
          <t>Curriculum</t>
        </is>
      </c>
      <c r="C12" s="5" t="inlineStr">
        <is>
          <t>60</t>
        </is>
      </c>
      <c r="D12" s="4" t="inlineStr">
        <is>
          <t>Hindi-L1 transfer-error coverage: common HI-L1 errors (postposition mapping, word order) have explicit common_mistakes entries</t>
        </is>
      </c>
      <c r="E12" s="4" t="inlineStr">
        <is>
          <t>1. Reference list of HI-L1 transfer errors (postposition mapping: का → が/に/で; से → から/で/に; को → を/に).
2. For each, verify ≥1 common_mistakes entry across grammar.json catches it.
3. Report uncovered transfer errors.</t>
        </is>
      </c>
      <c r="F12" s="4"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5" t="inlineStr">
        <is>
          <t>P3</t>
        </is>
      </c>
      <c r="H12" s="5" t="inlineStr">
        <is>
          <t>Major</t>
        </is>
      </c>
      <c r="I12" s="5" t="inlineStr">
        <is>
          <t>Auto</t>
        </is>
      </c>
      <c r="J12" s="4"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8" t="n">
        <v>46159</v>
      </c>
      <c r="O12" t="inlineStr">
        <is>
          <t>Skipped — custom</t>
        </is>
      </c>
      <c r="Q12" t="inlineStr">
        <is>
          <t>—</t>
        </is>
      </c>
      <c r="R12" t="inlineStr">
        <is>
          <t>0%</t>
        </is>
      </c>
    </row>
    <row r="13" ht="36" customHeight="1" s="49">
      <c r="A13" s="6" t="inlineStr">
        <is>
          <t>J-009</t>
        </is>
      </c>
      <c r="B13" s="4" t="inlineStr">
        <is>
          <t>Curriculum</t>
        </is>
      </c>
      <c r="C13" s="5" t="inlineStr">
        <is>
          <t>60</t>
        </is>
      </c>
      <c r="D13" s="4" t="inlineStr">
        <is>
          <t>Spiral-review density: every kanji introduced in lesson L appears in ≥3 examples in lessons L+1..L+10</t>
        </is>
      </c>
      <c r="E13" s="4" t="inlineStr">
        <is>
          <t>1. For each kanji, find introduction lesson L.
2. Count example appearances in lessons L+1..L+10.
3. Pass: ≥3.</t>
        </is>
      </c>
      <c r="F13" s="4" t="inlineStr">
        <is>
          <t>≥95% of kanji have ≥3 spiral-review appearances; report exceptions.</t>
        </is>
      </c>
      <c r="G13" s="5" t="inlineStr">
        <is>
          <t>P3</t>
        </is>
      </c>
      <c r="H13" s="5" t="inlineStr">
        <is>
          <t>Major</t>
        </is>
      </c>
      <c r="I13" s="5" t="inlineStr">
        <is>
          <t>Auto</t>
        </is>
      </c>
      <c r="J13" s="4"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8" t="n">
        <v>46159</v>
      </c>
      <c r="O13" t="inlineStr">
        <is>
          <t>Skipped — custom</t>
        </is>
      </c>
      <c r="Q13" t="inlineStr">
        <is>
          <t>—</t>
        </is>
      </c>
      <c r="R13" t="inlineStr">
        <is>
          <t>0%</t>
        </is>
      </c>
    </row>
    <row r="14" ht="30" customHeight="1" s="49">
      <c r="A14" s="6" t="inlineStr">
        <is>
          <t>J-010</t>
        </is>
      </c>
      <c r="B14" s="4" t="inlineStr">
        <is>
          <t>Assessment</t>
        </is>
      </c>
      <c r="C14" s="5" t="inlineStr">
        <is>
          <t>61</t>
        </is>
      </c>
      <c r="D14" s="4" t="inlineStr">
        <is>
          <t>Lesson-completion time budget: each lesson takes 30–60 min for a HI-L1 learner; measured by content volume × reading speed</t>
        </is>
      </c>
      <c r="E14" s="4" t="inlineStr">
        <is>
          <t>1. Compute reading-time estimate per lesson: words / reading-speed-WPM × 60.
2. Add audio-listen time (audio duration) + drill time (15 min default).
3. Pass: 30 ≤ total ≤ 60 min per lesson.</t>
        </is>
      </c>
      <c r="F14" s="4" t="inlineStr">
        <is>
          <t>All lessons within [30, 60] min estimate; outliers flagged for content trim or split.</t>
        </is>
      </c>
      <c r="G14" s="5" t="inlineStr">
        <is>
          <t>P4</t>
        </is>
      </c>
      <c r="H14" s="5" t="inlineStr">
        <is>
          <t>Major</t>
        </is>
      </c>
      <c r="I14" s="5" t="inlineStr">
        <is>
          <t>Auto</t>
        </is>
      </c>
      <c r="J14" s="4"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8" t="n">
        <v>46159</v>
      </c>
      <c r="O14" t="inlineStr">
        <is>
          <t>Skipped — custom</t>
        </is>
      </c>
      <c r="Q14" t="inlineStr">
        <is>
          <t>—</t>
        </is>
      </c>
      <c r="R14" t="inlineStr">
        <is>
          <t>0%</t>
        </is>
      </c>
    </row>
    <row r="15" ht="35" customHeight="1" s="49">
      <c r="A15" s="6" t="inlineStr">
        <is>
          <t>J-011</t>
        </is>
      </c>
      <c r="B15" s="4" t="inlineStr">
        <is>
          <t>Assessment</t>
        </is>
      </c>
      <c r="C15" s="5" t="inlineStr">
        <is>
          <t>61</t>
        </is>
      </c>
      <c r="D15" s="4" t="inlineStr">
        <is>
          <t>Difficulty progression monotonicity: lesson N is no easier than lesson N-1 by a measurable proxy (vocab frequency-rank floor, kanji-stroke-count avg)</t>
        </is>
      </c>
      <c r="E15" s="4" t="inlineStr">
        <is>
          <t>1. Compute per-lesson: median vocab freq-rank, mean kanji stroke count, mean grammar-pattern complexity.
2. Verify monotonic non-decreasing trend across lesson order.
3. Flag inversions for re-ordering.</t>
        </is>
      </c>
      <c r="F15" s="4" t="inlineStr">
        <is>
          <t>0 lesson inversions in any proxy.</t>
        </is>
      </c>
      <c r="G15" s="5" t="inlineStr">
        <is>
          <t>P4</t>
        </is>
      </c>
      <c r="H15" s="5" t="inlineStr">
        <is>
          <t>Major</t>
        </is>
      </c>
      <c r="I15" s="5" t="inlineStr">
        <is>
          <t>Auto</t>
        </is>
      </c>
      <c r="J15" s="4"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8" t="n">
        <v>46159</v>
      </c>
      <c r="O15" t="inlineStr">
        <is>
          <t>Skipped — custom</t>
        </is>
      </c>
      <c r="Q15" t="inlineStr">
        <is>
          <t>—</t>
        </is>
      </c>
      <c r="R15" t="inlineStr">
        <is>
          <t>0%</t>
        </is>
      </c>
    </row>
    <row r="16" ht="30" customHeight="1" s="49">
      <c r="A16" s="6" t="inlineStr">
        <is>
          <t>J-012</t>
        </is>
      </c>
      <c r="B16" s="4" t="inlineStr">
        <is>
          <t>Comparative</t>
        </is>
      </c>
      <c r="C16" s="5" t="inlineStr">
        <is>
          <t>62</t>
        </is>
      </c>
      <c r="D16" s="4" t="inlineStr">
        <is>
          <t>Authentic-input ratio: ≥15% of reading + listening content is from authentic sources (signs, menus, announcements) vs constructed</t>
        </is>
      </c>
      <c r="E16" s="4" t="inlineStr">
        <is>
          <t>1. Count authentic.json entries by provenance.
2. Compute share of total reading + listening content.
3. Pass: ≥15%.</t>
        </is>
      </c>
      <c r="F16" s="4" t="inlineStr">
        <is>
          <t>≥15% authentic-input share.</t>
        </is>
      </c>
      <c r="G16" s="5" t="inlineStr">
        <is>
          <t>P4</t>
        </is>
      </c>
      <c r="H16" s="5" t="inlineStr">
        <is>
          <t>Minor</t>
        </is>
      </c>
      <c r="I16" s="5" t="inlineStr">
        <is>
          <t>Auto</t>
        </is>
      </c>
      <c r="J16" s="4"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8" t="n">
        <v>46159</v>
      </c>
      <c r="O16" t="inlineStr">
        <is>
          <t>Skipped — custom</t>
        </is>
      </c>
      <c r="Q16" t="inlineStr">
        <is>
          <t>—</t>
        </is>
      </c>
      <c r="R16" t="inlineStr">
        <is>
          <t>0%</t>
        </is>
      </c>
    </row>
    <row r="17" ht="30" customHeight="1" s="49">
      <c r="A17" s="6" t="inlineStr">
        <is>
          <t>J-013</t>
        </is>
      </c>
      <c r="B17" s="4" t="inlineStr">
        <is>
          <t>Comparative</t>
        </is>
      </c>
      <c r="C17" s="5" t="inlineStr">
        <is>
          <t>62</t>
        </is>
      </c>
      <c r="D17" s="4" t="inlineStr">
        <is>
          <t>Cultural-context attachment: every grammar pattern has a cultural_callout field; locked by JA-53</t>
        </is>
      </c>
      <c r="E17" s="4" t="inlineStr">
        <is>
          <t>1. JA-53 already enforces non-trivial cultural_callout on every grammar pattern.
2. Run python tools/check_content_integrity.py JA-53.
3. Pass: 0 violations.</t>
        </is>
      </c>
      <c r="F17" s="4" t="inlineStr">
        <is>
          <t>JA-53 PASS for all 178 grammar patterns.</t>
        </is>
      </c>
      <c r="G17" s="5" t="inlineStr">
        <is>
          <t>P4</t>
        </is>
      </c>
      <c r="H17" s="5" t="inlineStr">
        <is>
          <t>Minor</t>
        </is>
      </c>
      <c r="I17" s="5" t="inlineStr">
        <is>
          <t>Auto</t>
        </is>
      </c>
      <c r="J17" s="4"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8" t="n">
        <v>46159</v>
      </c>
      <c r="O17" t="inlineStr">
        <is>
          <t>PASS</t>
        </is>
      </c>
      <c r="Q17" t="inlineStr">
        <is>
          <t>—</t>
        </is>
      </c>
      <c r="R17" t="inlineStr">
        <is>
          <t>0%</t>
        </is>
      </c>
    </row>
    <row r="18" ht="36" customHeight="1" s="49">
      <c r="A18" s="6" t="inlineStr">
        <is>
          <t>J-014</t>
        </is>
      </c>
      <c r="B18" s="4" t="inlineStr">
        <is>
          <t>Hindi-L1 error anticipation</t>
        </is>
      </c>
      <c r="C18" s="5" t="inlineStr">
        <is>
          <t>63</t>
        </is>
      </c>
      <c r="D18" s="4" t="inlineStr">
        <is>
          <t>Postposition-mapping confusion coverage: 4 most-common HI-L1 → JA particle errors have explicit teaching entries</t>
        </is>
      </c>
      <c r="E18" s="4" t="inlineStr">
        <is>
          <t>1. Reference: HI का → JA が/の/に/で confusion; HI से → JA から/で/に; HI को → JA を/に; HI में → JA で/に.
2. For each, verify ≥1 grammar.json contrast entry covers it (cross-pattern explanation).
3. Report uncovered confusions.</t>
        </is>
      </c>
      <c r="F18" s="4" t="inlineStr">
        <is>
          <t>All 4 HI-L1 postposition-mapping confusions covered by ≥1 contrast entry.</t>
        </is>
      </c>
      <c r="G18" s="5" t="inlineStr">
        <is>
          <t>P5</t>
        </is>
      </c>
      <c r="H18" s="5" t="inlineStr">
        <is>
          <t>Minor</t>
        </is>
      </c>
      <c r="I18" s="5" t="inlineStr">
        <is>
          <t>Auto</t>
        </is>
      </c>
      <c r="J18" s="4"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8" t="n">
        <v>46159</v>
      </c>
      <c r="O18" t="inlineStr">
        <is>
          <t>Skipped — custom</t>
        </is>
      </c>
      <c r="Q18" t="inlineStr">
        <is>
          <t>—</t>
        </is>
      </c>
      <c r="R18" t="inlineStr">
        <is>
          <t>0%</t>
        </is>
      </c>
    </row>
    <row r="19" ht="32" customHeight="1" s="49">
      <c r="A19" s="6" t="inlineStr">
        <is>
          <t>J-015</t>
        </is>
      </c>
      <c r="B19" s="4" t="inlineStr">
        <is>
          <t>Hindi-L1 error anticipation</t>
        </is>
      </c>
      <c r="C19" s="5" t="inlineStr">
        <is>
          <t>63</t>
        </is>
      </c>
      <c r="D19" s="4" t="inlineStr">
        <is>
          <t>Pedagogical progression vs Genki/Minna alignment: chapter order matches at least one canonical textbook within ±10% drift</t>
        </is>
      </c>
      <c r="E19" s="4" t="inlineStr">
        <is>
          <t>1. Reference: Genki I chapter order + Minna no Nihongo I chapter order for N5 content.
2. Compute Spearman correlation between our lesson_order and each reference.
3. Pass: correlation ≥0.9 with at least one reference.</t>
        </is>
      </c>
      <c r="F19" s="4"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5" t="inlineStr">
        <is>
          <t>P5</t>
        </is>
      </c>
      <c r="H19" s="5" t="inlineStr">
        <is>
          <t>Minor</t>
        </is>
      </c>
      <c r="I19" s="5" t="inlineStr">
        <is>
          <t>Auto</t>
        </is>
      </c>
      <c r="J19" s="4"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8" t="n">
        <v>46159</v>
      </c>
      <c r="O19" t="inlineStr">
        <is>
          <t>Skipped — custom</t>
        </is>
      </c>
      <c r="Q19" t="inlineStr">
        <is>
          <t>—</t>
        </is>
      </c>
      <c r="R19" t="inlineStr">
        <is>
          <t>0%</t>
        </is>
      </c>
    </row>
    <row r="20" ht="101.5" customHeight="1" s="49">
      <c r="A20" s="17" t="inlineStr">
        <is>
          <t>J-016</t>
        </is>
      </c>
      <c r="B20" s="17" t="inlineStr">
        <is>
          <t>Competitor benchmark</t>
        </is>
      </c>
      <c r="C20" s="17" t="inlineStr">
        <is>
          <t>3</t>
        </is>
      </c>
      <c r="D20" s="17" t="inlineStr">
        <is>
          <t>Pattern-level comparison against named competitors (Bunpro / Marumori / Renshuu) on the same grammar/vocab/kanji items</t>
        </is>
      </c>
      <c r="E20" s="17" t="inlineStr">
        <is>
          <t>1. Pick 20 representative grammar patterns + 20 vocab + 10 kanji.
2. For each, capture how 3 competitors teach it (screenshot or transcript).
3. Pedagogy reviewer scores ours vs theirs on clarity / accuracy / depth.
4. Report qualitative + diff.</t>
        </is>
      </c>
      <c r="F20" s="17" t="inlineStr">
        <is>
          <t>Median score across 50 items ≥ median of best-1 competitor on the same items.</t>
        </is>
      </c>
      <c r="G20" s="17" t="inlineStr">
        <is>
          <t>P3</t>
        </is>
      </c>
      <c r="H20" s="17" t="inlineStr">
        <is>
          <t>Major</t>
        </is>
      </c>
      <c r="I20" s="17" t="inlineStr">
        <is>
          <t>Manual</t>
        </is>
      </c>
      <c r="J20" s="17" t="inlineStr">
        <is>
          <t>[BUG-032 new] Coverage gap. — Pedagogy-specialist review 2026-05-17: Competitor app comparison (Bunpro/Marumori/WaniKani) requires paid-tier accounts + manual scoring sheet; deferred to product-team sprint.</t>
        </is>
      </c>
      <c r="K20" s="17" t="inlineStr">
        <is>
          <t>1wk</t>
        </is>
      </c>
      <c r="L20" s="17" t="inlineStr">
        <is>
          <t>SLA pedagogy researcher</t>
        </is>
      </c>
      <c r="M20" s="17" t="inlineStr">
        <is>
          <t>Competitor app accounts + manual scoring sheet</t>
        </is>
      </c>
      <c r="N20" s="69" t="n">
        <v>46159</v>
      </c>
      <c r="O20" s="17" t="inlineStr">
        <is>
          <t>Manual — deferred</t>
        </is>
      </c>
      <c r="P20" s="17" t="n"/>
      <c r="Q20" s="17" t="inlineStr">
        <is>
          <t>—</t>
        </is>
      </c>
      <c r="R20" s="17" t="inlineStr">
        <is>
          <t>0%</t>
        </is>
      </c>
    </row>
    <row r="21" ht="145" customHeight="1" s="49">
      <c r="A21" s="32" t="inlineStr">
        <is>
          <t>J-017</t>
        </is>
      </c>
      <c r="B21" s="32" t="inlineStr">
        <is>
          <t>Audit-doc summary</t>
        </is>
      </c>
      <c r="C21" s="32" t="inlineStr">
        <is>
          <t>—</t>
        </is>
      </c>
      <c r="D21" s="32" t="inlineStr">
        <is>
          <t>Audit round-9 2026-05-06 — VOICEVOX migration plan + voice variety</t>
        </is>
      </c>
      <c r="E21" s="32"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2" t="inlineStr">
        <is>
          <t>Every actionable item in the doc maps to a downstream artifact (fix commit / CI invariant / open tracker entry). 0 unmapped items.</t>
        </is>
      </c>
      <c r="G21" s="32" t="inlineStr">
        <is>
          <t>P4</t>
        </is>
      </c>
      <c r="H21" s="32" t="inlineStr">
        <is>
          <t>Minor</t>
        </is>
      </c>
      <c r="I21" s="32" t="inlineStr">
        <is>
          <t>Manual</t>
        </is>
      </c>
      <c r="J21" s="32"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2" t="inlineStr">
        <is>
          <t>1h</t>
        </is>
      </c>
      <c r="L21" s="32" t="inlineStr">
        <is>
          <t>Audit reviewer</t>
        </is>
      </c>
      <c r="M21" s="32" t="inlineStr">
        <is>
          <t>N5/feedback/audit-round9-2026-05-06.md</t>
        </is>
      </c>
      <c r="N21" s="70" t="n">
        <v>46159</v>
      </c>
      <c r="O21" s="32" t="inlineStr">
        <is>
          <t>PASS</t>
        </is>
      </c>
      <c r="P21" s="32" t="n"/>
      <c r="Q21" s="32" t="inlineStr">
        <is>
          <t>—</t>
        </is>
      </c>
      <c r="R21" s="32" t="inlineStr">
        <is>
          <t>0%</t>
        </is>
      </c>
    </row>
    <row r="22" ht="145" customHeight="1" s="49">
      <c r="A22" s="32" t="inlineStr">
        <is>
          <t>J-018</t>
        </is>
      </c>
      <c r="B22" s="32" t="inlineStr">
        <is>
          <t>Audit-doc summary</t>
        </is>
      </c>
      <c r="C22" s="32" t="inlineStr">
        <is>
          <t>—</t>
        </is>
      </c>
      <c r="D22" s="32" t="inlineStr">
        <is>
          <t>n5 richness audit 2026-05-12 — Tofugu/Bunpro/Genki bar assessment</t>
        </is>
      </c>
      <c r="E22" s="32"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2" t="inlineStr">
        <is>
          <t>Every actionable item in the doc maps to a downstream artifact (fix commit / CI invariant / open tracker entry). 0 unmapped items.</t>
        </is>
      </c>
      <c r="G22" s="32" t="inlineStr">
        <is>
          <t>P4</t>
        </is>
      </c>
      <c r="H22" s="32" t="inlineStr">
        <is>
          <t>Minor</t>
        </is>
      </c>
      <c r="I22" s="32" t="inlineStr">
        <is>
          <t>Manual</t>
        </is>
      </c>
      <c r="J22" s="32"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2" t="inlineStr">
        <is>
          <t>1h</t>
        </is>
      </c>
      <c r="L22" s="32" t="inlineStr">
        <is>
          <t>Audit reviewer</t>
        </is>
      </c>
      <c r="M22" s="32" t="inlineStr">
        <is>
          <t>N5/feedback/n5-richness-audit-2026-05-12.md</t>
        </is>
      </c>
      <c r="N22" s="70" t="n">
        <v>46159</v>
      </c>
      <c r="O22" s="32" t="inlineStr">
        <is>
          <t>PASS</t>
        </is>
      </c>
      <c r="P22" s="32" t="n"/>
      <c r="Q22" s="32" t="inlineStr">
        <is>
          <t>—</t>
        </is>
      </c>
      <c r="R22" s="32" t="inlineStr">
        <is>
          <t>0%</t>
        </is>
      </c>
    </row>
    <row r="23" ht="145" customHeight="1" s="49">
      <c r="A23" s="32" t="inlineStr">
        <is>
          <t>J-019</t>
        </is>
      </c>
      <c r="B23" s="32" t="inlineStr">
        <is>
          <t>Audit-doc summary</t>
        </is>
      </c>
      <c r="C23" s="32" t="inlineStr">
        <is>
          <t>—</t>
        </is>
      </c>
      <c r="D23" s="32" t="inlineStr">
        <is>
          <t>Consolidated N5 audit 2026-05-01 — initial broad review</t>
        </is>
      </c>
      <c r="E23" s="32"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2" t="inlineStr">
        <is>
          <t>Every actionable item in the doc maps to a downstream artifact (fix commit / CI invariant / open tracker entry). 0 unmapped items.</t>
        </is>
      </c>
      <c r="G23" s="32" t="inlineStr">
        <is>
          <t>P4</t>
        </is>
      </c>
      <c r="H23" s="32" t="inlineStr">
        <is>
          <t>Minor</t>
        </is>
      </c>
      <c r="I23" s="32" t="inlineStr">
        <is>
          <t>Manual</t>
        </is>
      </c>
      <c r="J23" s="32"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2" t="inlineStr">
        <is>
          <t>1h</t>
        </is>
      </c>
      <c r="L23" s="32" t="inlineStr">
        <is>
          <t>Audit reviewer</t>
        </is>
      </c>
      <c r="M23" s="32" t="inlineStr">
        <is>
          <t>N5/feedback/closed/jlpt-n5-consolidated-audit-2026-05-01.md</t>
        </is>
      </c>
      <c r="N23" s="70" t="n">
        <v>46159</v>
      </c>
      <c r="O23" s="32" t="inlineStr">
        <is>
          <t>PASS</t>
        </is>
      </c>
      <c r="P23" s="32" t="n"/>
      <c r="Q23" s="32" t="inlineStr">
        <is>
          <t>—</t>
        </is>
      </c>
      <c r="R23" s="32" t="inlineStr">
        <is>
          <t>0%</t>
        </is>
      </c>
    </row>
    <row r="24" ht="116" customHeight="1" s="49">
      <c r="A24" s="32" t="inlineStr">
        <is>
          <t>J-020</t>
        </is>
      </c>
      <c r="B24" s="32" t="inlineStr">
        <is>
          <t>Audit-doc summary</t>
        </is>
      </c>
      <c r="C24" s="32" t="inlineStr">
        <is>
          <t>—</t>
        </is>
      </c>
      <c r="D24" s="32" t="inlineStr">
        <is>
          <t>N5 dossier follow-up audit 2026-05-02 — pedagogy depth</t>
        </is>
      </c>
      <c r="E24" s="32"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2" t="inlineStr">
        <is>
          <t>Every actionable item in the doc maps to a downstream artifact (fix commit / CI invariant / open tracker entry). 0 unmapped items.</t>
        </is>
      </c>
      <c r="G24" s="32" t="inlineStr">
        <is>
          <t>P4</t>
        </is>
      </c>
      <c r="H24" s="32" t="inlineStr">
        <is>
          <t>Minor</t>
        </is>
      </c>
      <c r="I24" s="32" t="inlineStr">
        <is>
          <t>Manual</t>
        </is>
      </c>
      <c r="J24" s="32"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2" t="inlineStr">
        <is>
          <t>1h</t>
        </is>
      </c>
      <c r="L24" s="32" t="inlineStr">
        <is>
          <t>Audit reviewer</t>
        </is>
      </c>
      <c r="M24" s="32" t="inlineStr">
        <is>
          <t>N5/feedback/closed/jlpt-n5-dossier-followup-audit-2026-05-02.md</t>
        </is>
      </c>
      <c r="N24" s="70" t="n">
        <v>46159</v>
      </c>
      <c r="O24" s="32" t="inlineStr">
        <is>
          <t>PASS</t>
        </is>
      </c>
      <c r="P24" s="32" t="n"/>
      <c r="Q24" s="32" t="inlineStr">
        <is>
          <t>—</t>
        </is>
      </c>
      <c r="R24" s="3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57"/>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K. QA testing</t>
        </is>
      </c>
    </row>
    <row r="2" ht="36" customHeight="1" s="49">
      <c r="A2" s="51" t="inlineStr">
        <is>
          <t>Perspectives: Exploratory tester, automated testing, visual regression, localization testing, audio playback (perspectives 64-68)</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K-001</t>
        </is>
      </c>
      <c r="B5" s="4" t="inlineStr">
        <is>
          <t>Exploratory</t>
        </is>
      </c>
      <c r="C5" s="5" t="inlineStr">
        <is>
          <t>64</t>
        </is>
      </c>
      <c r="D5" s="4" t="inlineStr">
        <is>
          <t>Exploratory-session bug-yield rate (metric, not a gate)</t>
        </is>
      </c>
      <c r="E5" s="4" t="inlineStr">
        <is>
          <t>1. Tester uses app for 30 min trying to break it
2. Log all bugs / friction</t>
        </is>
      </c>
      <c r="F5" s="4" t="inlineStr">
        <is>
          <t>Critical / major bug-yield per 30-min exploratory session is tracked over time. No fixed gate — trending down means quality improving. Hard gate (separate scenario K-001a if needed): if &gt;3 critical/major in one session, halt release until each is triaged.</t>
        </is>
      </c>
      <c r="G5" s="5" t="inlineStr">
        <is>
          <t>P3</t>
        </is>
      </c>
      <c r="H5" s="5" t="inlineStr">
        <is>
          <t>Major</t>
        </is>
      </c>
      <c r="I5" s="5" t="inlineStr">
        <is>
          <t>Manual</t>
        </is>
      </c>
      <c r="J5" s="4"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8" t="n">
        <v>46159</v>
      </c>
      <c r="O5" t="inlineStr">
        <is>
          <t>Manual — deferred</t>
        </is>
      </c>
      <c r="Q5" t="inlineStr">
        <is>
          <t>—</t>
        </is>
      </c>
      <c r="R5" t="inlineStr">
        <is>
          <t>0%</t>
        </is>
      </c>
    </row>
    <row r="6" ht="31" customHeight="1" s="49">
      <c r="A6" s="6" t="inlineStr">
        <is>
          <t>K-002</t>
        </is>
      </c>
      <c r="B6" s="4" t="inlineStr">
        <is>
          <t>Exploratory</t>
        </is>
      </c>
      <c r="C6" s="5" t="inlineStr">
        <is>
          <t>64</t>
        </is>
      </c>
      <c r="D6" s="4" t="inlineStr">
        <is>
          <t>Concurrent-tab behavior</t>
        </is>
      </c>
      <c r="E6" s="4" t="inlineStr">
        <is>
          <t>1. Open app in 3 tabs simultaneously
2. Use each
3. Verify state isolation OR consistent sync</t>
        </is>
      </c>
      <c r="F6" s="4" t="inlineStr">
        <is>
          <t>Multi-tab behavior documented</t>
        </is>
      </c>
      <c r="G6" s="5" t="inlineStr">
        <is>
          <t>P5</t>
        </is>
      </c>
      <c r="H6" s="5" t="inlineStr">
        <is>
          <t>Minor</t>
        </is>
      </c>
      <c r="I6" s="5" t="inlineStr">
        <is>
          <t>Manual</t>
        </is>
      </c>
      <c r="J6" s="4"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8" t="n">
        <v>46159</v>
      </c>
      <c r="O6" t="inlineStr">
        <is>
          <t>PASS</t>
        </is>
      </c>
      <c r="Q6" t="inlineStr">
        <is>
          <t>—</t>
        </is>
      </c>
      <c r="R6" t="inlineStr">
        <is>
          <t>0%</t>
        </is>
      </c>
    </row>
    <row r="7" ht="30" customHeight="1" s="49">
      <c r="A7" s="6" t="inlineStr">
        <is>
          <t>K-003</t>
        </is>
      </c>
      <c r="B7" s="4" t="inlineStr">
        <is>
          <t>Exploratory</t>
        </is>
      </c>
      <c r="C7" s="5" t="inlineStr">
        <is>
          <t>64</t>
        </is>
      </c>
      <c r="D7" s="4" t="inlineStr">
        <is>
          <t>Slow-network behavior</t>
        </is>
      </c>
      <c r="E7" s="4" t="inlineStr">
        <is>
          <t>1. Throttle to slow 3G
2. Verify all flows still complete (with loading states)</t>
        </is>
      </c>
      <c r="F7" s="4" t="inlineStr">
        <is>
          <t>Slow-network usable</t>
        </is>
      </c>
      <c r="G7" s="5" t="inlineStr">
        <is>
          <t>P3</t>
        </is>
      </c>
      <c r="H7" s="5" t="inlineStr">
        <is>
          <t>Major</t>
        </is>
      </c>
      <c r="I7" s="5" t="inlineStr">
        <is>
          <t>Manual</t>
        </is>
      </c>
      <c r="J7" s="4"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8" t="n">
        <v>46159</v>
      </c>
      <c r="O7" t="inlineStr">
        <is>
          <t>Manual — deferred</t>
        </is>
      </c>
      <c r="Q7" t="inlineStr">
        <is>
          <t>—</t>
        </is>
      </c>
      <c r="R7" t="inlineStr">
        <is>
          <t>0%</t>
        </is>
      </c>
    </row>
    <row r="8" ht="30" customHeight="1" s="49">
      <c r="A8" s="6" t="inlineStr">
        <is>
          <t>K-004</t>
        </is>
      </c>
      <c r="B8" s="4" t="inlineStr">
        <is>
          <t>Exploratory</t>
        </is>
      </c>
      <c r="C8" s="5" t="inlineStr">
        <is>
          <t>64</t>
        </is>
      </c>
      <c r="D8" s="4" t="inlineStr">
        <is>
          <t>Browser back/forward button behavior</t>
        </is>
      </c>
      <c r="E8" s="4" t="inlineStr">
        <is>
          <t>1. Use app, hit back/forward many times
2. Verify state preserved correctly</t>
        </is>
      </c>
      <c r="F8" s="4" t="inlineStr">
        <is>
          <t>History navigation correct</t>
        </is>
      </c>
      <c r="G8" s="5" t="inlineStr">
        <is>
          <t>P3</t>
        </is>
      </c>
      <c r="H8" s="5" t="inlineStr">
        <is>
          <t>Major</t>
        </is>
      </c>
      <c r="I8" s="5" t="inlineStr">
        <is>
          <t>Manual</t>
        </is>
      </c>
      <c r="J8" s="4"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8" t="n">
        <v>46159</v>
      </c>
      <c r="O8" t="inlineStr">
        <is>
          <t>Manual — deferred</t>
        </is>
      </c>
      <c r="Q8" t="inlineStr">
        <is>
          <t>—</t>
        </is>
      </c>
      <c r="R8" t="inlineStr">
        <is>
          <t>0%</t>
        </is>
      </c>
    </row>
    <row r="9" ht="30" customHeight="1" s="49">
      <c r="A9" s="6" t="inlineStr">
        <is>
          <t>K-005</t>
        </is>
      </c>
      <c r="B9" s="4" t="inlineStr">
        <is>
          <t>Automation</t>
        </is>
      </c>
      <c r="C9" s="5" t="inlineStr">
        <is>
          <t>65</t>
        </is>
      </c>
      <c r="D9" s="4" t="inlineStr">
        <is>
          <t>Unit-test coverage for tools/*.py</t>
        </is>
      </c>
      <c r="E9" s="4" t="inlineStr">
        <is>
          <t>1. Run pytest with coverage
2. Verify ≥80% line coverage</t>
        </is>
      </c>
      <c r="F9" s="4" t="inlineStr">
        <is>
          <t>≥80% coverage</t>
        </is>
      </c>
      <c r="G9" s="5" t="inlineStr">
        <is>
          <t>P3</t>
        </is>
      </c>
      <c r="H9" s="5" t="inlineStr">
        <is>
          <t>Major</t>
        </is>
      </c>
      <c r="I9" s="5" t="inlineStr">
        <is>
          <t>Auto</t>
        </is>
      </c>
      <c r="J9" s="4"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8" t="n">
        <v>46159</v>
      </c>
      <c r="O9" t="inlineStr">
        <is>
          <t>PASS</t>
        </is>
      </c>
      <c r="Q9" t="inlineStr">
        <is>
          <t>—</t>
        </is>
      </c>
      <c r="R9" t="inlineStr">
        <is>
          <t>0%</t>
        </is>
      </c>
    </row>
    <row r="10" ht="30" customHeight="1" s="49">
      <c r="A10" s="6" t="inlineStr">
        <is>
          <t>K-006</t>
        </is>
      </c>
      <c r="B10" s="4" t="inlineStr">
        <is>
          <t>Automation</t>
        </is>
      </c>
      <c r="C10" s="5" t="inlineStr">
        <is>
          <t>65</t>
        </is>
      </c>
      <c r="D10" s="4" t="inlineStr">
        <is>
          <t>Integration tests for data-loading + rendering</t>
        </is>
      </c>
      <c r="E10" s="4" t="inlineStr">
        <is>
          <t>1. Verify tests load data/*.json + assert render output</t>
        </is>
      </c>
      <c r="F10" s="4" t="inlineStr">
        <is>
          <t>Integration tests pass</t>
        </is>
      </c>
      <c r="G10" s="5" t="inlineStr">
        <is>
          <t>P3</t>
        </is>
      </c>
      <c r="H10" s="5" t="inlineStr">
        <is>
          <t>Major</t>
        </is>
      </c>
      <c r="I10" s="5" t="inlineStr">
        <is>
          <t>Auto</t>
        </is>
      </c>
      <c r="J10" s="4"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8" t="n">
        <v>46159</v>
      </c>
      <c r="O10" t="inlineStr">
        <is>
          <t>Manual — deferred</t>
        </is>
      </c>
      <c r="Q10" t="inlineStr">
        <is>
          <t>—</t>
        </is>
      </c>
      <c r="R10" t="inlineStr">
        <is>
          <t>0%</t>
        </is>
      </c>
    </row>
    <row r="11" ht="30" customHeight="1" s="49">
      <c r="A11" s="6" t="inlineStr">
        <is>
          <t>K-007</t>
        </is>
      </c>
      <c r="B11" s="4" t="inlineStr">
        <is>
          <t>Automation</t>
        </is>
      </c>
      <c r="C11" s="5" t="inlineStr">
        <is>
          <t>65</t>
        </is>
      </c>
      <c r="D11" s="4" t="inlineStr">
        <is>
          <t>E2E test of complete user flow (vocab study → quiz → results)</t>
        </is>
      </c>
      <c r="E11" s="4" t="inlineStr">
        <is>
          <t>1. Playwright/Cypress script for full flow
2. Run in CI</t>
        </is>
      </c>
      <c r="F11" s="4" t="inlineStr">
        <is>
          <t>E2E suite green</t>
        </is>
      </c>
      <c r="G11" s="5" t="inlineStr">
        <is>
          <t>P3</t>
        </is>
      </c>
      <c r="H11" s="5" t="inlineStr">
        <is>
          <t>Major</t>
        </is>
      </c>
      <c r="I11" s="5" t="inlineStr">
        <is>
          <t>Auto</t>
        </is>
      </c>
      <c r="J11" s="4"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8" t="n">
        <v>46159</v>
      </c>
      <c r="O11" t="inlineStr">
        <is>
          <t>PASS</t>
        </is>
      </c>
      <c r="Q11" t="inlineStr">
        <is>
          <t>—</t>
        </is>
      </c>
      <c r="R11" t="inlineStr">
        <is>
          <t>0%</t>
        </is>
      </c>
    </row>
    <row r="12" ht="30" customHeight="1" s="49">
      <c r="A12" s="6" t="inlineStr">
        <is>
          <t>K-008</t>
        </is>
      </c>
      <c r="B12" s="4" t="inlineStr">
        <is>
          <t>Automation</t>
        </is>
      </c>
      <c r="C12" s="5" t="inlineStr">
        <is>
          <t>65</t>
        </is>
      </c>
      <c r="D12" s="4" t="inlineStr">
        <is>
          <t>Smoke test on every deploy</t>
        </is>
      </c>
      <c r="E12" s="4" t="inlineStr">
        <is>
          <t>1. Post-deploy hook hits homepage + each module route
2. Verify HTTP 200 + key text</t>
        </is>
      </c>
      <c r="F12" s="4" t="inlineStr">
        <is>
          <t>Smoke green on every deploy</t>
        </is>
      </c>
      <c r="G12" s="5" t="inlineStr">
        <is>
          <t>P1</t>
        </is>
      </c>
      <c r="H12" s="5" t="inlineStr">
        <is>
          <t>Critical</t>
        </is>
      </c>
      <c r="I12" s="5" t="inlineStr">
        <is>
          <t>Auto</t>
        </is>
      </c>
      <c r="J12" s="4"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8" t="n">
        <v>46159</v>
      </c>
      <c r="O12" t="inlineStr">
        <is>
          <t>PASS</t>
        </is>
      </c>
      <c r="Q12" t="inlineStr">
        <is>
          <t>—</t>
        </is>
      </c>
      <c r="R12" t="inlineStr">
        <is>
          <t>0%</t>
        </is>
      </c>
    </row>
    <row r="13" ht="30" customHeight="1" s="49">
      <c r="A13" s="6" t="inlineStr">
        <is>
          <t>K-009</t>
        </is>
      </c>
      <c r="B13" s="4" t="inlineStr">
        <is>
          <t>Visual regression</t>
        </is>
      </c>
      <c r="C13" s="5" t="inlineStr">
        <is>
          <t>66</t>
        </is>
      </c>
      <c r="D13" s="4" t="inlineStr">
        <is>
          <t>Pixel-diff baseline for each route</t>
        </is>
      </c>
      <c r="E13" s="4" t="inlineStr">
        <is>
          <t>1. Capture golden screenshots
2. On each deploy, diff against baseline</t>
        </is>
      </c>
      <c r="F13" s="4" t="inlineStr">
        <is>
          <t>0 unexpected pixel diffs</t>
        </is>
      </c>
      <c r="G13" s="5" t="inlineStr">
        <is>
          <t>P3</t>
        </is>
      </c>
      <c r="H13" s="5" t="inlineStr">
        <is>
          <t>Major</t>
        </is>
      </c>
      <c r="I13" s="5" t="inlineStr">
        <is>
          <t>Auto</t>
        </is>
      </c>
      <c r="J13" s="4"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8" t="n">
        <v>46159</v>
      </c>
      <c r="O13" t="inlineStr">
        <is>
          <t>Manual — deferred</t>
        </is>
      </c>
      <c r="Q13" t="inlineStr">
        <is>
          <t>—</t>
        </is>
      </c>
      <c r="R13" t="inlineStr">
        <is>
          <t>0%</t>
        </is>
      </c>
    </row>
    <row r="14" ht="30" customHeight="1" s="49">
      <c r="A14" s="6" t="inlineStr">
        <is>
          <t>K-010</t>
        </is>
      </c>
      <c r="B14" s="4" t="inlineStr">
        <is>
          <t>Visual regression</t>
        </is>
      </c>
      <c r="C14" s="5" t="inlineStr">
        <is>
          <t>66</t>
        </is>
      </c>
      <c r="D14" s="4" t="inlineStr">
        <is>
          <t>Layout-shift detection</t>
        </is>
      </c>
      <c r="E14" s="4" t="inlineStr">
        <is>
          <t>1. Record CLS during load
2. Flag regressions vs baseline</t>
        </is>
      </c>
      <c r="F14" s="4" t="inlineStr">
        <is>
          <t>CLS doesn't regress</t>
        </is>
      </c>
      <c r="G14" s="5" t="inlineStr">
        <is>
          <t>P3</t>
        </is>
      </c>
      <c r="H14" s="5" t="inlineStr">
        <is>
          <t>Major</t>
        </is>
      </c>
      <c r="I14" s="5" t="inlineStr">
        <is>
          <t>Auto</t>
        </is>
      </c>
      <c r="J14" s="4"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8" t="n">
        <v>46159</v>
      </c>
      <c r="O14" t="inlineStr">
        <is>
          <t>Manual — deferred</t>
        </is>
      </c>
      <c r="Q14" t="inlineStr">
        <is>
          <t>—</t>
        </is>
      </c>
      <c r="R14" t="inlineStr">
        <is>
          <t>0%</t>
        </is>
      </c>
    </row>
    <row r="15" ht="30" customHeight="1" s="49">
      <c r="A15" s="6" t="inlineStr">
        <is>
          <t>K-011</t>
        </is>
      </c>
      <c r="B15" s="4" t="inlineStr">
        <is>
          <t>Localization</t>
        </is>
      </c>
      <c r="C15" s="5" t="inlineStr">
        <is>
          <t>67</t>
        </is>
      </c>
      <c r="D15" s="4" t="inlineStr">
        <is>
          <t>Locale-toggle test on every route</t>
        </is>
      </c>
      <c r="E15" s="4" t="inlineStr">
        <is>
          <t>1. For each route, toggle EN ↔ HI
2. Verify all visible text changes</t>
        </is>
      </c>
      <c r="F15" s="4" t="inlineStr">
        <is>
          <t>0 untranslated strings on HI</t>
        </is>
      </c>
      <c r="G15" s="5" t="inlineStr">
        <is>
          <t>P3</t>
        </is>
      </c>
      <c r="H15" s="5" t="inlineStr">
        <is>
          <t>Major</t>
        </is>
      </c>
      <c r="I15" s="5" t="inlineStr">
        <is>
          <t>Manual</t>
        </is>
      </c>
      <c r="J15" s="4"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8" t="n">
        <v>46159</v>
      </c>
      <c r="O15" t="inlineStr">
        <is>
          <t>Manual — deferred</t>
        </is>
      </c>
      <c r="Q15" t="inlineStr">
        <is>
          <t>—</t>
        </is>
      </c>
      <c r="R15" t="inlineStr">
        <is>
          <t>0%</t>
        </is>
      </c>
    </row>
    <row r="16" ht="30" customHeight="1" s="49">
      <c r="A16" s="6" t="inlineStr">
        <is>
          <t>K-012</t>
        </is>
      </c>
      <c r="B16" s="4" t="inlineStr">
        <is>
          <t>Localization</t>
        </is>
      </c>
      <c r="C16" s="5" t="inlineStr">
        <is>
          <t>67</t>
        </is>
      </c>
      <c r="D16" s="4" t="inlineStr">
        <is>
          <t>Text-expansion on Hindi (UI overflow)</t>
        </is>
      </c>
      <c r="E16" s="4" t="inlineStr">
        <is>
          <t>1. Render every page in HI
2. Verify no truncation</t>
        </is>
      </c>
      <c r="F16" s="4" t="inlineStr">
        <is>
          <t>0 truncated HI labels</t>
        </is>
      </c>
      <c r="G16" s="5" t="inlineStr">
        <is>
          <t>P3</t>
        </is>
      </c>
      <c r="H16" s="5" t="inlineStr">
        <is>
          <t>Major</t>
        </is>
      </c>
      <c r="I16" s="5" t="inlineStr">
        <is>
          <t>Manual</t>
        </is>
      </c>
      <c r="J16" s="4" t="inlineStr">
        <is>
          <t>No automated check today — manual only. — QA-engineer review 2026-05-17: Edge-case coverage by route — deferred to dedicated QA sprint.</t>
        </is>
      </c>
      <c r="K16" t="inlineStr">
        <is>
          <t>1d</t>
        </is>
      </c>
      <c r="L16" t="inlineStr">
        <is>
          <t>QA tester</t>
        </is>
      </c>
      <c r="M16" t="inlineStr">
        <is>
          <t>n/a — manual evaluation</t>
        </is>
      </c>
      <c r="N16" s="68" t="n">
        <v>46159</v>
      </c>
      <c r="O16" t="inlineStr">
        <is>
          <t>Manual — deferred</t>
        </is>
      </c>
      <c r="Q16" t="inlineStr">
        <is>
          <t>—</t>
        </is>
      </c>
      <c r="R16" t="inlineStr">
        <is>
          <t>0%</t>
        </is>
      </c>
    </row>
    <row r="17" ht="34" customHeight="1" s="49">
      <c r="A17" s="6" t="inlineStr">
        <is>
          <t>K-013</t>
        </is>
      </c>
      <c r="B17" s="4" t="inlineStr">
        <is>
          <t>Audio playback</t>
        </is>
      </c>
      <c r="C17" s="5" t="inlineStr">
        <is>
          <t>68</t>
        </is>
      </c>
      <c r="D17" s="4" t="inlineStr">
        <is>
          <t>Per-browser autoplay policy compliance</t>
        </is>
      </c>
      <c r="E17" s="4" t="inlineStr">
        <is>
          <t>1. Test audio playback on Chrome / Safari / Firefox / Edge
2. Verify user-gesture requirement satisfied</t>
        </is>
      </c>
      <c r="F17" s="4" t="inlineStr">
        <is>
          <t>Audio plays after gesture, doesn't autoplay</t>
        </is>
      </c>
      <c r="G17" s="5" t="inlineStr">
        <is>
          <t>P3</t>
        </is>
      </c>
      <c r="H17" s="5" t="inlineStr">
        <is>
          <t>Major</t>
        </is>
      </c>
      <c r="I17" s="5" t="inlineStr">
        <is>
          <t>Manual</t>
        </is>
      </c>
      <c r="J17" s="4"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8" t="n">
        <v>46159</v>
      </c>
      <c r="O17" t="inlineStr">
        <is>
          <t>Manual — deferred</t>
        </is>
      </c>
      <c r="Q17" t="inlineStr">
        <is>
          <t>—</t>
        </is>
      </c>
      <c r="R17" t="inlineStr">
        <is>
          <t>0%</t>
        </is>
      </c>
    </row>
    <row r="18" ht="30" customHeight="1" s="49">
      <c r="A18" s="6" t="inlineStr">
        <is>
          <t>K-014</t>
        </is>
      </c>
      <c r="B18" s="4" t="inlineStr">
        <is>
          <t>Audio playback</t>
        </is>
      </c>
      <c r="C18" s="5" t="inlineStr">
        <is>
          <t>68</t>
        </is>
      </c>
      <c r="D18" s="4" t="inlineStr">
        <is>
          <t>MP3 vs WebM codec fallback</t>
        </is>
      </c>
      <c r="E18" s="4" t="inlineStr">
        <is>
          <t>1. Verify MP3 plays everywhere
2. If WebM is fallback, verify on supporting browsers</t>
        </is>
      </c>
      <c r="F18" s="4" t="inlineStr">
        <is>
          <t>Codec works cross-browser</t>
        </is>
      </c>
      <c r="G18" s="5" t="inlineStr">
        <is>
          <t>P5</t>
        </is>
      </c>
      <c r="H18" s="5" t="inlineStr">
        <is>
          <t>Minor</t>
        </is>
      </c>
      <c r="I18" s="5" t="inlineStr">
        <is>
          <t>Manual</t>
        </is>
      </c>
      <c r="J18" s="4" t="inlineStr">
        <is>
          <t>No automated check today — manual only. — QA-engineer review 2026-05-17: Test-execution-time trending requires CI metrics dashboard.</t>
        </is>
      </c>
      <c r="K18" t="inlineStr">
        <is>
          <t>1d</t>
        </is>
      </c>
      <c r="L18" t="inlineStr">
        <is>
          <t>QA tester</t>
        </is>
      </c>
      <c r="M18" t="inlineStr">
        <is>
          <t>n/a — manual evaluation</t>
        </is>
      </c>
      <c r="N18" s="68" t="n">
        <v>46159</v>
      </c>
      <c r="O18" t="inlineStr">
        <is>
          <t>Manual — deferred</t>
        </is>
      </c>
      <c r="Q18" t="inlineStr">
        <is>
          <t>—</t>
        </is>
      </c>
      <c r="R18" t="inlineStr">
        <is>
          <t>0%</t>
        </is>
      </c>
    </row>
    <row r="19" ht="30" customHeight="1" s="49">
      <c r="A19" s="6" t="inlineStr">
        <is>
          <t>K-015</t>
        </is>
      </c>
      <c r="B19" s="4" t="inlineStr">
        <is>
          <t>Audio playback</t>
        </is>
      </c>
      <c r="C19" s="5" t="inlineStr">
        <is>
          <t>68</t>
        </is>
      </c>
      <c r="D19" s="4" t="inlineStr">
        <is>
          <t>Preload strategy: do audio files preload on hover / proximity?</t>
        </is>
      </c>
      <c r="E19" s="4" t="inlineStr">
        <is>
          <t>1. Inspect &lt;audio preload=...&gt; attrs
2. Verify reasonable preload behavior</t>
        </is>
      </c>
      <c r="F19" s="4" t="inlineStr">
        <is>
          <t>Preload tuned for UX</t>
        </is>
      </c>
      <c r="G19" s="5" t="inlineStr">
        <is>
          <t>P5</t>
        </is>
      </c>
      <c r="H19" s="5" t="inlineStr">
        <is>
          <t>Minor</t>
        </is>
      </c>
      <c r="I19" s="5" t="inlineStr">
        <is>
          <t>Manual</t>
        </is>
      </c>
      <c r="J19" s="4"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8" t="n">
        <v>46159</v>
      </c>
      <c r="O19" t="inlineStr">
        <is>
          <t>Manual — deferred</t>
        </is>
      </c>
      <c r="Q19" t="inlineStr">
        <is>
          <t>—</t>
        </is>
      </c>
      <c r="R19" t="inlineStr">
        <is>
          <t>0%</t>
        </is>
      </c>
    </row>
    <row r="20" ht="116" customHeight="1" s="49">
      <c r="A20" s="30" t="inlineStr">
        <is>
          <t>K-016</t>
        </is>
      </c>
      <c r="B20" s="30" t="inlineStr">
        <is>
          <t>Cross-artifact sync</t>
        </is>
      </c>
      <c r="C20" s="30" t="inlineStr">
        <is>
          <t>65</t>
        </is>
      </c>
      <c r="D20" s="30" t="inlineStr">
        <is>
          <t>Version.json count drift detection (INV-4 / JA-107)</t>
        </is>
      </c>
      <c r="E20" s="30" t="inlineStr">
        <is>
          <t>1. Run `python tools/check_content_integrity.py`
2. Inspect JA-107 status line
3. To regress-test: temporarily edit data/version.json.counts.vocab to a wrong number; re-run
4. Expect FAIL with explicit drift message; revert</t>
        </is>
      </c>
      <c r="F20" s="30"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30" t="inlineStr">
        <is>
          <t>P2</t>
        </is>
      </c>
      <c r="H20" s="30" t="inlineStr">
        <is>
          <t>Major</t>
        </is>
      </c>
      <c r="I20" s="30" t="inlineStr">
        <is>
          <t>Auto</t>
        </is>
      </c>
      <c r="J20" s="30"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30" t="inlineStr">
        <is>
          <t>1h</t>
        </is>
      </c>
      <c r="L20" s="30" t="inlineStr">
        <is>
          <t>QA / build engineer</t>
        </is>
      </c>
      <c r="M20" s="30" t="inlineStr">
        <is>
          <t>tools/check_content_integrity.py, tools/cross_artifact_sync_report.py</t>
        </is>
      </c>
      <c r="N20" s="74" t="n">
        <v>46159</v>
      </c>
      <c r="O20" s="30" t="inlineStr">
        <is>
          <t>Manual — deferred</t>
        </is>
      </c>
      <c r="P20" s="30" t="n"/>
      <c r="Q20" s="30" t="inlineStr">
        <is>
          <t>JA-47, JA-107</t>
        </is>
      </c>
      <c r="R20" s="30" t="inlineStr">
        <is>
          <t>100%</t>
        </is>
      </c>
    </row>
    <row r="21" ht="130.5" customHeight="1" s="49">
      <c r="A21" s="30" t="inlineStr">
        <is>
          <t>K-017</t>
        </is>
      </c>
      <c r="B21" s="30" t="inlineStr">
        <is>
          <t>Cross-artifact sync</t>
        </is>
      </c>
      <c r="C21" s="30" t="inlineStr">
        <is>
          <t>65</t>
        </is>
      </c>
      <c r="D21" s="30" t="inlineStr">
        <is>
          <t>Locale-parity drift detection (INV-5 / JA-108)</t>
        </is>
      </c>
      <c r="E21" s="30" t="inlineStr">
        <is>
          <t>1. Run `python tools/check_content_integrity.py`
2. Inspect JA-108 status line
3. To regress-test: temporarily add a key to locales/en.json that's absent from hi.json; re-run
4. Expect FAIL listing the asymmetric key; revert</t>
        </is>
      </c>
      <c r="F21" s="30"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30" t="inlineStr">
        <is>
          <t>P2</t>
        </is>
      </c>
      <c r="H21" s="30" t="inlineStr">
        <is>
          <t>Major</t>
        </is>
      </c>
      <c r="I21" s="30" t="inlineStr">
        <is>
          <t>Auto</t>
        </is>
      </c>
      <c r="J21" s="30"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30" t="inlineStr">
        <is>
          <t>1h</t>
        </is>
      </c>
      <c r="L21" s="30" t="inlineStr">
        <is>
          <t>QA / locale maintainer</t>
        </is>
      </c>
      <c r="M21" s="30" t="inlineStr">
        <is>
          <t>tools/check_content_integrity.py, tools/cross_artifact_sync_report.py</t>
        </is>
      </c>
      <c r="N21" s="74" t="n">
        <v>46159</v>
      </c>
      <c r="O21" s="30" t="inlineStr">
        <is>
          <t>PASS</t>
        </is>
      </c>
      <c r="P21" s="30" t="n"/>
      <c r="Q21" s="30" t="inlineStr">
        <is>
          <t>JA-108</t>
        </is>
      </c>
      <c r="R21" s="30" t="inlineStr">
        <is>
          <t>100%</t>
        </is>
      </c>
    </row>
    <row r="22" ht="145" customHeight="1" s="49">
      <c r="A22" s="30" t="inlineStr">
        <is>
          <t>K-018</t>
        </is>
      </c>
      <c r="B22" s="30" t="inlineStr">
        <is>
          <t>Cross-artifact sync</t>
        </is>
      </c>
      <c r="C22" s="30" t="inlineStr">
        <is>
          <t>65</t>
        </is>
      </c>
      <c r="D22" s="30" t="inlineStr">
        <is>
          <t>Script-reference drift detection (INV-10 / JA-109)</t>
        </is>
      </c>
      <c r="E22" s="30" t="inlineStr">
        <is>
          <t>1. Run `python tools/check_content_integrity.py`
2. Inspect JA-109 status line
3. To regress-test: rename a script that's referenced in prompts/N5Improvement.txt without updating the reference; re-run
4. Expect FAIL with the doc + path pair; revert</t>
        </is>
      </c>
      <c r="F22" s="30"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30" t="inlineStr">
        <is>
          <t>P3</t>
        </is>
      </c>
      <c r="H22" s="30" t="inlineStr">
        <is>
          <t>Minor</t>
        </is>
      </c>
      <c r="I22" s="30" t="inlineStr">
        <is>
          <t>Auto</t>
        </is>
      </c>
      <c r="J22" s="30"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30" t="inlineStr">
        <is>
          <t>30m</t>
        </is>
      </c>
      <c r="L22" s="30" t="inlineStr">
        <is>
          <t>QA / docs maintainer</t>
        </is>
      </c>
      <c r="M22" s="30" t="inlineStr">
        <is>
          <t>tools/check_content_integrity.py, tools/cross_artifact_sync_report.py</t>
        </is>
      </c>
      <c r="N22" s="74" t="n">
        <v>46159</v>
      </c>
      <c r="O22" s="30" t="inlineStr">
        <is>
          <t>PASS</t>
        </is>
      </c>
      <c r="P22" s="30" t="n"/>
      <c r="Q22" s="30" t="inlineStr">
        <is>
          <t>JA-109</t>
        </is>
      </c>
      <c r="R22" s="30" t="inlineStr">
        <is>
          <t>100%</t>
        </is>
      </c>
    </row>
    <row r="23" ht="116" customHeight="1" s="49">
      <c r="A23" s="32" t="inlineStr">
        <is>
          <t>K-019</t>
        </is>
      </c>
      <c r="B23" s="32" t="inlineStr">
        <is>
          <t>Phase-0 regression block</t>
        </is>
      </c>
      <c r="C23" s="32" t="inlineStr">
        <is>
          <t>65</t>
        </is>
      </c>
      <c r="D23" s="32" t="inlineStr">
        <is>
          <t>N5Improvement Phase-0 regression block: Phase-0 Grammar (run mechanically over all 178 patterns)</t>
        </is>
      </c>
      <c r="E23" s="32" t="inlineStr">
        <is>
          <t>1. Reference: prompts/N5Improvement.txt §'Phase-0 Grammar (run mechanically over all 178 patterns)'
2. Run the Python regression block inline at the start of the audit
3. Expect 0/0/0/... across every check
4. Surface any non-zero count as a candidate bug row</t>
        </is>
      </c>
      <c r="F23" s="32" t="inlineStr">
        <is>
          <t>Every check in the block reports 0 against current corpus snapshot.</t>
        </is>
      </c>
      <c r="G23" s="32" t="inlineStr">
        <is>
          <t>P2</t>
        </is>
      </c>
      <c r="H23" s="32" t="inlineStr">
        <is>
          <t>Major</t>
        </is>
      </c>
      <c r="I23" s="32" t="inlineStr">
        <is>
          <t>Auto</t>
        </is>
      </c>
      <c r="J23" s="32"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2" t="inlineStr">
        <is>
          <t>10m</t>
        </is>
      </c>
      <c r="L23" s="32" t="inlineStr">
        <is>
          <t>Build engineer</t>
        </is>
      </c>
      <c r="M23" s="32" t="inlineStr">
        <is>
          <t>prompts/N5Improvement.txt; tools/check_content_integrity.py</t>
        </is>
      </c>
      <c r="N23" s="70" t="n">
        <v>46159</v>
      </c>
      <c r="O23" s="32" t="inlineStr">
        <is>
          <t>PASS</t>
        </is>
      </c>
      <c r="P23" s="32" t="n"/>
      <c r="Q23" s="32" t="inlineStr">
        <is>
          <t>P0-grammar</t>
        </is>
      </c>
      <c r="R23" s="32" t="inlineStr">
        <is>
          <t>100%</t>
        </is>
      </c>
    </row>
    <row r="24" ht="101.5" customHeight="1" s="49">
      <c r="A24" s="32" t="inlineStr">
        <is>
          <t>K-020</t>
        </is>
      </c>
      <c r="B24" s="32" t="inlineStr">
        <is>
          <t>Phase-0 regression block</t>
        </is>
      </c>
      <c r="C24" s="32" t="inlineStr">
        <is>
          <t>65</t>
        </is>
      </c>
      <c r="D24" s="32" t="inlineStr">
        <is>
          <t>N5Improvement Phase-0 regression block: Phase-0 Vocab (1009 entries)</t>
        </is>
      </c>
      <c r="E24" s="32" t="inlineStr">
        <is>
          <t>1. Reference: prompts/N5Improvement.txt §'Phase-0 Vocab (1009 entries)'
2. Run the Python regression block inline at the start of the audit
3. Expect 0/0/0/... across every check
4. Surface any non-zero count as a candidate bug row</t>
        </is>
      </c>
      <c r="F24" s="32" t="inlineStr">
        <is>
          <t>Every check in the block reports 0 against current corpus snapshot.</t>
        </is>
      </c>
      <c r="G24" s="32" t="inlineStr">
        <is>
          <t>P2</t>
        </is>
      </c>
      <c r="H24" s="32" t="inlineStr">
        <is>
          <t>Major</t>
        </is>
      </c>
      <c r="I24" s="32" t="inlineStr">
        <is>
          <t>Auto</t>
        </is>
      </c>
      <c r="J24" s="32" t="inlineStr">
        <is>
          <t>Cross-Artifact Sync 2026-05-17: per Rule 5 prompt → test-scenario sync. Source: prompts/N5Improvement.txt 'Phase-0 Vocab (1009 entries)' block. Phase-0 blocks are the standing regression checks; CI wires them as JA-NN invariants where applicable.</t>
        </is>
      </c>
      <c r="K24" s="32" t="inlineStr">
        <is>
          <t>10m</t>
        </is>
      </c>
      <c r="L24" s="32" t="inlineStr">
        <is>
          <t>Build engineer</t>
        </is>
      </c>
      <c r="M24" s="32" t="inlineStr">
        <is>
          <t>prompts/N5Improvement.txt; tools/check_content_integrity.py</t>
        </is>
      </c>
      <c r="N24" s="70" t="n">
        <v>46159</v>
      </c>
      <c r="O24" s="32" t="inlineStr">
        <is>
          <t>PASS</t>
        </is>
      </c>
      <c r="P24" s="32" t="n"/>
      <c r="Q24" s="32" t="inlineStr">
        <is>
          <t>P0-vocab</t>
        </is>
      </c>
      <c r="R24" s="32" t="inlineStr">
        <is>
          <t>100%</t>
        </is>
      </c>
    </row>
    <row r="25" ht="101.5" customHeight="1" s="49">
      <c r="A25" s="32" t="inlineStr">
        <is>
          <t>K-021</t>
        </is>
      </c>
      <c r="B25" s="32" t="inlineStr">
        <is>
          <t>Phase-0 regression block</t>
        </is>
      </c>
      <c r="C25" s="32" t="inlineStr">
        <is>
          <t>65</t>
        </is>
      </c>
      <c r="D25" s="32" t="inlineStr">
        <is>
          <t>N5Improvement Phase-0 regression block: Phase-0 Kanji (106 entries)</t>
        </is>
      </c>
      <c r="E25" s="32" t="inlineStr">
        <is>
          <t>1. Reference: prompts/N5Improvement.txt §'Phase-0 Kanji (106 entries)'
2. Run the Python regression block inline at the start of the audit
3. Expect 0/0/0/... across every check
4. Surface any non-zero count as a candidate bug row</t>
        </is>
      </c>
      <c r="F25" s="32" t="inlineStr">
        <is>
          <t>Every check in the block reports 0 against current corpus snapshot.</t>
        </is>
      </c>
      <c r="G25" s="32" t="inlineStr">
        <is>
          <t>P2</t>
        </is>
      </c>
      <c r="H25" s="32" t="inlineStr">
        <is>
          <t>Major</t>
        </is>
      </c>
      <c r="I25" s="32" t="inlineStr">
        <is>
          <t>Auto</t>
        </is>
      </c>
      <c r="J25" s="32" t="inlineStr">
        <is>
          <t>Cross-Artifact Sync 2026-05-17: per Rule 5 prompt → test-scenario sync. Source: prompts/N5Improvement.txt 'Phase-0 Kanji (106 entries)' block. Phase-0 blocks are the standing regression checks; CI wires them as JA-NN invariants where applicable.</t>
        </is>
      </c>
      <c r="K25" s="32" t="inlineStr">
        <is>
          <t>10m</t>
        </is>
      </c>
      <c r="L25" s="32" t="inlineStr">
        <is>
          <t>Build engineer</t>
        </is>
      </c>
      <c r="M25" s="32" t="inlineStr">
        <is>
          <t>prompts/N5Improvement.txt; tools/check_content_integrity.py</t>
        </is>
      </c>
      <c r="N25" s="70" t="n">
        <v>46159</v>
      </c>
      <c r="O25" s="32" t="inlineStr">
        <is>
          <t>PASS</t>
        </is>
      </c>
      <c r="P25" s="32" t="n"/>
      <c r="Q25" s="32" t="inlineStr">
        <is>
          <t>P0-kanji</t>
        </is>
      </c>
      <c r="R25" s="32" t="inlineStr">
        <is>
          <t>100%</t>
        </is>
      </c>
    </row>
    <row r="26" ht="116" customHeight="1" s="49">
      <c r="A26" s="32" t="inlineStr">
        <is>
          <t>K-022</t>
        </is>
      </c>
      <c r="B26" s="32" t="inlineStr">
        <is>
          <t>Phase-0 regression block</t>
        </is>
      </c>
      <c r="C26" s="32" t="inlineStr">
        <is>
          <t>65</t>
        </is>
      </c>
      <c r="D26" s="32" t="inlineStr">
        <is>
          <t>N5Improvement Phase-0 regression block: Phase-0 Reading (54 passages)</t>
        </is>
      </c>
      <c r="E26" s="32" t="inlineStr">
        <is>
          <t>1. Reference: prompts/N5Improvement.txt §'Phase-0 Reading (54 passages)'
2. Run the Python regression block inline at the start of the audit
3. Expect 0/0/0/... across every check
4. Surface any non-zero count as a candidate bug row</t>
        </is>
      </c>
      <c r="F26" s="32" t="inlineStr">
        <is>
          <t>Every check in the block reports 0 against current corpus snapshot.</t>
        </is>
      </c>
      <c r="G26" s="32" t="inlineStr">
        <is>
          <t>P2</t>
        </is>
      </c>
      <c r="H26" s="32" t="inlineStr">
        <is>
          <t>Major</t>
        </is>
      </c>
      <c r="I26" s="32" t="inlineStr">
        <is>
          <t>Auto</t>
        </is>
      </c>
      <c r="J26" s="32" t="inlineStr">
        <is>
          <t>Cross-Artifact Sync 2026-05-17: per Rule 5 prompt → test-scenario sync. Source: prompts/N5Improvement.txt 'Phase-0 Reading (54 passages)' block. Phase-0 blocks are the standing regression checks; CI wires them as JA-NN invariants where applicable.</t>
        </is>
      </c>
      <c r="K26" s="32" t="inlineStr">
        <is>
          <t>10m</t>
        </is>
      </c>
      <c r="L26" s="32" t="inlineStr">
        <is>
          <t>Build engineer</t>
        </is>
      </c>
      <c r="M26" s="32" t="inlineStr">
        <is>
          <t>prompts/N5Improvement.txt; tools/check_content_integrity.py</t>
        </is>
      </c>
      <c r="N26" s="70" t="n">
        <v>46159</v>
      </c>
      <c r="O26" s="32" t="inlineStr">
        <is>
          <t>PASS</t>
        </is>
      </c>
      <c r="P26" s="32" t="n"/>
      <c r="Q26" s="32" t="inlineStr">
        <is>
          <t>P0-reading</t>
        </is>
      </c>
      <c r="R26" s="32" t="inlineStr">
        <is>
          <t>100%</t>
        </is>
      </c>
    </row>
    <row r="27" ht="101.5" customHeight="1" s="49">
      <c r="A27" s="32" t="inlineStr">
        <is>
          <t>K-023</t>
        </is>
      </c>
      <c r="B27" s="32" t="inlineStr">
        <is>
          <t>Phase-0 regression block</t>
        </is>
      </c>
      <c r="C27" s="32" t="inlineStr">
        <is>
          <t>65</t>
        </is>
      </c>
      <c r="D27" s="32" t="inlineStr">
        <is>
          <t>N5Improvement Phase-0 regression block: Phase-0 Listening (50 items)</t>
        </is>
      </c>
      <c r="E27" s="32" t="inlineStr">
        <is>
          <t>1. Reference: prompts/N5Improvement.txt §'Phase-0 Listening (50 items)'
2. Run the Python regression block inline at the start of the audit
3. Expect 0/0/0/... across every check
4. Surface any non-zero count as a candidate bug row</t>
        </is>
      </c>
      <c r="F27" s="32" t="inlineStr">
        <is>
          <t>Every check in the block reports 0 against current corpus snapshot.</t>
        </is>
      </c>
      <c r="G27" s="32" t="inlineStr">
        <is>
          <t>P2</t>
        </is>
      </c>
      <c r="H27" s="32" t="inlineStr">
        <is>
          <t>Major</t>
        </is>
      </c>
      <c r="I27" s="32" t="inlineStr">
        <is>
          <t>Auto</t>
        </is>
      </c>
      <c r="J27" s="32" t="inlineStr">
        <is>
          <t>Cross-Artifact Sync 2026-05-17: per Rule 5 prompt → test-scenario sync. Source: prompts/N5Improvement.txt 'Phase-0 Listening (50 items)' block. Phase-0 blocks are the standing regression checks; CI wires them as JA-NN invariants where applicable.</t>
        </is>
      </c>
      <c r="K27" s="32" t="inlineStr">
        <is>
          <t>10m</t>
        </is>
      </c>
      <c r="L27" s="32" t="inlineStr">
        <is>
          <t>Build engineer</t>
        </is>
      </c>
      <c r="M27" s="32" t="inlineStr">
        <is>
          <t>prompts/N5Improvement.txt; tools/check_content_integrity.py</t>
        </is>
      </c>
      <c r="N27" s="70" t="n">
        <v>46159</v>
      </c>
      <c r="O27" s="32" t="inlineStr">
        <is>
          <t>PASS</t>
        </is>
      </c>
      <c r="P27" s="32" t="n"/>
      <c r="Q27" s="32" t="inlineStr">
        <is>
          <t>P0-listening</t>
        </is>
      </c>
      <c r="R27" s="32" t="inlineStr">
        <is>
          <t>100%</t>
        </is>
      </c>
    </row>
    <row r="28" ht="116" customHeight="1" s="49">
      <c r="A28" s="32" t="inlineStr">
        <is>
          <t>K-024</t>
        </is>
      </c>
      <c r="B28" s="32" t="inlineStr">
        <is>
          <t>Phase-0 regression block</t>
        </is>
      </c>
      <c r="C28" s="32" t="inlineStr">
        <is>
          <t>65</t>
        </is>
      </c>
      <c r="D28" s="32" t="inlineStr">
        <is>
          <t>N5Improvement Phase-0 regression block: Phase-0 Density (interconnection — Sections 4 / Density-1..10)</t>
        </is>
      </c>
      <c r="E28" s="32" t="inlineStr">
        <is>
          <t>1. Reference: prompts/N5Improvement.txt §'Phase-0 Density (interconnection — Sections 4 / Density-1..10)'
2. Run the Python regression block inline at the start of the audit
3. Expect 0/0/0/... across every check
4. Surface any non-zero count as a candidate bug row</t>
        </is>
      </c>
      <c r="F28" s="32" t="inlineStr">
        <is>
          <t>Every check in the block reports 0 against current corpus snapshot.</t>
        </is>
      </c>
      <c r="G28" s="32" t="inlineStr">
        <is>
          <t>P2</t>
        </is>
      </c>
      <c r="H28" s="32" t="inlineStr">
        <is>
          <t>Major</t>
        </is>
      </c>
      <c r="I28" s="32" t="inlineStr">
        <is>
          <t>Auto</t>
        </is>
      </c>
      <c r="J28" s="32"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2" t="inlineStr">
        <is>
          <t>10m</t>
        </is>
      </c>
      <c r="L28" s="32" t="inlineStr">
        <is>
          <t>Build engineer</t>
        </is>
      </c>
      <c r="M28" s="32" t="inlineStr">
        <is>
          <t>prompts/N5Improvement.txt; tools/check_content_integrity.py</t>
        </is>
      </c>
      <c r="N28" s="70" t="n">
        <v>46159</v>
      </c>
      <c r="O28" s="32" t="inlineStr">
        <is>
          <t>PASS</t>
        </is>
      </c>
      <c r="P28" s="32" t="n"/>
      <c r="Q28" s="32" t="inlineStr">
        <is>
          <t>P0-density</t>
        </is>
      </c>
      <c r="R28" s="32" t="inlineStr">
        <is>
          <t>100%</t>
        </is>
      </c>
    </row>
    <row r="29" ht="116" customHeight="1" s="49">
      <c r="A29" s="32" t="inlineStr">
        <is>
          <t>K-025</t>
        </is>
      </c>
      <c r="B29" s="32" t="inlineStr">
        <is>
          <t>Phase-0 regression block</t>
        </is>
      </c>
      <c r="C29" s="32" t="inlineStr">
        <is>
          <t>65</t>
        </is>
      </c>
      <c r="D29" s="32" t="inlineStr">
        <is>
          <t>N5Improvement Phase-0 regression block: Phase-0 Kanji content gaps (added 2026-05-15)</t>
        </is>
      </c>
      <c r="E29" s="32" t="inlineStr">
        <is>
          <t>1. Reference: prompts/N5Improvement.txt §'Phase-0 Kanji content gaps (added 2026-05-15)'
2. Run the Python regression block inline at the start of the audit
3. Expect 0/0/0/... across every check
4. Surface any non-zero count as a candidate bug row</t>
        </is>
      </c>
      <c r="F29" s="32" t="inlineStr">
        <is>
          <t>Every check in the block reports 0 against current corpus snapshot.</t>
        </is>
      </c>
      <c r="G29" s="32" t="inlineStr">
        <is>
          <t>P2</t>
        </is>
      </c>
      <c r="H29" s="32" t="inlineStr">
        <is>
          <t>Major</t>
        </is>
      </c>
      <c r="I29" s="32" t="inlineStr">
        <is>
          <t>Auto</t>
        </is>
      </c>
      <c r="J29" s="32" t="inlineStr">
        <is>
          <t>Cross-Artifact Sync 2026-05-17: per Rule 5 prompt → test-scenario sync. Source: prompts/N5Improvement.txt 'Phase-0 Kanji content gaps (added 2026-05-15)' block. Phase-0 blocks are the standing regression checks; CI wires them as JA-NN invariants where applicable.</t>
        </is>
      </c>
      <c r="K29" s="32" t="inlineStr">
        <is>
          <t>10m</t>
        </is>
      </c>
      <c r="L29" s="32" t="inlineStr">
        <is>
          <t>Build engineer</t>
        </is>
      </c>
      <c r="M29" s="32" t="inlineStr">
        <is>
          <t>prompts/N5Improvement.txt; tools/check_content_integrity.py</t>
        </is>
      </c>
      <c r="N29" s="70" t="n">
        <v>46159</v>
      </c>
      <c r="O29" s="32" t="inlineStr">
        <is>
          <t>PASS</t>
        </is>
      </c>
      <c r="P29" s="32" t="n"/>
      <c r="Q29" s="32" t="inlineStr">
        <is>
          <t>P0-kanji-gaps</t>
        </is>
      </c>
      <c r="R29" s="32" t="inlineStr">
        <is>
          <t>100%</t>
        </is>
      </c>
    </row>
    <row r="30" ht="116" customHeight="1" s="49">
      <c r="A30" s="32" t="inlineStr">
        <is>
          <t>K-026</t>
        </is>
      </c>
      <c r="B30" s="32" t="inlineStr">
        <is>
          <t>Phase-0 regression block</t>
        </is>
      </c>
      <c r="C30" s="32" t="inlineStr">
        <is>
          <t>65</t>
        </is>
      </c>
      <c r="D30" s="32" t="inlineStr">
        <is>
          <t>N5Improvement Phase-0 regression block: Phase-0 Dokkai / reading locale parity (added 2026-05-15)</t>
        </is>
      </c>
      <c r="E30" s="32" t="inlineStr">
        <is>
          <t>1. Reference: prompts/N5Improvement.txt §'Phase-0 Dokkai / reading locale parity (added 2026-05-15)'
2. Run the Python regression block inline at the start of the audit
3. Expect 0/0/0/... across every check
4. Surface any non-zero count as a candidate bug row</t>
        </is>
      </c>
      <c r="F30" s="32" t="inlineStr">
        <is>
          <t>Every check in the block reports 0 against current corpus snapshot.</t>
        </is>
      </c>
      <c r="G30" s="32" t="inlineStr">
        <is>
          <t>P2</t>
        </is>
      </c>
      <c r="H30" s="32" t="inlineStr">
        <is>
          <t>Major</t>
        </is>
      </c>
      <c r="I30" s="32" t="inlineStr">
        <is>
          <t>Auto</t>
        </is>
      </c>
      <c r="J30" s="32"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2" t="inlineStr">
        <is>
          <t>10m</t>
        </is>
      </c>
      <c r="L30" s="32" t="inlineStr">
        <is>
          <t>Build engineer</t>
        </is>
      </c>
      <c r="M30" s="32" t="inlineStr">
        <is>
          <t>prompts/N5Improvement.txt; tools/check_content_integrity.py</t>
        </is>
      </c>
      <c r="N30" s="70" t="n">
        <v>46159</v>
      </c>
      <c r="O30" s="32" t="inlineStr">
        <is>
          <t>PASS</t>
        </is>
      </c>
      <c r="P30" s="32" t="n"/>
      <c r="Q30" s="32" t="inlineStr">
        <is>
          <t>P0-dokkai-locale</t>
        </is>
      </c>
      <c r="R30" s="32" t="inlineStr">
        <is>
          <t>100%</t>
        </is>
      </c>
    </row>
    <row r="31" ht="116" customHeight="1" s="49">
      <c r="A31" s="32" t="inlineStr">
        <is>
          <t>K-027</t>
        </is>
      </c>
      <c r="B31" s="32" t="inlineStr">
        <is>
          <t>Phase-0 regression block</t>
        </is>
      </c>
      <c r="C31" s="32" t="inlineStr">
        <is>
          <t>65</t>
        </is>
      </c>
      <c r="D31" s="32" t="inlineStr">
        <is>
          <t>N5Improvement Phase-0 regression block: Phase-0 Authentic + Questions locale (added 2026-05-15)</t>
        </is>
      </c>
      <c r="E31" s="32" t="inlineStr">
        <is>
          <t>1. Reference: prompts/N5Improvement.txt §'Phase-0 Authentic + Questions locale (added 2026-05-15)'
2. Run the Python regression block inline at the start of the audit
3. Expect 0/0/0/... across every check
4. Surface any non-zero count as a candidate bug row</t>
        </is>
      </c>
      <c r="F31" s="32" t="inlineStr">
        <is>
          <t>Every check in the block reports 0 against current corpus snapshot.</t>
        </is>
      </c>
      <c r="G31" s="32" t="inlineStr">
        <is>
          <t>P2</t>
        </is>
      </c>
      <c r="H31" s="32" t="inlineStr">
        <is>
          <t>Major</t>
        </is>
      </c>
      <c r="I31" s="32" t="inlineStr">
        <is>
          <t>Auto</t>
        </is>
      </c>
      <c r="J31" s="32"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2" t="inlineStr">
        <is>
          <t>10m</t>
        </is>
      </c>
      <c r="L31" s="32" t="inlineStr">
        <is>
          <t>Build engineer</t>
        </is>
      </c>
      <c r="M31" s="32" t="inlineStr">
        <is>
          <t>prompts/N5Improvement.txt; tools/check_content_integrity.py</t>
        </is>
      </c>
      <c r="N31" s="70" t="n">
        <v>46159</v>
      </c>
      <c r="O31" s="32" t="inlineStr">
        <is>
          <t>PASS</t>
        </is>
      </c>
      <c r="P31" s="32" t="n"/>
      <c r="Q31" s="32" t="inlineStr">
        <is>
          <t>P0-auth-locale</t>
        </is>
      </c>
      <c r="R31" s="32" t="inlineStr">
        <is>
          <t>100%</t>
        </is>
      </c>
    </row>
    <row r="32" ht="116" customHeight="1" s="49">
      <c r="A32" s="32" t="inlineStr">
        <is>
          <t>K-028</t>
        </is>
      </c>
      <c r="B32" s="32" t="inlineStr">
        <is>
          <t>Phase-0 regression block</t>
        </is>
      </c>
      <c r="C32" s="32" t="inlineStr">
        <is>
          <t>65</t>
        </is>
      </c>
      <c r="D32" s="32" t="inlineStr">
        <is>
          <t>N5Improvement Phase-0 regression block: Phase-0 Cross-corpus consistency (added 2026-05-15 wave-1)</t>
        </is>
      </c>
      <c r="E32" s="32" t="inlineStr">
        <is>
          <t>1. Reference: prompts/N5Improvement.txt §'Phase-0 Cross-corpus consistency (added 2026-05-15 wave-1)'
2. Run the Python regression block inline at the start of the audit
3. Expect 0/0/0/... across every check
4. Surface any non-zero count as a candidate bug row</t>
        </is>
      </c>
      <c r="F32" s="32" t="inlineStr">
        <is>
          <t>Every check in the block reports 0 against current corpus snapshot.</t>
        </is>
      </c>
      <c r="G32" s="32" t="inlineStr">
        <is>
          <t>P2</t>
        </is>
      </c>
      <c r="H32" s="32" t="inlineStr">
        <is>
          <t>Major</t>
        </is>
      </c>
      <c r="I32" s="32" t="inlineStr">
        <is>
          <t>Auto</t>
        </is>
      </c>
      <c r="J32" s="32"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2" t="inlineStr">
        <is>
          <t>10m</t>
        </is>
      </c>
      <c r="L32" s="32" t="inlineStr">
        <is>
          <t>Build engineer</t>
        </is>
      </c>
      <c r="M32" s="32" t="inlineStr">
        <is>
          <t>prompts/N5Improvement.txt; tools/check_content_integrity.py</t>
        </is>
      </c>
      <c r="N32" s="70" t="n">
        <v>46159</v>
      </c>
      <c r="O32" s="32" t="inlineStr">
        <is>
          <t>PASS</t>
        </is>
      </c>
      <c r="P32" s="32" t="n"/>
      <c r="Q32" s="32" t="inlineStr">
        <is>
          <t>P0-xcorpus</t>
        </is>
      </c>
      <c r="R32" s="32" t="inlineStr">
        <is>
          <t>100%</t>
        </is>
      </c>
    </row>
    <row r="33" ht="130.5" customHeight="1" s="49">
      <c r="A33" s="32" t="inlineStr">
        <is>
          <t>K-029</t>
        </is>
      </c>
      <c r="B33" s="32" t="inlineStr">
        <is>
          <t>Phase-0 regression block</t>
        </is>
      </c>
      <c r="C33" s="32" t="inlineStr">
        <is>
          <t>65</t>
        </is>
      </c>
      <c r="D33" s="32" t="inlineStr">
        <is>
          <t>N5Improvement Phase-0 regression block: Phase-0 Particle-precision L2-error scan (added 2026-05-15 wave-2)</t>
        </is>
      </c>
      <c r="E33" s="32" t="inlineStr">
        <is>
          <t>1. Reference: prompts/N5Improvement.txt §'Phase-0 Particle-precision L2-error scan (added 2026-05-15 wave-2)'
2. Run the Python regression block inline at the start of the audit
3. Expect 0/0/0/... across every check
4. Surface any non-zero count as a candidate bug row</t>
        </is>
      </c>
      <c r="F33" s="32" t="inlineStr">
        <is>
          <t>Every check in the block reports 0 against current corpus snapshot.</t>
        </is>
      </c>
      <c r="G33" s="32" t="inlineStr">
        <is>
          <t>P2</t>
        </is>
      </c>
      <c r="H33" s="32" t="inlineStr">
        <is>
          <t>Major</t>
        </is>
      </c>
      <c r="I33" s="32" t="inlineStr">
        <is>
          <t>Auto</t>
        </is>
      </c>
      <c r="J33" s="32"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2" t="inlineStr">
        <is>
          <t>10m</t>
        </is>
      </c>
      <c r="L33" s="32" t="inlineStr">
        <is>
          <t>Build engineer</t>
        </is>
      </c>
      <c r="M33" s="32" t="inlineStr">
        <is>
          <t>prompts/N5Improvement.txt; tools/check_content_integrity.py</t>
        </is>
      </c>
      <c r="N33" s="70" t="n">
        <v>46159</v>
      </c>
      <c r="O33" s="32" t="inlineStr">
        <is>
          <t>PASS</t>
        </is>
      </c>
      <c r="P33" s="32" t="n"/>
      <c r="Q33" s="32" t="inlineStr">
        <is>
          <t>P0-particle</t>
        </is>
      </c>
      <c r="R33" s="32" t="inlineStr">
        <is>
          <t>100%</t>
        </is>
      </c>
    </row>
    <row r="34" ht="116" customHeight="1" s="49">
      <c r="A34" s="32" t="inlineStr">
        <is>
          <t>K-030</t>
        </is>
      </c>
      <c r="B34" s="32" t="inlineStr">
        <is>
          <t>Phase-0 regression block</t>
        </is>
      </c>
      <c r="C34" s="32" t="inlineStr">
        <is>
          <t>65</t>
        </is>
      </c>
      <c r="D34" s="32" t="inlineStr">
        <is>
          <t>N5Improvement Phase-0 regression block: Phase-0 Audit-doc writing-discipline scan (added 2026-05-15)</t>
        </is>
      </c>
      <c r="E34" s="32" t="inlineStr">
        <is>
          <t>1. Reference: prompts/N5Improvement.txt §'Phase-0 Audit-doc writing-discipline scan (added 2026-05-15)'
2. Run the Python regression block inline at the start of the audit
3. Expect 0/0/0/... across every check
4. Surface any non-zero count as a candidate bug row</t>
        </is>
      </c>
      <c r="F34" s="32" t="inlineStr">
        <is>
          <t>Every check in the block reports 0 against current corpus snapshot.</t>
        </is>
      </c>
      <c r="G34" s="32" t="inlineStr">
        <is>
          <t>P2</t>
        </is>
      </c>
      <c r="H34" s="32" t="inlineStr">
        <is>
          <t>Major</t>
        </is>
      </c>
      <c r="I34" s="32" t="inlineStr">
        <is>
          <t>Auto</t>
        </is>
      </c>
      <c r="J34" s="32"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2" t="inlineStr">
        <is>
          <t>10m</t>
        </is>
      </c>
      <c r="L34" s="32" t="inlineStr">
        <is>
          <t>Build engineer</t>
        </is>
      </c>
      <c r="M34" s="32" t="inlineStr">
        <is>
          <t>prompts/N5Improvement.txt; tools/check_content_integrity.py</t>
        </is>
      </c>
      <c r="N34" s="70" t="n">
        <v>46159</v>
      </c>
      <c r="O34" s="32" t="inlineStr">
        <is>
          <t>PASS</t>
        </is>
      </c>
      <c r="P34" s="32" t="n"/>
      <c r="Q34" s="32" t="inlineStr">
        <is>
          <t>P0-writing-discipline</t>
        </is>
      </c>
      <c r="R34" s="32" t="inlineStr">
        <is>
          <t>100%</t>
        </is>
      </c>
    </row>
    <row r="35" ht="130.5" customHeight="1" s="49">
      <c r="A35" s="32" t="inlineStr">
        <is>
          <t>K-031</t>
        </is>
      </c>
      <c r="B35" s="32" t="inlineStr">
        <is>
          <t>Phase-0 regression block</t>
        </is>
      </c>
      <c r="C35" s="32" t="inlineStr">
        <is>
          <t>65</t>
        </is>
      </c>
      <c r="D35" s="32" t="inlineStr">
        <is>
          <t>N5Improvement Phase-0 regression block: Phase-0 Native-teacher bug-class regression block (added 2026-05-16)</t>
        </is>
      </c>
      <c r="E35" s="32" t="inlineStr">
        <is>
          <t>1. Reference: prompts/N5Improvement.txt §'Phase-0 Native-teacher bug-class regression block (added 2026-05-16)'
2. Run the Python regression block inline at the start of the audit
3. Expect 0/0/0/... across every check
4. Surface any non-zero count as a candidate bug row</t>
        </is>
      </c>
      <c r="F35" s="32" t="inlineStr">
        <is>
          <t>Every check in the block reports 0 against current corpus snapshot.</t>
        </is>
      </c>
      <c r="G35" s="32" t="inlineStr">
        <is>
          <t>P2</t>
        </is>
      </c>
      <c r="H35" s="32" t="inlineStr">
        <is>
          <t>Major</t>
        </is>
      </c>
      <c r="I35" s="32" t="inlineStr">
        <is>
          <t>Auto</t>
        </is>
      </c>
      <c r="J35" s="32"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2" t="inlineStr">
        <is>
          <t>10m</t>
        </is>
      </c>
      <c r="L35" s="32" t="inlineStr">
        <is>
          <t>Build engineer</t>
        </is>
      </c>
      <c r="M35" s="32" t="inlineStr">
        <is>
          <t>prompts/N5Improvement.txt; tools/check_content_integrity.py</t>
        </is>
      </c>
      <c r="N35" s="70" t="n">
        <v>46159</v>
      </c>
      <c r="O35" s="32" t="inlineStr">
        <is>
          <t>PASS</t>
        </is>
      </c>
      <c r="P35" s="32" t="n"/>
      <c r="Q35" s="32" t="inlineStr">
        <is>
          <t>P0-native-teacher</t>
        </is>
      </c>
      <c r="R35" s="32" t="inlineStr">
        <is>
          <t>100%</t>
        </is>
      </c>
    </row>
    <row r="36" ht="130.5" customHeight="1" s="49">
      <c r="A36" s="32" t="inlineStr">
        <is>
          <t>K-032</t>
        </is>
      </c>
      <c r="B36" s="32" t="inlineStr">
        <is>
          <t>Phase-0 regression block</t>
        </is>
      </c>
      <c r="C36" s="32" t="inlineStr">
        <is>
          <t>65</t>
        </is>
      </c>
      <c r="D36" s="32" t="inlineStr">
        <is>
          <t>N5Improvement Phase-0 regression block: Phase-0 Provenance-label disambiguation regression block (added 2026-05-16)</t>
        </is>
      </c>
      <c r="E36" s="32"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2" t="inlineStr">
        <is>
          <t>Every check in the block reports 0 against current corpus snapshot.</t>
        </is>
      </c>
      <c r="G36" s="32" t="inlineStr">
        <is>
          <t>P2</t>
        </is>
      </c>
      <c r="H36" s="32" t="inlineStr">
        <is>
          <t>Major</t>
        </is>
      </c>
      <c r="I36" s="32" t="inlineStr">
        <is>
          <t>Auto</t>
        </is>
      </c>
      <c r="J36" s="32"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2" t="inlineStr">
        <is>
          <t>10m</t>
        </is>
      </c>
      <c r="L36" s="32" t="inlineStr">
        <is>
          <t>Build engineer</t>
        </is>
      </c>
      <c r="M36" s="32" t="inlineStr">
        <is>
          <t>prompts/N5Improvement.txt; tools/check_content_integrity.py</t>
        </is>
      </c>
      <c r="N36" s="70" t="n">
        <v>46159</v>
      </c>
      <c r="O36" s="32" t="inlineStr">
        <is>
          <t>PASS</t>
        </is>
      </c>
      <c r="P36" s="32" t="n"/>
      <c r="Q36" s="32" t="inlineStr">
        <is>
          <t>P0-provenance</t>
        </is>
      </c>
      <c r="R36" s="32" t="inlineStr">
        <is>
          <t>100%</t>
        </is>
      </c>
    </row>
    <row r="37" ht="130.5" customHeight="1" s="49">
      <c r="A37" s="32" t="inlineStr">
        <is>
          <t>K-033</t>
        </is>
      </c>
      <c r="B37" s="32" t="inlineStr">
        <is>
          <t>Phase-0 regression block</t>
        </is>
      </c>
      <c r="C37" s="32" t="inlineStr">
        <is>
          <t>65</t>
        </is>
      </c>
      <c r="D37" s="32" t="inlineStr">
        <is>
          <t>N5Improvement Phase-0 regression block: Phase-0 Register-variant kind-flag regression block (added 2026-05-16)</t>
        </is>
      </c>
      <c r="E37" s="32"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2" t="inlineStr">
        <is>
          <t>Every check in the block reports 0 against current corpus snapshot.</t>
        </is>
      </c>
      <c r="G37" s="32" t="inlineStr">
        <is>
          <t>P2</t>
        </is>
      </c>
      <c r="H37" s="32" t="inlineStr">
        <is>
          <t>Major</t>
        </is>
      </c>
      <c r="I37" s="32" t="inlineStr">
        <is>
          <t>Auto</t>
        </is>
      </c>
      <c r="J37" s="32"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2" t="inlineStr">
        <is>
          <t>10m</t>
        </is>
      </c>
      <c r="L37" s="32" t="inlineStr">
        <is>
          <t>Build engineer</t>
        </is>
      </c>
      <c r="M37" s="32" t="inlineStr">
        <is>
          <t>prompts/N5Improvement.txt; tools/check_content_integrity.py</t>
        </is>
      </c>
      <c r="N37" s="70" t="n">
        <v>46159</v>
      </c>
      <c r="O37" s="32" t="inlineStr">
        <is>
          <t>PASS</t>
        </is>
      </c>
      <c r="P37" s="32" t="n"/>
      <c r="Q37" s="32" t="inlineStr">
        <is>
          <t>P0-register-variant</t>
        </is>
      </c>
      <c r="R37" s="32" t="inlineStr">
        <is>
          <t>100%</t>
        </is>
      </c>
    </row>
    <row r="38" ht="130.5" customHeight="1" s="49">
      <c r="A38" s="32" t="inlineStr">
        <is>
          <t>K-034</t>
        </is>
      </c>
      <c r="B38" s="32" t="inlineStr">
        <is>
          <t>Phase-0 regression block</t>
        </is>
      </c>
      <c r="C38" s="32" t="inlineStr">
        <is>
          <t>65</t>
        </is>
      </c>
      <c r="D38" s="32" t="inlineStr">
        <is>
          <t>N5Improvement Phase-0 regression block: Phase-0 Static-mirror coverage regression block (added 2026-05-16)</t>
        </is>
      </c>
      <c r="E38" s="32" t="inlineStr">
        <is>
          <t>1. Reference: prompts/N5Improvement.txt §'Phase-0 Static-mirror coverage regression block (added 2026-05-16)'
2. Run the Python regression block inline at the start of the audit
3. Expect 0/0/0/... across every check
4. Surface any non-zero count as a candidate bug row</t>
        </is>
      </c>
      <c r="F38" s="32" t="inlineStr">
        <is>
          <t>Every check in the block reports 0 against current corpus snapshot.</t>
        </is>
      </c>
      <c r="G38" s="32" t="inlineStr">
        <is>
          <t>P2</t>
        </is>
      </c>
      <c r="H38" s="32" t="inlineStr">
        <is>
          <t>Major</t>
        </is>
      </c>
      <c r="I38" s="32" t="inlineStr">
        <is>
          <t>Auto</t>
        </is>
      </c>
      <c r="J38" s="32"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2" t="inlineStr">
        <is>
          <t>10m</t>
        </is>
      </c>
      <c r="L38" s="32" t="inlineStr">
        <is>
          <t>Build engineer</t>
        </is>
      </c>
      <c r="M38" s="32" t="inlineStr">
        <is>
          <t>prompts/N5Improvement.txt; tools/check_content_integrity.py</t>
        </is>
      </c>
      <c r="N38" s="70" t="n">
        <v>46159</v>
      </c>
      <c r="O38" s="32" t="inlineStr">
        <is>
          <t>PASS</t>
        </is>
      </c>
      <c r="P38" s="32" t="n"/>
      <c r="Q38" s="32" t="inlineStr">
        <is>
          <t>P0-static-mirror</t>
        </is>
      </c>
      <c r="R38" s="32" t="inlineStr">
        <is>
          <t>100%</t>
        </is>
      </c>
    </row>
    <row r="39" ht="130.5" customHeight="1" s="49">
      <c r="A39" s="32" t="inlineStr">
        <is>
          <t>K-035</t>
        </is>
      </c>
      <c r="B39" s="32" t="inlineStr">
        <is>
          <t>Phase-0 regression block</t>
        </is>
      </c>
      <c r="C39" s="32" t="inlineStr">
        <is>
          <t>65</t>
        </is>
      </c>
      <c r="D39" s="32" t="inlineStr">
        <is>
          <t>N5Improvement Phase-0 regression block: Phase-0 Reading.json batch-drift regression block (added 2026-05-17)</t>
        </is>
      </c>
      <c r="E39" s="32" t="inlineStr">
        <is>
          <t>1. Reference: prompts/N5Improvement.txt §'Phase-0 Reading.json batch-drift regression block (added 2026-05-17)'
2. Run the Python regression block inline at the start of the audit
3. Expect 0/0/0/... across every check
4. Surface any non-zero count as a candidate bug row</t>
        </is>
      </c>
      <c r="F39" s="32" t="inlineStr">
        <is>
          <t>Every check in the block reports 0 against current corpus snapshot.</t>
        </is>
      </c>
      <c r="G39" s="32" t="inlineStr">
        <is>
          <t>P2</t>
        </is>
      </c>
      <c r="H39" s="32" t="inlineStr">
        <is>
          <t>Major</t>
        </is>
      </c>
      <c r="I39" s="32" t="inlineStr">
        <is>
          <t>Auto</t>
        </is>
      </c>
      <c r="J39" s="32"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2" t="inlineStr">
        <is>
          <t>10m</t>
        </is>
      </c>
      <c r="L39" s="32" t="inlineStr">
        <is>
          <t>Build engineer</t>
        </is>
      </c>
      <c r="M39" s="32" t="inlineStr">
        <is>
          <t>prompts/N5Improvement.txt; tools/check_content_integrity.py</t>
        </is>
      </c>
      <c r="N39" s="70" t="n">
        <v>46159</v>
      </c>
      <c r="O39" s="32" t="inlineStr">
        <is>
          <t>PASS</t>
        </is>
      </c>
      <c r="P39" s="32" t="n"/>
      <c r="Q39" s="32" t="inlineStr">
        <is>
          <t>P0-reading-batch-drift</t>
        </is>
      </c>
      <c r="R39" s="32" t="inlineStr">
        <is>
          <t>100%</t>
        </is>
      </c>
    </row>
    <row r="40" ht="130.5" customHeight="1" s="49">
      <c r="A40" s="32" t="inlineStr">
        <is>
          <t>K-036</t>
        </is>
      </c>
      <c r="B40" s="32" t="inlineStr">
        <is>
          <t>Phase-0 regression block</t>
        </is>
      </c>
      <c r="C40" s="32" t="inlineStr">
        <is>
          <t>65</t>
        </is>
      </c>
      <c r="D40" s="32" t="inlineStr">
        <is>
          <t>N5Improvement Phase-0 regression block: Phase-0 Listening.json migration-drift regression block (added 2026-05-17)</t>
        </is>
      </c>
      <c r="E40" s="32"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2" t="inlineStr">
        <is>
          <t>Every check in the block reports 0 against current corpus snapshot.</t>
        </is>
      </c>
      <c r="G40" s="32" t="inlineStr">
        <is>
          <t>P2</t>
        </is>
      </c>
      <c r="H40" s="32" t="inlineStr">
        <is>
          <t>Major</t>
        </is>
      </c>
      <c r="I40" s="32" t="inlineStr">
        <is>
          <t>Auto</t>
        </is>
      </c>
      <c r="J40" s="32"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2" t="inlineStr">
        <is>
          <t>10m</t>
        </is>
      </c>
      <c r="L40" s="32" t="inlineStr">
        <is>
          <t>Build engineer</t>
        </is>
      </c>
      <c r="M40" s="32" t="inlineStr">
        <is>
          <t>prompts/N5Improvement.txt; tools/check_content_integrity.py</t>
        </is>
      </c>
      <c r="N40" s="70" t="n">
        <v>46159</v>
      </c>
      <c r="O40" s="32" t="inlineStr">
        <is>
          <t>PASS</t>
        </is>
      </c>
      <c r="P40" s="32" t="n"/>
      <c r="Q40" s="32" t="inlineStr">
        <is>
          <t>P0-listening-migration</t>
        </is>
      </c>
      <c r="R40" s="32" t="inlineStr">
        <is>
          <t>100%</t>
        </is>
      </c>
    </row>
    <row r="41" ht="101.5" customHeight="1" s="49">
      <c r="A41" s="32" t="inlineStr">
        <is>
          <t>K-037</t>
        </is>
      </c>
      <c r="B41" s="32" t="inlineStr">
        <is>
          <t>False-positive class</t>
        </is>
      </c>
      <c r="C41" s="32" t="inlineStr">
        <is>
          <t>65</t>
        </is>
      </c>
      <c r="D41" s="32" t="inlineStr">
        <is>
          <t>Accuracy prompt false-positive class FP-1: ウ音便 contraction where o+u → ō has no visible spelling change</t>
        </is>
      </c>
      <c r="E41" s="32" t="inlineStr">
        <is>
          <t>1. Reference: prompts/Japanese language Accuracy check.txt FP-1
2. During audit, when a candidate finding matches this FP shape, DO NOT FILE
3. If a finding DOES file under this shape, flag the FP entry as needing refinement (true-positive escape)</t>
        </is>
      </c>
      <c r="F41" s="32" t="inlineStr">
        <is>
          <t>0 false-positive findings filed under shape FP-1. If the audit misses this FP shape, refine the FP catalog or the audit prompt.</t>
        </is>
      </c>
      <c r="G41" s="32" t="inlineStr">
        <is>
          <t>P4</t>
        </is>
      </c>
      <c r="H41" s="32" t="inlineStr">
        <is>
          <t>Minor</t>
        </is>
      </c>
      <c r="I41" s="32" t="inlineStr">
        <is>
          <t>Manual</t>
        </is>
      </c>
      <c r="J41" s="32" t="inlineStr">
        <is>
          <t>Cross-Artifact Sync 2026-05-17: per Rule 5 prompt → test-scenario sync. Source: prompts/Japanese language Accuracy check.txt FP-1 (false-positive class catalog). These are documented NON-bugs that auditors must learn to recognize and skip.</t>
        </is>
      </c>
      <c r="K41" s="32" t="inlineStr">
        <is>
          <t>15m</t>
        </is>
      </c>
      <c r="L41" s="32" t="inlineStr">
        <is>
          <t>Audit reviewer</t>
        </is>
      </c>
      <c r="M41" s="32" t="inlineStr">
        <is>
          <t>prompts/Japanese language Accuracy check.txt</t>
        </is>
      </c>
      <c r="N41" s="70" t="n">
        <v>46159</v>
      </c>
      <c r="O41" s="32" t="inlineStr">
        <is>
          <t>PASS</t>
        </is>
      </c>
      <c r="P41" s="32" t="n"/>
      <c r="Q41" s="32" t="inlineStr">
        <is>
          <t>FP-1</t>
        </is>
      </c>
      <c r="R41" s="32" t="inlineStr">
        <is>
          <t>0%</t>
        </is>
      </c>
    </row>
    <row r="42" ht="101.5" customHeight="1" s="49">
      <c r="A42" s="32" t="inlineStr">
        <is>
          <t>K-038</t>
        </is>
      </c>
      <c r="B42" s="32" t="inlineStr">
        <is>
          <t>False-positive class</t>
        </is>
      </c>
      <c r="C42" s="32" t="inlineStr">
        <is>
          <t>65</t>
        </is>
      </c>
      <c r="D42" s="32" t="inlineStr">
        <is>
          <t>Accuracy prompt false-positive class FP-2: Past-marker mid-sentence in relative clauses</t>
        </is>
      </c>
      <c r="E42" s="32" t="inlineStr">
        <is>
          <t>1. Reference: prompts/Japanese language Accuracy check.txt FP-2
2. During audit, when a candidate finding matches this FP shape, DO NOT FILE
3. If a finding DOES file under this shape, flag the FP entry as needing refinement (true-positive escape)</t>
        </is>
      </c>
      <c r="F42" s="32" t="inlineStr">
        <is>
          <t>0 false-positive findings filed under shape FP-2. If the audit misses this FP shape, refine the FP catalog or the audit prompt.</t>
        </is>
      </c>
      <c r="G42" s="32" t="inlineStr">
        <is>
          <t>P4</t>
        </is>
      </c>
      <c r="H42" s="32" t="inlineStr">
        <is>
          <t>Minor</t>
        </is>
      </c>
      <c r="I42" s="32" t="inlineStr">
        <is>
          <t>Manual</t>
        </is>
      </c>
      <c r="J42" s="32" t="inlineStr">
        <is>
          <t>Cross-Artifact Sync 2026-05-17: per Rule 5 prompt → test-scenario sync. Source: prompts/Japanese language Accuracy check.txt FP-2 (false-positive class catalog). These are documented NON-bugs that auditors must learn to recognize and skip.</t>
        </is>
      </c>
      <c r="K42" s="32" t="inlineStr">
        <is>
          <t>15m</t>
        </is>
      </c>
      <c r="L42" s="32" t="inlineStr">
        <is>
          <t>Audit reviewer</t>
        </is>
      </c>
      <c r="M42" s="32" t="inlineStr">
        <is>
          <t>prompts/Japanese language Accuracy check.txt</t>
        </is>
      </c>
      <c r="N42" s="70" t="n">
        <v>46159</v>
      </c>
      <c r="O42" s="32" t="inlineStr">
        <is>
          <t>PASS</t>
        </is>
      </c>
      <c r="P42" s="32" t="n"/>
      <c r="Q42" s="32" t="inlineStr">
        <is>
          <t>FP-2</t>
        </is>
      </c>
      <c r="R42" s="32" t="inlineStr">
        <is>
          <t>0%</t>
        </is>
      </c>
    </row>
    <row r="43" ht="101.5" customHeight="1" s="49">
      <c r="A43" s="32" t="inlineStr">
        <is>
          <t>K-039</t>
        </is>
      </c>
      <c r="B43" s="32" t="inlineStr">
        <is>
          <t>False-positive class</t>
        </is>
      </c>
      <c r="C43" s="32" t="inlineStr">
        <is>
          <t>65</t>
        </is>
      </c>
      <c r="D43" s="32" t="inlineStr">
        <is>
          <t>Accuracy prompt false-positive class FP-3: Mixed kanji/kana orthography within one pattern</t>
        </is>
      </c>
      <c r="E43" s="32" t="inlineStr">
        <is>
          <t>1. Reference: prompts/Japanese language Accuracy check.txt FP-3
2. During audit, when a candidate finding matches this FP shape, DO NOT FILE
3. If a finding DOES file under this shape, flag the FP entry as needing refinement (true-positive escape)</t>
        </is>
      </c>
      <c r="F43" s="32" t="inlineStr">
        <is>
          <t>0 false-positive findings filed under shape FP-3. If the audit misses this FP shape, refine the FP catalog or the audit prompt.</t>
        </is>
      </c>
      <c r="G43" s="32" t="inlineStr">
        <is>
          <t>P4</t>
        </is>
      </c>
      <c r="H43" s="32" t="inlineStr">
        <is>
          <t>Minor</t>
        </is>
      </c>
      <c r="I43" s="32" t="inlineStr">
        <is>
          <t>Manual</t>
        </is>
      </c>
      <c r="J43" s="32" t="inlineStr">
        <is>
          <t>Cross-Artifact Sync 2026-05-17: per Rule 5 prompt → test-scenario sync. Source: prompts/Japanese language Accuracy check.txt FP-3 (false-positive class catalog). These are documented NON-bugs that auditors must learn to recognize and skip.</t>
        </is>
      </c>
      <c r="K43" s="32" t="inlineStr">
        <is>
          <t>15m</t>
        </is>
      </c>
      <c r="L43" s="32" t="inlineStr">
        <is>
          <t>Audit reviewer</t>
        </is>
      </c>
      <c r="M43" s="32" t="inlineStr">
        <is>
          <t>prompts/Japanese language Accuracy check.txt</t>
        </is>
      </c>
      <c r="N43" s="70" t="n">
        <v>46159</v>
      </c>
      <c r="O43" s="32" t="inlineStr">
        <is>
          <t>PASS</t>
        </is>
      </c>
      <c r="P43" s="32" t="n"/>
      <c r="Q43" s="32" t="inlineStr">
        <is>
          <t>FP-3</t>
        </is>
      </c>
      <c r="R43" s="32" t="inlineStr">
        <is>
          <t>0%</t>
        </is>
      </c>
    </row>
    <row r="44" ht="101.5" customHeight="1" s="49">
      <c r="A44" s="32" t="inlineStr">
        <is>
          <t>K-040</t>
        </is>
      </c>
      <c r="B44" s="32" t="inlineStr">
        <is>
          <t>False-positive class</t>
        </is>
      </c>
      <c r="C44" s="32" t="inlineStr">
        <is>
          <t>65</t>
        </is>
      </c>
      <c r="D44" s="32" t="inlineStr">
        <is>
          <t>Accuracy prompt false-positive class FP-4: Cross-pattern reuse of canonical sentences below threshold-10</t>
        </is>
      </c>
      <c r="E44" s="32" t="inlineStr">
        <is>
          <t>1. Reference: prompts/Japanese language Accuracy check.txt FP-4
2. During audit, when a candidate finding matches this FP shape, DO NOT FILE
3. If a finding DOES file under this shape, flag the FP entry as needing refinement (true-positive escape)</t>
        </is>
      </c>
      <c r="F44" s="32" t="inlineStr">
        <is>
          <t>0 false-positive findings filed under shape FP-4. If the audit misses this FP shape, refine the FP catalog or the audit prompt.</t>
        </is>
      </c>
      <c r="G44" s="32" t="inlineStr">
        <is>
          <t>P4</t>
        </is>
      </c>
      <c r="H44" s="32" t="inlineStr">
        <is>
          <t>Minor</t>
        </is>
      </c>
      <c r="I44" s="32" t="inlineStr">
        <is>
          <t>Manual</t>
        </is>
      </c>
      <c r="J44" s="32" t="inlineStr">
        <is>
          <t>Cross-Artifact Sync 2026-05-17: per Rule 5 prompt → test-scenario sync. Source: prompts/Japanese language Accuracy check.txt FP-4 (false-positive class catalog). These are documented NON-bugs that auditors must learn to recognize and skip.</t>
        </is>
      </c>
      <c r="K44" s="32" t="inlineStr">
        <is>
          <t>15m</t>
        </is>
      </c>
      <c r="L44" s="32" t="inlineStr">
        <is>
          <t>Audit reviewer</t>
        </is>
      </c>
      <c r="M44" s="32" t="inlineStr">
        <is>
          <t>prompts/Japanese language Accuracy check.txt</t>
        </is>
      </c>
      <c r="N44" s="70" t="n">
        <v>46159</v>
      </c>
      <c r="O44" s="32" t="inlineStr">
        <is>
          <t>PASS</t>
        </is>
      </c>
      <c r="P44" s="32" t="n"/>
      <c r="Q44" s="32" t="inlineStr">
        <is>
          <t>FP-4</t>
        </is>
      </c>
      <c r="R44" s="32" t="inlineStr">
        <is>
          <t>0%</t>
        </is>
      </c>
    </row>
    <row r="45" ht="101.5" customHeight="1" s="49">
      <c r="A45" s="32" t="inlineStr">
        <is>
          <t>K-041</t>
        </is>
      </c>
      <c r="B45" s="32" t="inlineStr">
        <is>
          <t>False-positive class</t>
        </is>
      </c>
      <c r="C45" s="32" t="inlineStr">
        <is>
          <t>65</t>
        </is>
      </c>
      <c r="D45" s="32" t="inlineStr">
        <is>
          <t>Accuracy prompt false-positive class FP-5: Counter rendaku in headword-presence checks</t>
        </is>
      </c>
      <c r="E45" s="32" t="inlineStr">
        <is>
          <t>1. Reference: prompts/Japanese language Accuracy check.txt FP-5
2. During audit, when a candidate finding matches this FP shape, DO NOT FILE
3. If a finding DOES file under this shape, flag the FP entry as needing refinement (true-positive escape)</t>
        </is>
      </c>
      <c r="F45" s="32" t="inlineStr">
        <is>
          <t>0 false-positive findings filed under shape FP-5. If the audit misses this FP shape, refine the FP catalog or the audit prompt.</t>
        </is>
      </c>
      <c r="G45" s="32" t="inlineStr">
        <is>
          <t>P4</t>
        </is>
      </c>
      <c r="H45" s="32" t="inlineStr">
        <is>
          <t>Minor</t>
        </is>
      </c>
      <c r="I45" s="32" t="inlineStr">
        <is>
          <t>Manual</t>
        </is>
      </c>
      <c r="J45" s="32" t="inlineStr">
        <is>
          <t>Cross-Artifact Sync 2026-05-17: per Rule 5 prompt → test-scenario sync. Source: prompts/Japanese language Accuracy check.txt FP-5 (false-positive class catalog). These are documented NON-bugs that auditors must learn to recognize and skip.</t>
        </is>
      </c>
      <c r="K45" s="32" t="inlineStr">
        <is>
          <t>15m</t>
        </is>
      </c>
      <c r="L45" s="32" t="inlineStr">
        <is>
          <t>Audit reviewer</t>
        </is>
      </c>
      <c r="M45" s="32" t="inlineStr">
        <is>
          <t>prompts/Japanese language Accuracy check.txt</t>
        </is>
      </c>
      <c r="N45" s="70" t="n">
        <v>46159</v>
      </c>
      <c r="O45" s="32" t="inlineStr">
        <is>
          <t>PASS</t>
        </is>
      </c>
      <c r="P45" s="32" t="n"/>
      <c r="Q45" s="32" t="inlineStr">
        <is>
          <t>FP-5</t>
        </is>
      </c>
      <c r="R45" s="32" t="inlineStr">
        <is>
          <t>0%</t>
        </is>
      </c>
    </row>
    <row r="46" ht="101.5" customHeight="1" s="49">
      <c r="A46" s="32" t="inlineStr">
        <is>
          <t>K-042</t>
        </is>
      </c>
      <c r="B46" s="32" t="inlineStr">
        <is>
          <t>False-positive class</t>
        </is>
      </c>
      <c r="C46" s="32" t="inlineStr">
        <is>
          <t>65</t>
        </is>
      </c>
      <c r="D46" s="32" t="inlineStr">
        <is>
          <t>Accuracy prompt false-positive class FP-6: Compound -くる verbs in headword-presence checks</t>
        </is>
      </c>
      <c r="E46" s="32" t="inlineStr">
        <is>
          <t>1. Reference: prompts/Japanese language Accuracy check.txt FP-6
2. During audit, when a candidate finding matches this FP shape, DO NOT FILE
3. If a finding DOES file under this shape, flag the FP entry as needing refinement (true-positive escape)</t>
        </is>
      </c>
      <c r="F46" s="32" t="inlineStr">
        <is>
          <t>0 false-positive findings filed under shape FP-6. If the audit misses this FP shape, refine the FP catalog or the audit prompt.</t>
        </is>
      </c>
      <c r="G46" s="32" t="inlineStr">
        <is>
          <t>P4</t>
        </is>
      </c>
      <c r="H46" s="32" t="inlineStr">
        <is>
          <t>Minor</t>
        </is>
      </c>
      <c r="I46" s="32" t="inlineStr">
        <is>
          <t>Manual</t>
        </is>
      </c>
      <c r="J46" s="32" t="inlineStr">
        <is>
          <t>Cross-Artifact Sync 2026-05-17: per Rule 5 prompt → test-scenario sync. Source: prompts/Japanese language Accuracy check.txt FP-6 (false-positive class catalog). These are documented NON-bugs that auditors must learn to recognize and skip.</t>
        </is>
      </c>
      <c r="K46" s="32" t="inlineStr">
        <is>
          <t>15m</t>
        </is>
      </c>
      <c r="L46" s="32" t="inlineStr">
        <is>
          <t>Audit reviewer</t>
        </is>
      </c>
      <c r="M46" s="32" t="inlineStr">
        <is>
          <t>prompts/Japanese language Accuracy check.txt</t>
        </is>
      </c>
      <c r="N46" s="70" t="n">
        <v>46159</v>
      </c>
      <c r="O46" s="32" t="inlineStr">
        <is>
          <t>PASS</t>
        </is>
      </c>
      <c r="P46" s="32" t="n"/>
      <c r="Q46" s="32" t="inlineStr">
        <is>
          <t>FP-6</t>
        </is>
      </c>
      <c r="R46" s="32" t="inlineStr">
        <is>
          <t>0%</t>
        </is>
      </c>
    </row>
    <row r="47" ht="101.5" customHeight="1" s="49">
      <c r="A47" s="32" t="inlineStr">
        <is>
          <t>K-043</t>
        </is>
      </c>
      <c r="B47" s="32" t="inlineStr">
        <is>
          <t>False-positive class</t>
        </is>
      </c>
      <c r="C47" s="32" t="inlineStr">
        <is>
          <t>65</t>
        </is>
      </c>
      <c r="D47" s="32" t="inlineStr">
        <is>
          <t>Accuracy prompt false-positive class FP-7: Demonstrative-pronoun entries using 'これは Xです。'</t>
        </is>
      </c>
      <c r="E47" s="32" t="inlineStr">
        <is>
          <t>1. Reference: prompts/Japanese language Accuracy check.txt FP-7
2. During audit, when a candidate finding matches this FP shape, DO NOT FILE
3. If a finding DOES file under this shape, flag the FP entry as needing refinement (true-positive escape)</t>
        </is>
      </c>
      <c r="F47" s="32" t="inlineStr">
        <is>
          <t>0 false-positive findings filed under shape FP-7. If the audit misses this FP shape, refine the FP catalog or the audit prompt.</t>
        </is>
      </c>
      <c r="G47" s="32" t="inlineStr">
        <is>
          <t>P4</t>
        </is>
      </c>
      <c r="H47" s="32" t="inlineStr">
        <is>
          <t>Minor</t>
        </is>
      </c>
      <c r="I47" s="32" t="inlineStr">
        <is>
          <t>Manual</t>
        </is>
      </c>
      <c r="J47" s="32" t="inlineStr">
        <is>
          <t>Cross-Artifact Sync 2026-05-17: per Rule 5 prompt → test-scenario sync. Source: prompts/Japanese language Accuracy check.txt FP-7 (false-positive class catalog). These are documented NON-bugs that auditors must learn to recognize and skip.</t>
        </is>
      </c>
      <c r="K47" s="32" t="inlineStr">
        <is>
          <t>15m</t>
        </is>
      </c>
      <c r="L47" s="32" t="inlineStr">
        <is>
          <t>Audit reviewer</t>
        </is>
      </c>
      <c r="M47" s="32" t="inlineStr">
        <is>
          <t>prompts/Japanese language Accuracy check.txt</t>
        </is>
      </c>
      <c r="N47" s="70" t="n">
        <v>46159</v>
      </c>
      <c r="O47" s="32" t="inlineStr">
        <is>
          <t>PASS</t>
        </is>
      </c>
      <c r="P47" s="32" t="n"/>
      <c r="Q47" s="32" t="inlineStr">
        <is>
          <t>FP-7</t>
        </is>
      </c>
      <c r="R47" s="32" t="inlineStr">
        <is>
          <t>0%</t>
        </is>
      </c>
    </row>
    <row r="48" ht="101.5" customHeight="1" s="49">
      <c r="A48" s="32" t="inlineStr">
        <is>
          <t>K-044</t>
        </is>
      </c>
      <c r="B48" s="32" t="inlineStr">
        <is>
          <t>False-positive class</t>
        </is>
      </c>
      <c r="C48" s="32" t="inlineStr">
        <is>
          <t>65</t>
        </is>
      </c>
      <c r="D48" s="32" t="inlineStr">
        <is>
          <t>Accuracy prompt false-positive class FP-8: English translations with trailing parenthetical annotations</t>
        </is>
      </c>
      <c r="E48" s="32" t="inlineStr">
        <is>
          <t>1. Reference: prompts/Japanese language Accuracy check.txt FP-8
2. During audit, when a candidate finding matches this FP shape, DO NOT FILE
3. If a finding DOES file under this shape, flag the FP entry as needing refinement (true-positive escape)</t>
        </is>
      </c>
      <c r="F48" s="32" t="inlineStr">
        <is>
          <t>0 false-positive findings filed under shape FP-8. If the audit misses this FP shape, refine the FP catalog or the audit prompt.</t>
        </is>
      </c>
      <c r="G48" s="32" t="inlineStr">
        <is>
          <t>P4</t>
        </is>
      </c>
      <c r="H48" s="32" t="inlineStr">
        <is>
          <t>Minor</t>
        </is>
      </c>
      <c r="I48" s="32" t="inlineStr">
        <is>
          <t>Manual</t>
        </is>
      </c>
      <c r="J48" s="32" t="inlineStr">
        <is>
          <t>Cross-Artifact Sync 2026-05-17: per Rule 5 prompt → test-scenario sync. Source: prompts/Japanese language Accuracy check.txt FP-8 (false-positive class catalog). These are documented NON-bugs that auditors must learn to recognize and skip.</t>
        </is>
      </c>
      <c r="K48" s="32" t="inlineStr">
        <is>
          <t>15m</t>
        </is>
      </c>
      <c r="L48" s="32" t="inlineStr">
        <is>
          <t>Audit reviewer</t>
        </is>
      </c>
      <c r="M48" s="32" t="inlineStr">
        <is>
          <t>prompts/Japanese language Accuracy check.txt</t>
        </is>
      </c>
      <c r="N48" s="70" t="n">
        <v>46159</v>
      </c>
      <c r="O48" s="32" t="inlineStr">
        <is>
          <t>PASS</t>
        </is>
      </c>
      <c r="P48" s="32" t="n"/>
      <c r="Q48" s="32" t="inlineStr">
        <is>
          <t>FP-8</t>
        </is>
      </c>
      <c r="R48" s="32" t="inlineStr">
        <is>
          <t>0%</t>
        </is>
      </c>
    </row>
    <row r="49" ht="101.5" customHeight="1" s="49">
      <c r="A49" s="32" t="inlineStr">
        <is>
          <t>K-045</t>
        </is>
      </c>
      <c r="B49" s="32" t="inlineStr">
        <is>
          <t>False-positive class</t>
        </is>
      </c>
      <c r="C49" s="32" t="inlineStr">
        <is>
          <t>65</t>
        </is>
      </c>
      <c r="D49" s="32" t="inlineStr">
        <is>
          <t>Accuracy prompt false-positive class FP-9: authentic.json `reading` field is the FULL phrase read-aloud</t>
        </is>
      </c>
      <c r="E49" s="32" t="inlineStr">
        <is>
          <t>1. Reference: prompts/Japanese language Accuracy check.txt FP-9
2. During audit, when a candidate finding matches this FP shape, DO NOT FILE
3. If a finding DOES file under this shape, flag the FP entry as needing refinement (true-positive escape)</t>
        </is>
      </c>
      <c r="F49" s="32" t="inlineStr">
        <is>
          <t>0 false-positive findings filed under shape FP-9. If the audit misses this FP shape, refine the FP catalog or the audit prompt.</t>
        </is>
      </c>
      <c r="G49" s="32" t="inlineStr">
        <is>
          <t>P4</t>
        </is>
      </c>
      <c r="H49" s="32" t="inlineStr">
        <is>
          <t>Minor</t>
        </is>
      </c>
      <c r="I49" s="32" t="inlineStr">
        <is>
          <t>Manual</t>
        </is>
      </c>
      <c r="J49" s="32" t="inlineStr">
        <is>
          <t>Cross-Artifact Sync 2026-05-17: per Rule 5 prompt → test-scenario sync. Source: prompts/Japanese language Accuracy check.txt FP-9 (false-positive class catalog). These are documented NON-bugs that auditors must learn to recognize and skip.</t>
        </is>
      </c>
      <c r="K49" s="32" t="inlineStr">
        <is>
          <t>15m</t>
        </is>
      </c>
      <c r="L49" s="32" t="inlineStr">
        <is>
          <t>Audit reviewer</t>
        </is>
      </c>
      <c r="M49" s="32" t="inlineStr">
        <is>
          <t>prompts/Japanese language Accuracy check.txt</t>
        </is>
      </c>
      <c r="N49" s="70" t="n">
        <v>46159</v>
      </c>
      <c r="O49" s="32" t="inlineStr">
        <is>
          <t>PASS</t>
        </is>
      </c>
      <c r="P49" s="32" t="n"/>
      <c r="Q49" s="32" t="inlineStr">
        <is>
          <t>FP-9</t>
        </is>
      </c>
      <c r="R49" s="32" t="inlineStr">
        <is>
          <t>0%</t>
        </is>
      </c>
    </row>
    <row r="50" ht="101.5" customHeight="1" s="49">
      <c r="A50" s="32" t="inlineStr">
        <is>
          <t>K-046</t>
        </is>
      </c>
      <c r="B50" s="32" t="inlineStr">
        <is>
          <t>False-positive class</t>
        </is>
      </c>
      <c r="C50" s="32" t="inlineStr">
        <is>
          <t>65</t>
        </is>
      </c>
      <c r="D50" s="32" t="inlineStr">
        <is>
          <t>Accuracy prompt false-positive class FP-10: English/short-technical rationales for paper-question answers</t>
        </is>
      </c>
      <c r="E50" s="32" t="inlineStr">
        <is>
          <t>1. Reference: prompts/Japanese language Accuracy check.txt FP-10
2. During audit, when a candidate finding matches this FP shape, DO NOT FILE
3. If a finding DOES file under this shape, flag the FP entry as needing refinement (true-positive escape)</t>
        </is>
      </c>
      <c r="F50" s="32" t="inlineStr">
        <is>
          <t>0 false-positive findings filed under shape FP-10. If the audit misses this FP shape, refine the FP catalog or the audit prompt.</t>
        </is>
      </c>
      <c r="G50" s="32" t="inlineStr">
        <is>
          <t>P4</t>
        </is>
      </c>
      <c r="H50" s="32" t="inlineStr">
        <is>
          <t>Minor</t>
        </is>
      </c>
      <c r="I50" s="32" t="inlineStr">
        <is>
          <t>Manual</t>
        </is>
      </c>
      <c r="J50" s="32" t="inlineStr">
        <is>
          <t>Cross-Artifact Sync 2026-05-17: per Rule 5 prompt → test-scenario sync. Source: prompts/Japanese language Accuracy check.txt FP-10 (false-positive class catalog). These are documented NON-bugs that auditors must learn to recognize and skip.</t>
        </is>
      </c>
      <c r="K50" s="32" t="inlineStr">
        <is>
          <t>15m</t>
        </is>
      </c>
      <c r="L50" s="32" t="inlineStr">
        <is>
          <t>Audit reviewer</t>
        </is>
      </c>
      <c r="M50" s="32" t="inlineStr">
        <is>
          <t>prompts/Japanese language Accuracy check.txt</t>
        </is>
      </c>
      <c r="N50" s="70" t="n">
        <v>46159</v>
      </c>
      <c r="O50" s="32" t="inlineStr">
        <is>
          <t>PASS</t>
        </is>
      </c>
      <c r="P50" s="32" t="n"/>
      <c r="Q50" s="32" t="inlineStr">
        <is>
          <t>FP-10</t>
        </is>
      </c>
      <c r="R50" s="32" t="inlineStr">
        <is>
          <t>0%</t>
        </is>
      </c>
    </row>
    <row r="51" ht="101.5" customHeight="1" s="49">
      <c r="A51" s="32" t="inlineStr">
        <is>
          <t>K-047</t>
        </is>
      </c>
      <c r="B51" s="32" t="inlineStr">
        <is>
          <t>False-positive class</t>
        </is>
      </c>
      <c r="C51" s="32" t="inlineStr">
        <is>
          <t>65</t>
        </is>
      </c>
      <c r="D51" s="32" t="inlineStr">
        <is>
          <t>Accuracy prompt false-positive class FP-11: ひとりでに ('by oneself') is a fixed adverb, not a particle stack</t>
        </is>
      </c>
      <c r="E51" s="32" t="inlineStr">
        <is>
          <t>1. Reference: prompts/Japanese language Accuracy check.txt FP-11
2. During audit, when a candidate finding matches this FP shape, DO NOT FILE
3. If a finding DOES file under this shape, flag the FP entry as needing refinement (true-positive escape)</t>
        </is>
      </c>
      <c r="F51" s="32" t="inlineStr">
        <is>
          <t>0 false-positive findings filed under shape FP-11. If the audit misses this FP shape, refine the FP catalog or the audit prompt.</t>
        </is>
      </c>
      <c r="G51" s="32" t="inlineStr">
        <is>
          <t>P4</t>
        </is>
      </c>
      <c r="H51" s="32" t="inlineStr">
        <is>
          <t>Minor</t>
        </is>
      </c>
      <c r="I51" s="32" t="inlineStr">
        <is>
          <t>Manual</t>
        </is>
      </c>
      <c r="J51" s="32" t="inlineStr">
        <is>
          <t>Cross-Artifact Sync 2026-05-17: per Rule 5 prompt → test-scenario sync. Source: prompts/Japanese language Accuracy check.txt FP-11 (false-positive class catalog). These are documented NON-bugs that auditors must learn to recognize and skip.</t>
        </is>
      </c>
      <c r="K51" s="32" t="inlineStr">
        <is>
          <t>15m</t>
        </is>
      </c>
      <c r="L51" s="32" t="inlineStr">
        <is>
          <t>Audit reviewer</t>
        </is>
      </c>
      <c r="M51" s="32" t="inlineStr">
        <is>
          <t>prompts/Japanese language Accuracy check.txt</t>
        </is>
      </c>
      <c r="N51" s="70" t="n">
        <v>46159</v>
      </c>
      <c r="O51" s="32" t="inlineStr">
        <is>
          <t>PASS</t>
        </is>
      </c>
      <c r="P51" s="32" t="n"/>
      <c r="Q51" s="32" t="inlineStr">
        <is>
          <t>FP-11</t>
        </is>
      </c>
      <c r="R51" s="32" t="inlineStr">
        <is>
          <t>0%</t>
        </is>
      </c>
    </row>
    <row r="52" ht="101.5" customHeight="1" s="49">
      <c r="A52" s="32" t="inlineStr">
        <is>
          <t>K-048</t>
        </is>
      </c>
      <c r="B52" s="32" t="inlineStr">
        <is>
          <t>False-positive class</t>
        </is>
      </c>
      <c r="C52" s="32" t="inlineStr">
        <is>
          <t>65</t>
        </is>
      </c>
      <c r="D52" s="32" t="inlineStr">
        <is>
          <t>Accuracy prompt false-positive class FP-12: 〜いです IS the correct polite-affirmative form of an i-adj</t>
        </is>
      </c>
      <c r="E52" s="32" t="inlineStr">
        <is>
          <t>1. Reference: prompts/Japanese language Accuracy check.txt FP-12
2. During audit, when a candidate finding matches this FP shape, DO NOT FILE
3. If a finding DOES file under this shape, flag the FP entry as needing refinement (true-positive escape)</t>
        </is>
      </c>
      <c r="F52" s="32" t="inlineStr">
        <is>
          <t>0 false-positive findings filed under shape FP-12. If the audit misses this FP shape, refine the FP catalog or the audit prompt.</t>
        </is>
      </c>
      <c r="G52" s="32" t="inlineStr">
        <is>
          <t>P4</t>
        </is>
      </c>
      <c r="H52" s="32" t="inlineStr">
        <is>
          <t>Minor</t>
        </is>
      </c>
      <c r="I52" s="32" t="inlineStr">
        <is>
          <t>Manual</t>
        </is>
      </c>
      <c r="J52" s="32" t="inlineStr">
        <is>
          <t>Cross-Artifact Sync 2026-05-17: per Rule 5 prompt → test-scenario sync. Source: prompts/Japanese language Accuracy check.txt FP-12 (false-positive class catalog). These are documented NON-bugs that auditors must learn to recognize and skip.</t>
        </is>
      </c>
      <c r="K52" s="32" t="inlineStr">
        <is>
          <t>15m</t>
        </is>
      </c>
      <c r="L52" s="32" t="inlineStr">
        <is>
          <t>Audit reviewer</t>
        </is>
      </c>
      <c r="M52" s="32" t="inlineStr">
        <is>
          <t>prompts/Japanese language Accuracy check.txt</t>
        </is>
      </c>
      <c r="N52" s="70" t="n">
        <v>46159</v>
      </c>
      <c r="O52" s="32" t="inlineStr">
        <is>
          <t>PASS</t>
        </is>
      </c>
      <c r="P52" s="32" t="n"/>
      <c r="Q52" s="32" t="inlineStr">
        <is>
          <t>FP-12</t>
        </is>
      </c>
      <c r="R52" s="32" t="inlineStr">
        <is>
          <t>0%</t>
        </is>
      </c>
    </row>
    <row r="53" ht="101.5" customHeight="1" s="49">
      <c r="A53" s="32" t="inlineStr">
        <is>
          <t>K-049</t>
        </is>
      </c>
      <c r="B53" s="32" t="inlineStr">
        <is>
          <t>False-positive class</t>
        </is>
      </c>
      <c r="C53" s="32" t="inlineStr">
        <is>
          <t>65</t>
        </is>
      </c>
      <c r="D53" s="32" t="inlineStr">
        <is>
          <t>Accuracy prompt false-positive class FP-13: 倍 (ばい) is a multiplier suffix, not a noun-counter</t>
        </is>
      </c>
      <c r="E53" s="32" t="inlineStr">
        <is>
          <t>1. Reference: prompts/Japanese language Accuracy check.txt FP-13
2. During audit, when a candidate finding matches this FP shape, DO NOT FILE
3. If a finding DOES file under this shape, flag the FP entry as needing refinement (true-positive escape)</t>
        </is>
      </c>
      <c r="F53" s="32" t="inlineStr">
        <is>
          <t>0 false-positive findings filed under shape FP-13. If the audit misses this FP shape, refine the FP catalog or the audit prompt.</t>
        </is>
      </c>
      <c r="G53" s="32" t="inlineStr">
        <is>
          <t>P4</t>
        </is>
      </c>
      <c r="H53" s="32" t="inlineStr">
        <is>
          <t>Minor</t>
        </is>
      </c>
      <c r="I53" s="32" t="inlineStr">
        <is>
          <t>Manual</t>
        </is>
      </c>
      <c r="J53" s="32" t="inlineStr">
        <is>
          <t>Cross-Artifact Sync 2026-05-17: per Rule 5 prompt → test-scenario sync. Source: prompts/Japanese language Accuracy check.txt FP-13 (false-positive class catalog). These are documented NON-bugs that auditors must learn to recognize and skip.</t>
        </is>
      </c>
      <c r="K53" s="32" t="inlineStr">
        <is>
          <t>15m</t>
        </is>
      </c>
      <c r="L53" s="32" t="inlineStr">
        <is>
          <t>Audit reviewer</t>
        </is>
      </c>
      <c r="M53" s="32" t="inlineStr">
        <is>
          <t>prompts/Japanese language Accuracy check.txt</t>
        </is>
      </c>
      <c r="N53" s="70" t="n">
        <v>46159</v>
      </c>
      <c r="O53" s="32" t="inlineStr">
        <is>
          <t>PASS</t>
        </is>
      </c>
      <c r="P53" s="32" t="n"/>
      <c r="Q53" s="32" t="inlineStr">
        <is>
          <t>FP-13</t>
        </is>
      </c>
      <c r="R53" s="32" t="inlineStr">
        <is>
          <t>0%</t>
        </is>
      </c>
    </row>
    <row r="54" ht="101.5" customHeight="1" s="49">
      <c r="A54" s="32" t="inlineStr">
        <is>
          <t>K-050</t>
        </is>
      </c>
      <c r="B54" s="32" t="inlineStr">
        <is>
          <t>False-positive class</t>
        </is>
      </c>
      <c r="C54" s="32" t="inlineStr">
        <is>
          <t>65</t>
        </is>
      </c>
      <c r="D54" s="32" t="inlineStr">
        <is>
          <t>Accuracy prompt false-positive class FP-14: i-adjective inflected forms still demonstrate the headword</t>
        </is>
      </c>
      <c r="E54" s="32" t="inlineStr">
        <is>
          <t>1. Reference: prompts/Japanese language Accuracy check.txt FP-14
2. During audit, when a candidate finding matches this FP shape, DO NOT FILE
3. If a finding DOES file under this shape, flag the FP entry as needing refinement (true-positive escape)</t>
        </is>
      </c>
      <c r="F54" s="32" t="inlineStr">
        <is>
          <t>0 false-positive findings filed under shape FP-14. If the audit misses this FP shape, refine the FP catalog or the audit prompt.</t>
        </is>
      </c>
      <c r="G54" s="32" t="inlineStr">
        <is>
          <t>P4</t>
        </is>
      </c>
      <c r="H54" s="32" t="inlineStr">
        <is>
          <t>Minor</t>
        </is>
      </c>
      <c r="I54" s="32" t="inlineStr">
        <is>
          <t>Manual</t>
        </is>
      </c>
      <c r="J54" s="32" t="inlineStr">
        <is>
          <t>Cross-Artifact Sync 2026-05-17: per Rule 5 prompt → test-scenario sync. Source: prompts/Japanese language Accuracy check.txt FP-14 (false-positive class catalog). These are documented NON-bugs that auditors must learn to recognize and skip.</t>
        </is>
      </c>
      <c r="K54" s="32" t="inlineStr">
        <is>
          <t>15m</t>
        </is>
      </c>
      <c r="L54" s="32" t="inlineStr">
        <is>
          <t>Audit reviewer</t>
        </is>
      </c>
      <c r="M54" s="32" t="inlineStr">
        <is>
          <t>prompts/Japanese language Accuracy check.txt</t>
        </is>
      </c>
      <c r="N54" s="70" t="n">
        <v>46159</v>
      </c>
      <c r="O54" s="32" t="inlineStr">
        <is>
          <t>PASS</t>
        </is>
      </c>
      <c r="P54" s="32" t="n"/>
      <c r="Q54" s="32" t="inlineStr">
        <is>
          <t>FP-14</t>
        </is>
      </c>
      <c r="R54" s="32" t="inlineStr">
        <is>
          <t>0%</t>
        </is>
      </c>
    </row>
    <row r="55" ht="101.5" customHeight="1" s="49">
      <c r="A55" s="32" t="inlineStr">
        <is>
          <t>K-051</t>
        </is>
      </c>
      <c r="B55" s="32" t="inlineStr">
        <is>
          <t>False-positive class</t>
        </is>
      </c>
      <c r="C55" s="32" t="inlineStr">
        <is>
          <t>65</t>
        </is>
      </c>
      <c r="D55" s="32" t="inlineStr">
        <is>
          <t>Accuracy prompt false-positive class FP-15: ぜひ / ただ + neutral declarative — semantically thin, not a grammar bug</t>
        </is>
      </c>
      <c r="E55" s="32" t="inlineStr">
        <is>
          <t>1. Reference: prompts/Japanese language Accuracy check.txt FP-15
2. During audit, when a candidate finding matches this FP shape, DO NOT FILE
3. If a finding DOES file under this shape, flag the FP entry as needing refinement (true-positive escape)</t>
        </is>
      </c>
      <c r="F55" s="32" t="inlineStr">
        <is>
          <t>0 false-positive findings filed under shape FP-15. If the audit misses this FP shape, refine the FP catalog or the audit prompt.</t>
        </is>
      </c>
      <c r="G55" s="32" t="inlineStr">
        <is>
          <t>P4</t>
        </is>
      </c>
      <c r="H55" s="32" t="inlineStr">
        <is>
          <t>Minor</t>
        </is>
      </c>
      <c r="I55" s="32" t="inlineStr">
        <is>
          <t>Manual</t>
        </is>
      </c>
      <c r="J55" s="32" t="inlineStr">
        <is>
          <t>Cross-Artifact Sync 2026-05-17: per Rule 5 prompt → test-scenario sync. Source: prompts/Japanese language Accuracy check.txt FP-15 (false-positive class catalog). These are documented NON-bugs that auditors must learn to recognize and skip.</t>
        </is>
      </c>
      <c r="K55" s="32" t="inlineStr">
        <is>
          <t>15m</t>
        </is>
      </c>
      <c r="L55" s="32" t="inlineStr">
        <is>
          <t>Audit reviewer</t>
        </is>
      </c>
      <c r="M55" s="32" t="inlineStr">
        <is>
          <t>prompts/Japanese language Accuracy check.txt</t>
        </is>
      </c>
      <c r="N55" s="70" t="n">
        <v>46159</v>
      </c>
      <c r="O55" s="32" t="inlineStr">
        <is>
          <t>PASS</t>
        </is>
      </c>
      <c r="P55" s="32" t="n"/>
      <c r="Q55" s="32" t="inlineStr">
        <is>
          <t>FP-15</t>
        </is>
      </c>
      <c r="R55" s="32" t="inlineStr">
        <is>
          <t>0%</t>
        </is>
      </c>
    </row>
    <row r="56" ht="116" customHeight="1" s="49">
      <c r="A56" s="32" t="inlineStr">
        <is>
          <t>K-052</t>
        </is>
      </c>
      <c r="B56" s="32" t="inlineStr">
        <is>
          <t>Audit-doc summary</t>
        </is>
      </c>
      <c r="C56" s="32" t="inlineStr">
        <is>
          <t>—</t>
        </is>
      </c>
      <c r="D56" s="32" t="inlineStr">
        <is>
          <t>LLM audit validation report — false-positive characterization</t>
        </is>
      </c>
      <c r="E56" s="32"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2" t="inlineStr">
        <is>
          <t>Every actionable item in the doc maps to a downstream artifact (fix commit / CI invariant / open tracker entry). 0 unmapped items.</t>
        </is>
      </c>
      <c r="G56" s="32" t="inlineStr">
        <is>
          <t>P4</t>
        </is>
      </c>
      <c r="H56" s="32" t="inlineStr">
        <is>
          <t>Minor</t>
        </is>
      </c>
      <c r="I56" s="32" t="inlineStr">
        <is>
          <t>Manual</t>
        </is>
      </c>
      <c r="J56" s="32"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2" t="inlineStr">
        <is>
          <t>1h</t>
        </is>
      </c>
      <c r="L56" s="32" t="inlineStr">
        <is>
          <t>Audit reviewer</t>
        </is>
      </c>
      <c r="M56" s="32" t="inlineStr">
        <is>
          <t>N5/feedback/closed/llm-audit-validation-report.md</t>
        </is>
      </c>
      <c r="N56" s="70" t="n">
        <v>46159</v>
      </c>
      <c r="O56" s="32" t="inlineStr">
        <is>
          <t>PASS</t>
        </is>
      </c>
      <c r="P56" s="32" t="n"/>
      <c r="Q56" s="32" t="inlineStr">
        <is>
          <t>—</t>
        </is>
      </c>
      <c r="R56" s="32" t="inlineStr">
        <is>
          <t>0%</t>
        </is>
      </c>
    </row>
    <row r="57" ht="130.5" customHeight="1" s="49">
      <c r="A57" s="41" t="inlineStr">
        <is>
          <t>K-053</t>
        </is>
      </c>
      <c r="B57" s="41" t="inlineStr">
        <is>
          <t>Phase-0 regression block</t>
        </is>
      </c>
      <c r="C57" s="41" t="inlineStr">
        <is>
          <t>65</t>
        </is>
      </c>
      <c r="D57" s="41" t="inlineStr">
        <is>
          <t>N5Improvement Phase-0 regression block: Phase-0 JA-91 + JA-94 baseline-stability regression block (added 2026-05-17)</t>
        </is>
      </c>
      <c r="E57" s="41"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1" t="inlineStr">
        <is>
          <t>Every check in the block reports 0 against current corpus snapshot.</t>
        </is>
      </c>
      <c r="G57" s="41" t="inlineStr">
        <is>
          <t>P2</t>
        </is>
      </c>
      <c r="H57" s="41" t="inlineStr">
        <is>
          <t>Major</t>
        </is>
      </c>
      <c r="I57" s="41" t="inlineStr">
        <is>
          <t>Auto</t>
        </is>
      </c>
      <c r="J57" s="41"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1" t="inlineStr">
        <is>
          <t>10m</t>
        </is>
      </c>
      <c r="L57" s="41" t="inlineStr">
        <is>
          <t>Build engineer</t>
        </is>
      </c>
      <c r="M57" s="41" t="inlineStr">
        <is>
          <t>prompts/N5Improvement.txt; tools/check_content_integrity.py</t>
        </is>
      </c>
      <c r="N57" s="72" t="n">
        <v>46159</v>
      </c>
      <c r="O57" s="41" t="inlineStr">
        <is>
          <t>PASS</t>
        </is>
      </c>
      <c r="P57" s="41" t="n"/>
      <c r="Q57" s="41" t="inlineStr">
        <is>
          <t>P0-ja91-ja94-baseline</t>
        </is>
      </c>
      <c r="R57" s="41"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L. Cultural ethical</t>
        </is>
      </c>
    </row>
    <row r="2" ht="36" customHeight="1" s="49">
      <c r="A2" s="51" t="inlineStr">
        <is>
          <t>Perspectives: Cultural-sensitivity (JA + HI), AI-ethics/disclosure, trust-and-safety (perspectives 69-72)</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3" customHeight="1" s="49">
      <c r="A5" s="6" t="inlineStr">
        <is>
          <t>L-001</t>
        </is>
      </c>
      <c r="B5" s="4" t="inlineStr">
        <is>
          <t>Cultural sensitivity (JA)</t>
        </is>
      </c>
      <c r="C5" s="5" t="inlineStr">
        <is>
          <t>69</t>
        </is>
      </c>
      <c r="D5" s="4" t="inlineStr">
        <is>
          <t>Stereotype-avoidance in dialogue / authentic items</t>
        </is>
      </c>
      <c r="E5" s="4" t="inlineStr">
        <is>
          <t>1. Native Japanese reviewer reads all listening.json + authentic.json
2. Flag stereotyped characters</t>
        </is>
      </c>
      <c r="F5" s="4" t="inlineStr">
        <is>
          <t>0 stereotyped depictions</t>
        </is>
      </c>
      <c r="G5" s="5" t="inlineStr">
        <is>
          <t>P3</t>
        </is>
      </c>
      <c r="H5" s="5" t="inlineStr">
        <is>
          <t>Major</t>
        </is>
      </c>
      <c r="I5" s="5" t="inlineStr">
        <is>
          <t>Manual</t>
        </is>
      </c>
      <c r="J5" s="4"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8" t="n">
        <v>46159</v>
      </c>
      <c r="O5" t="inlineStr">
        <is>
          <t>Manual — deferred</t>
        </is>
      </c>
      <c r="Q5" t="inlineStr">
        <is>
          <t>—</t>
        </is>
      </c>
      <c r="R5" t="inlineStr">
        <is>
          <t>0%</t>
        </is>
      </c>
    </row>
    <row r="6" ht="35" customHeight="1" s="49">
      <c r="A6" s="6" t="inlineStr">
        <is>
          <t>L-002</t>
        </is>
      </c>
      <c r="B6" s="4" t="inlineStr">
        <is>
          <t>Cultural sensitivity (JA)</t>
        </is>
      </c>
      <c r="C6" s="5" t="inlineStr">
        <is>
          <t>69</t>
        </is>
      </c>
      <c r="D6" s="4" t="inlineStr">
        <is>
          <t>Appropriate cultural-context items (festivals, social norms)</t>
        </is>
      </c>
      <c r="E6" s="4" t="inlineStr">
        <is>
          <t>1. Verify cultural items represent contemporary Japan accurately
2. Flag outdated or stereotyped portrayals</t>
        </is>
      </c>
      <c r="F6" s="4" t="inlineStr">
        <is>
          <t>Cultural content accurate + respectful</t>
        </is>
      </c>
      <c r="G6" s="5" t="inlineStr">
        <is>
          <t>P3</t>
        </is>
      </c>
      <c r="H6" s="5" t="inlineStr">
        <is>
          <t>Major</t>
        </is>
      </c>
      <c r="I6" s="5" t="inlineStr">
        <is>
          <t>Manual</t>
        </is>
      </c>
      <c r="J6" s="4" t="inlineStr">
        <is>
          <t>No automated check today — manual only. — Cultural-reviewer review 2026-05-17: Honorific register treated as scope-guard (out-of-N5; documented per TS-A-011 fix). Sonkeigo / kenjogo correctly absent from N5 corpus.</t>
        </is>
      </c>
      <c r="K6" t="inlineStr">
        <is>
          <t>4h</t>
        </is>
      </c>
      <c r="L6" t="inlineStr">
        <is>
          <t>Cultural-sensitivity reviewer</t>
        </is>
      </c>
      <c r="M6" t="inlineStr">
        <is>
          <t>n/a — manual evaluation</t>
        </is>
      </c>
      <c r="N6" s="68" t="n">
        <v>46159</v>
      </c>
      <c r="O6" t="inlineStr">
        <is>
          <t>PASS</t>
        </is>
      </c>
      <c r="Q6" t="inlineStr">
        <is>
          <t>—</t>
        </is>
      </c>
      <c r="R6" t="inlineStr">
        <is>
          <t>0%</t>
        </is>
      </c>
    </row>
    <row r="7" ht="32" customHeight="1" s="49">
      <c r="A7" s="6" t="inlineStr">
        <is>
          <t>L-003</t>
        </is>
      </c>
      <c r="B7" s="4" t="inlineStr">
        <is>
          <t>Cultural sensitivity (JA)</t>
        </is>
      </c>
      <c r="C7" s="5" t="inlineStr">
        <is>
          <t>69</t>
        </is>
      </c>
      <c r="D7" s="4" t="inlineStr">
        <is>
          <t>Gender-balance in dialogue speaker roles</t>
        </is>
      </c>
      <c r="E7" s="4" t="inlineStr">
        <is>
          <t>1. Count male vs female speakers across listening.json
2. Verify roles aren't gender-stereotyped</t>
        </is>
      </c>
      <c r="F7" s="4" t="inlineStr">
        <is>
          <t>Balanced gender representation</t>
        </is>
      </c>
      <c r="G7" s="5" t="inlineStr">
        <is>
          <t>P3</t>
        </is>
      </c>
      <c r="H7" s="5" t="inlineStr">
        <is>
          <t>Major</t>
        </is>
      </c>
      <c r="I7" s="5" t="inlineStr">
        <is>
          <t>Manual</t>
        </is>
      </c>
      <c r="J7" s="4"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t>
        </is>
      </c>
      <c r="K7" t="inlineStr">
        <is>
          <t>4h</t>
        </is>
      </c>
      <c r="L7" t="inlineStr">
        <is>
          <t>Cultural-sensitivity reviewer</t>
        </is>
      </c>
      <c r="M7" t="inlineStr">
        <is>
          <t>n/a — manual evaluation</t>
        </is>
      </c>
      <c r="N7" s="68" t="n">
        <v>46159</v>
      </c>
      <c r="O7" t="inlineStr">
        <is>
          <t>PASS</t>
        </is>
      </c>
      <c r="Q7" t="inlineStr">
        <is>
          <t>—</t>
        </is>
      </c>
      <c r="R7" t="inlineStr">
        <is>
          <t>0%</t>
        </is>
      </c>
    </row>
    <row r="8" ht="33" customHeight="1" s="49">
      <c r="A8" s="6" t="inlineStr">
        <is>
          <t>L-004</t>
        </is>
      </c>
      <c r="B8" s="4" t="inlineStr">
        <is>
          <t>Cultural sensitivity (HI)</t>
        </is>
      </c>
      <c r="C8" s="5" t="inlineStr">
        <is>
          <t>70</t>
        </is>
      </c>
      <c r="D8" s="4" t="inlineStr">
        <is>
          <t>Indian-cultural-context items (if any) accuracy</t>
        </is>
      </c>
      <c r="E8" s="4" t="inlineStr">
        <is>
          <t>1. Verify any Hindi-locale cultural references are accurate
2. Verify Indian names used appropriately</t>
        </is>
      </c>
      <c r="F8" s="4" t="inlineStr">
        <is>
          <t>Indian-context accurate</t>
        </is>
      </c>
      <c r="G8" s="5" t="inlineStr">
        <is>
          <t>P3</t>
        </is>
      </c>
      <c r="H8" s="5" t="inlineStr">
        <is>
          <t>Major</t>
        </is>
      </c>
      <c r="I8" s="5" t="inlineStr">
        <is>
          <t>Manual</t>
        </is>
      </c>
      <c r="J8" s="4"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8" t="n">
        <v>46159</v>
      </c>
      <c r="O8" t="inlineStr">
        <is>
          <t>Manual — deferred</t>
        </is>
      </c>
      <c r="Q8" t="inlineStr">
        <is>
          <t>—</t>
        </is>
      </c>
      <c r="R8" t="inlineStr">
        <is>
          <t>0%</t>
        </is>
      </c>
    </row>
    <row r="9" ht="30" customHeight="1" s="49">
      <c r="A9" s="6" t="inlineStr">
        <is>
          <t>L-005</t>
        </is>
      </c>
      <c r="B9" s="4" t="inlineStr">
        <is>
          <t>Cultural sensitivity (HI)</t>
        </is>
      </c>
      <c r="C9" s="5" t="inlineStr">
        <is>
          <t>70</t>
        </is>
      </c>
      <c r="D9" s="4" t="inlineStr">
        <is>
          <t>Pan-Indian neutrality (avoid Bombay/Delhi-specific)</t>
        </is>
      </c>
      <c r="E9" s="4" t="inlineStr">
        <is>
          <t>1. Native Hindi reviewer flags regionally-marked content
2. Replace with neutral equivalents</t>
        </is>
      </c>
      <c r="F9" s="4" t="inlineStr">
        <is>
          <t>0 regionally-marked items</t>
        </is>
      </c>
      <c r="G9" s="5" t="inlineStr">
        <is>
          <t>P4</t>
        </is>
      </c>
      <c r="H9" s="5" t="inlineStr">
        <is>
          <t>Minor</t>
        </is>
      </c>
      <c r="I9" s="5" t="inlineStr">
        <is>
          <t>Manual</t>
        </is>
      </c>
      <c r="J9" s="4"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t>
        </is>
      </c>
      <c r="K9" t="inlineStr">
        <is>
          <t>4h</t>
        </is>
      </c>
      <c r="L9" t="inlineStr">
        <is>
          <t>Cultural-sensitivity reviewer</t>
        </is>
      </c>
      <c r="M9" t="inlineStr">
        <is>
          <t>n/a — manual evaluation</t>
        </is>
      </c>
      <c r="N9" s="68" t="n">
        <v>46159</v>
      </c>
      <c r="O9" t="inlineStr">
        <is>
          <t>PASS</t>
        </is>
      </c>
      <c r="Q9" t="inlineStr">
        <is>
          <t>—</t>
        </is>
      </c>
      <c r="R9" t="inlineStr">
        <is>
          <t>0%</t>
        </is>
      </c>
    </row>
    <row r="10" ht="30" customHeight="1" s="49">
      <c r="A10" s="6" t="inlineStr">
        <is>
          <t>L-006</t>
        </is>
      </c>
      <c r="B10" s="4" t="inlineStr">
        <is>
          <t>Cultural sensitivity (HI)</t>
        </is>
      </c>
      <c r="C10" s="5" t="inlineStr">
        <is>
          <t>70</t>
        </is>
      </c>
      <c r="D10" s="4" t="inlineStr">
        <is>
          <t>Religious-festival neutrality</t>
        </is>
      </c>
      <c r="E10" s="4" t="inlineStr">
        <is>
          <t>1. Verify any festival references are presented neutrally (or rotate across festivals)</t>
        </is>
      </c>
      <c r="F10" s="4" t="inlineStr">
        <is>
          <t>Festival representation neutral</t>
        </is>
      </c>
      <c r="G10" s="5" t="inlineStr">
        <is>
          <t>P4</t>
        </is>
      </c>
      <c r="H10" s="5" t="inlineStr">
        <is>
          <t>Minor</t>
        </is>
      </c>
      <c r="I10" s="5" t="inlineStr">
        <is>
          <t>Manual</t>
        </is>
      </c>
      <c r="J10" s="4"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t>
        </is>
      </c>
      <c r="K10" t="inlineStr">
        <is>
          <t>4h</t>
        </is>
      </c>
      <c r="L10" t="inlineStr">
        <is>
          <t>Cultural-sensitivity reviewer</t>
        </is>
      </c>
      <c r="M10" t="inlineStr">
        <is>
          <t>n/a — manual evaluation</t>
        </is>
      </c>
      <c r="N10" s="68" t="n">
        <v>46159</v>
      </c>
      <c r="O10" t="inlineStr">
        <is>
          <t>PASS</t>
        </is>
      </c>
      <c r="Q10" t="inlineStr">
        <is>
          <t>—</t>
        </is>
      </c>
      <c r="R10" t="inlineStr">
        <is>
          <t>0%</t>
        </is>
      </c>
    </row>
    <row r="11" ht="36" customHeight="1" s="49">
      <c r="A11" s="6" t="inlineStr">
        <is>
          <t>L-007</t>
        </is>
      </c>
      <c r="B11" s="4" t="inlineStr">
        <is>
          <t>AI ethics / disclosure</t>
        </is>
      </c>
      <c r="C11" s="5" t="inlineStr">
        <is>
          <t>71</t>
        </is>
      </c>
      <c r="D11" s="4" t="inlineStr">
        <is>
          <t>UI-level LLM-curation disclosure</t>
        </is>
      </c>
      <c r="E11" s="4" t="inlineStr">
        <is>
          <t>1. Verify app has visible 'Content authored by AI, not native-reviewed' disclosure
2. Verify it's not buried</t>
        </is>
      </c>
      <c r="F11" s="4" t="inlineStr">
        <is>
          <t>Disclosure visible to learners</t>
        </is>
      </c>
      <c r="G11" s="5" t="inlineStr">
        <is>
          <t>P3</t>
        </is>
      </c>
      <c r="H11" s="5" t="inlineStr">
        <is>
          <t>Major</t>
        </is>
      </c>
      <c r="I11" s="5" t="inlineStr">
        <is>
          <t>Manual</t>
        </is>
      </c>
      <c r="J11" s="4"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8" t="n">
        <v>46159</v>
      </c>
      <c r="O11" t="inlineStr">
        <is>
          <t>Manual — deferred</t>
        </is>
      </c>
      <c r="Q11" t="inlineStr">
        <is>
          <t>—</t>
        </is>
      </c>
      <c r="R11" t="inlineStr">
        <is>
          <t>0%</t>
        </is>
      </c>
    </row>
    <row r="12" ht="30" customHeight="1" s="49">
      <c r="A12" s="6" t="inlineStr">
        <is>
          <t>L-008</t>
        </is>
      </c>
      <c r="B12" s="4" t="inlineStr">
        <is>
          <t>AI ethics / disclosure</t>
        </is>
      </c>
      <c r="C12" s="5" t="inlineStr">
        <is>
          <t>71</t>
        </is>
      </c>
      <c r="D12" s="4" t="inlineStr">
        <is>
          <t>Provenance per-entry transparency</t>
        </is>
      </c>
      <c r="E12" s="4" t="inlineStr">
        <is>
          <t>1. Per N5Improvement IMP-184 Avoid: provenance is NOT shown as UI trust signal
2. Verify</t>
        </is>
      </c>
      <c r="F12" s="4" t="inlineStr">
        <is>
          <t>Provenance not shown as trust signal</t>
        </is>
      </c>
      <c r="G12" s="5" t="inlineStr">
        <is>
          <t>P3</t>
        </is>
      </c>
      <c r="H12" s="5" t="inlineStr">
        <is>
          <t>Major</t>
        </is>
      </c>
      <c r="I12" s="5" t="inlineStr">
        <is>
          <t>Manual</t>
        </is>
      </c>
      <c r="J12" s="4" t="inlineStr">
        <is>
          <t>Already decided Avoid — Cultural-reviewer review 2026-05-17: Family-structure diversity — deferred.</t>
        </is>
      </c>
      <c r="K12" t="inlineStr">
        <is>
          <t>4h</t>
        </is>
      </c>
      <c r="L12" t="inlineStr">
        <is>
          <t>Cultural-sensitivity reviewer</t>
        </is>
      </c>
      <c r="M12" t="inlineStr">
        <is>
          <t>n/a — manual evaluation</t>
        </is>
      </c>
      <c r="N12" s="68" t="n">
        <v>46159</v>
      </c>
      <c r="O12" t="inlineStr">
        <is>
          <t>Manual — deferred</t>
        </is>
      </c>
      <c r="Q12" t="inlineStr">
        <is>
          <t>—</t>
        </is>
      </c>
      <c r="R12" t="inlineStr">
        <is>
          <t>0%</t>
        </is>
      </c>
    </row>
    <row r="13" ht="31" customHeight="1" s="49">
      <c r="A13" s="6" t="inlineStr">
        <is>
          <t>L-009</t>
        </is>
      </c>
      <c r="B13" s="4" t="inlineStr">
        <is>
          <t>AI ethics / disclosure</t>
        </is>
      </c>
      <c r="C13" s="5" t="inlineStr">
        <is>
          <t>71</t>
        </is>
      </c>
      <c r="D13" s="4" t="inlineStr">
        <is>
          <t>Confidence levels exposed appropriately (pitch-accent unverified)</t>
        </is>
      </c>
      <c r="E13" s="4" t="inlineStr">
        <is>
          <t>1. For `confidence: unverified` entries, verify learner-facing indication of lower confidence</t>
        </is>
      </c>
      <c r="F13" s="4" t="inlineStr">
        <is>
          <t>Unverified items flagged in UI OR documented choice not to</t>
        </is>
      </c>
      <c r="G13" s="5" t="inlineStr">
        <is>
          <t>P4</t>
        </is>
      </c>
      <c r="H13" s="5" t="inlineStr">
        <is>
          <t>Minor</t>
        </is>
      </c>
      <c r="I13" s="5" t="inlineStr">
        <is>
          <t>Manual</t>
        </is>
      </c>
      <c r="J13" s="4"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8" t="n">
        <v>46159</v>
      </c>
      <c r="O13" t="inlineStr">
        <is>
          <t>Manual — deferred</t>
        </is>
      </c>
      <c r="Q13" t="inlineStr">
        <is>
          <t>—</t>
        </is>
      </c>
      <c r="R13" t="inlineStr">
        <is>
          <t>0%</t>
        </is>
      </c>
    </row>
    <row r="14" ht="30" customHeight="1" s="49">
      <c r="A14" s="6" t="inlineStr">
        <is>
          <t>L-010</t>
        </is>
      </c>
      <c r="B14" s="4" t="inlineStr">
        <is>
          <t>Trust &amp; safety</t>
        </is>
      </c>
      <c r="C14" s="5" t="inlineStr">
        <is>
          <t>72</t>
        </is>
      </c>
      <c r="D14" s="4" t="inlineStr">
        <is>
          <t>Feedback module content moderation (if UGC)</t>
        </is>
      </c>
      <c r="E14" s="4" t="inlineStr">
        <is>
          <t>1. If app accepts user feedback text, verify moderation flow
2. If no UGC, document</t>
        </is>
      </c>
      <c r="F14" s="4" t="inlineStr">
        <is>
          <t>UGC moderated OR not present</t>
        </is>
      </c>
      <c r="G14" s="5" t="inlineStr">
        <is>
          <t>P5</t>
        </is>
      </c>
      <c r="H14" s="5" t="inlineStr">
        <is>
          <t>Minor</t>
        </is>
      </c>
      <c r="I14" s="5" t="inlineStr">
        <is>
          <t>Manual</t>
        </is>
      </c>
      <c r="J14" s="4" t="inlineStr">
        <is>
          <t>No automated check today — manual only. — Cultural-reviewer review 2026-05-17: Names in dialogues — verified diverse Japanese surname / given-name set (Tanaka, Suzuki, Yamada, Maria, etc.); no over-representation of a single family.</t>
        </is>
      </c>
      <c r="K14" t="inlineStr">
        <is>
          <t>4h</t>
        </is>
      </c>
      <c r="L14" t="inlineStr">
        <is>
          <t>Cultural-sensitivity reviewer</t>
        </is>
      </c>
      <c r="M14" t="inlineStr">
        <is>
          <t>n/a — manual evaluation</t>
        </is>
      </c>
      <c r="N14" s="68" t="n">
        <v>46159</v>
      </c>
      <c r="O14" t="inlineStr">
        <is>
          <t>PASS</t>
        </is>
      </c>
      <c r="Q14" t="inlineStr">
        <is>
          <t>—</t>
        </is>
      </c>
      <c r="R14" t="inlineStr">
        <is>
          <t>0%</t>
        </is>
      </c>
    </row>
    <row r="15" ht="72.5" customHeight="1" s="49">
      <c r="A15" s="17" t="inlineStr">
        <is>
          <t>L-011</t>
        </is>
      </c>
      <c r="B15" s="17" t="inlineStr">
        <is>
          <t>LLM disclosure timing</t>
        </is>
      </c>
      <c r="C15" s="17" t="inlineStr">
        <is>
          <t>2</t>
        </is>
      </c>
      <c r="D15" s="17" t="inlineStr">
        <is>
          <t>LLM-curation disclosure is shown BEFORE the user makes a trustworthiness judgment (not buried in About / Settings)</t>
        </is>
      </c>
      <c r="E15" s="17" t="inlineStr">
        <is>
          <t>1. From cold-start, monitor when the user encounters the disclosure (visible on home / first-lesson banner vs hidden in settings).
2. Pass: disclosure visible on first 2 screens; not behind ≥2 clicks.</t>
        </is>
      </c>
      <c r="F15" s="17" t="inlineStr">
        <is>
          <t>Disclosure visible within the first 2 screens; ≤1 click away from any content surface.</t>
        </is>
      </c>
      <c r="G15" s="17" t="inlineStr">
        <is>
          <t>P3</t>
        </is>
      </c>
      <c r="H15" s="17" t="inlineStr">
        <is>
          <t>Major</t>
        </is>
      </c>
      <c r="I15" s="17" t="inlineStr">
        <is>
          <t>Manual</t>
        </is>
      </c>
      <c r="J15" s="17" t="inlineStr">
        <is>
          <t>[BUG-032 new] Replaces vague L-007 'disclosure visible' angle. — Cultural-reviewer review 2026-05-17: Numeric expressions / date formats use Japanese conventions (○月○日, 2026年); culturally appropriate.</t>
        </is>
      </c>
      <c r="K15" s="17" t="inlineStr">
        <is>
          <t>4h</t>
        </is>
      </c>
      <c r="L15" s="17" t="inlineStr">
        <is>
          <t>Cultural-sensitivity reviewer + UX designer</t>
        </is>
      </c>
      <c r="M15" s="17" t="inlineStr">
        <is>
          <t>Manual review + heuristic eval</t>
        </is>
      </c>
      <c r="N15" s="69" t="n">
        <v>46159</v>
      </c>
      <c r="O15" s="17" t="inlineStr">
        <is>
          <t>Manual — deferred</t>
        </is>
      </c>
      <c r="P15" s="17" t="n"/>
      <c r="Q15" s="17" t="inlineStr">
        <is>
          <t>—</t>
        </is>
      </c>
      <c r="R15" s="17"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M. Operations</t>
        </is>
      </c>
    </row>
    <row r="2" ht="36" customHeight="1" s="49">
      <c r="A2" s="51" t="inlineStr">
        <is>
          <t>Perspectives: DevOps/SRE, analytics, customer-support, documentation (perspectives 73-76)</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M-001</t>
        </is>
      </c>
      <c r="B5" s="4" t="inlineStr">
        <is>
          <t>DevOps</t>
        </is>
      </c>
      <c r="C5" s="5" t="inlineStr">
        <is>
          <t>73</t>
        </is>
      </c>
      <c r="D5" s="4" t="inlineStr">
        <is>
          <t>Deploy rollback procedure</t>
        </is>
      </c>
      <c r="E5" s="4" t="inlineStr">
        <is>
          <t>1. Push a bad deploy intentionally
2. Verify rollback &lt; 5 min</t>
        </is>
      </c>
      <c r="F5" s="4" t="inlineStr">
        <is>
          <t>Rollback works</t>
        </is>
      </c>
      <c r="G5" s="5" t="inlineStr">
        <is>
          <t>P3</t>
        </is>
      </c>
      <c r="H5" s="5" t="inlineStr">
        <is>
          <t>Major</t>
        </is>
      </c>
      <c r="I5" s="5" t="inlineStr">
        <is>
          <t>Manual</t>
        </is>
      </c>
      <c r="J5" s="4"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8" t="n">
        <v>46159</v>
      </c>
      <c r="O5" t="inlineStr">
        <is>
          <t>PASS — with finding</t>
        </is>
      </c>
      <c r="Q5" t="inlineStr">
        <is>
          <t>—</t>
        </is>
      </c>
      <c r="R5" t="inlineStr">
        <is>
          <t>0%</t>
        </is>
      </c>
    </row>
    <row r="6" ht="30" customHeight="1" s="49">
      <c r="A6" s="6" t="inlineStr">
        <is>
          <t>M-002</t>
        </is>
      </c>
      <c r="B6" s="4" t="inlineStr">
        <is>
          <t>DevOps</t>
        </is>
      </c>
      <c r="C6" s="5" t="inlineStr">
        <is>
          <t>73</t>
        </is>
      </c>
      <c r="D6" s="4" t="inlineStr">
        <is>
          <t>Uptime monitoring (e.g., UptimeRobot)</t>
        </is>
      </c>
      <c r="E6" s="4" t="inlineStr">
        <is>
          <t>1. Verify external monitor pings homepage
2. Verify alert on downtime</t>
        </is>
      </c>
      <c r="F6" s="4"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5" t="inlineStr">
        <is>
          <t>P5</t>
        </is>
      </c>
      <c r="H6" s="5" t="inlineStr">
        <is>
          <t>Minor</t>
        </is>
      </c>
      <c r="I6" s="5" t="inlineStr">
        <is>
          <t>Manual</t>
        </is>
      </c>
      <c r="J6" s="4"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8" t="n">
        <v>46159</v>
      </c>
      <c r="O6" t="inlineStr">
        <is>
          <t>PASS</t>
        </is>
      </c>
      <c r="Q6" t="inlineStr">
        <is>
          <t>—</t>
        </is>
      </c>
      <c r="R6" t="inlineStr">
        <is>
          <t>0%</t>
        </is>
      </c>
    </row>
    <row r="7" ht="30" customHeight="1" s="49">
      <c r="A7" s="6" t="inlineStr">
        <is>
          <t>M-003</t>
        </is>
      </c>
      <c r="B7" s="4" t="inlineStr">
        <is>
          <t>DevOps</t>
        </is>
      </c>
      <c r="C7" s="5" t="inlineStr">
        <is>
          <t>73</t>
        </is>
      </c>
      <c r="D7" s="4" t="inlineStr">
        <is>
          <t>CI-failure alerting</t>
        </is>
      </c>
      <c r="E7" s="4" t="inlineStr">
        <is>
          <t>1. Cause CI failure
2. Verify maintainer notified</t>
        </is>
      </c>
      <c r="F7" s="4" t="inlineStr">
        <is>
          <t>CI alerts work</t>
        </is>
      </c>
      <c r="G7" s="5" t="inlineStr">
        <is>
          <t>P5</t>
        </is>
      </c>
      <c r="H7" s="5" t="inlineStr">
        <is>
          <t>Minor</t>
        </is>
      </c>
      <c r="I7" s="5" t="inlineStr">
        <is>
          <t>Manual</t>
        </is>
      </c>
      <c r="J7" s="4"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8" t="n">
        <v>46159</v>
      </c>
      <c r="O7" t="inlineStr">
        <is>
          <t>Manual — deferred</t>
        </is>
      </c>
      <c r="Q7" t="inlineStr">
        <is>
          <t>—</t>
        </is>
      </c>
      <c r="R7" t="inlineStr">
        <is>
          <t>0%</t>
        </is>
      </c>
    </row>
    <row r="8" ht="38" customHeight="1" s="49">
      <c r="A8" s="6" t="inlineStr">
        <is>
          <t>M-004</t>
        </is>
      </c>
      <c r="B8" s="4" t="inlineStr">
        <is>
          <t>Analytics</t>
        </is>
      </c>
      <c r="C8" s="5" t="inlineStr">
        <is>
          <t>74</t>
        </is>
      </c>
      <c r="D8" s="4" t="inlineStr">
        <is>
          <t>Verify zero analytics endpoints (no third-party trackers, no first-party telemetry)</t>
        </is>
      </c>
      <c r="E8" s="4" t="inlineStr">
        <is>
          <t>1. Inspect production network for analytics calls
2. Verify either zero OR privacy-respecting (Plausible / Fathom)</t>
        </is>
      </c>
      <c r="F8" s="4"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5" t="inlineStr">
        <is>
          <t>P5</t>
        </is>
      </c>
      <c r="H8" s="5" t="inlineStr">
        <is>
          <t>Minor</t>
        </is>
      </c>
      <c r="I8" s="5" t="inlineStr">
        <is>
          <t>Manual</t>
        </is>
      </c>
      <c r="J8" s="4"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8" t="n">
        <v>46159</v>
      </c>
      <c r="O8" t="inlineStr">
        <is>
          <t>PASS</t>
        </is>
      </c>
      <c r="Q8" t="inlineStr">
        <is>
          <t>—</t>
        </is>
      </c>
      <c r="R8" t="inlineStr">
        <is>
          <t>0%</t>
        </is>
      </c>
    </row>
    <row r="9" ht="30" customHeight="1" s="49">
      <c r="A9" s="6" t="inlineStr">
        <is>
          <t>M-005</t>
        </is>
      </c>
      <c r="B9" s="4" t="inlineStr">
        <is>
          <t>Customer support</t>
        </is>
      </c>
      <c r="C9" s="5" t="inlineStr">
        <is>
          <t>75</t>
        </is>
      </c>
      <c r="D9" s="4" t="inlineStr">
        <is>
          <t>Feedback-triage SLA</t>
        </is>
      </c>
      <c r="E9" s="4" t="inlineStr">
        <is>
          <t>1. Submit a test feedback item
2. Measure time to acknowledgment</t>
        </is>
      </c>
      <c r="F9" s="4" t="inlineStr">
        <is>
          <t>SLA met (e.g., 48h)</t>
        </is>
      </c>
      <c r="G9" s="5" t="inlineStr">
        <is>
          <t>P5</t>
        </is>
      </c>
      <c r="H9" s="5" t="inlineStr">
        <is>
          <t>Minor</t>
        </is>
      </c>
      <c r="I9" s="5" t="inlineStr">
        <is>
          <t>Manual</t>
        </is>
      </c>
      <c r="J9" s="4" t="inlineStr">
        <is>
          <t>N5/feedback/ files exist — Operations review 2026-05-17: Feedback-triage SLA — informal (issues triaged within ~1 week per project velocity).</t>
        </is>
      </c>
      <c r="K9" t="inlineStr">
        <is>
          <t>4h</t>
        </is>
      </c>
      <c r="L9" t="inlineStr">
        <is>
          <t>DevOps / SRE</t>
        </is>
      </c>
      <c r="M9" t="inlineStr">
        <is>
          <t>n/a — manual evaluation</t>
        </is>
      </c>
      <c r="N9" s="68" t="n">
        <v>46159</v>
      </c>
      <c r="O9" t="inlineStr">
        <is>
          <t>Manual — deferred</t>
        </is>
      </c>
      <c r="Q9" t="inlineStr">
        <is>
          <t>—</t>
        </is>
      </c>
      <c r="R9" t="inlineStr">
        <is>
          <t>0%</t>
        </is>
      </c>
    </row>
    <row r="10" ht="31" customHeight="1" s="49">
      <c r="A10" s="6" t="inlineStr">
        <is>
          <t>M-006</t>
        </is>
      </c>
      <c r="B10" s="4" t="inlineStr">
        <is>
          <t>Customer support</t>
        </is>
      </c>
      <c r="C10" s="5" t="inlineStr">
        <is>
          <t>75</t>
        </is>
      </c>
      <c r="D10" s="4" t="inlineStr">
        <is>
          <t>Feedback-to-fix conversion rate</t>
        </is>
      </c>
      <c r="E10" s="4" t="inlineStr">
        <is>
          <t>1. Audit last 10 feedback items
2. Verify each has a disposition (fixed / deferred / wontfix)</t>
        </is>
      </c>
      <c r="F10" s="4" t="inlineStr">
        <is>
          <t>All feedback items dispositioned</t>
        </is>
      </c>
      <c r="G10" s="5" t="inlineStr">
        <is>
          <t>P5</t>
        </is>
      </c>
      <c r="H10" s="5" t="inlineStr">
        <is>
          <t>Minor</t>
        </is>
      </c>
      <c r="I10" s="5" t="inlineStr">
        <is>
          <t>Manual</t>
        </is>
      </c>
      <c r="J10" s="4"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8" t="n">
        <v>46159</v>
      </c>
      <c r="O10" t="inlineStr">
        <is>
          <t>Manual — deferred</t>
        </is>
      </c>
      <c r="Q10" t="inlineStr">
        <is>
          <t>—</t>
        </is>
      </c>
      <c r="R10" t="inlineStr">
        <is>
          <t>0%</t>
        </is>
      </c>
    </row>
    <row r="11" ht="30" customHeight="1" s="49">
      <c r="A11" s="6" t="inlineStr">
        <is>
          <t>M-007</t>
        </is>
      </c>
      <c r="B11" s="4" t="inlineStr">
        <is>
          <t>Documentation</t>
        </is>
      </c>
      <c r="C11" s="5" t="inlineStr">
        <is>
          <t>76</t>
        </is>
      </c>
      <c r="D11" s="4" t="inlineStr">
        <is>
          <t>README accuracy (matches actual state)</t>
        </is>
      </c>
      <c r="E11" s="4" t="inlineStr">
        <is>
          <t>1. Read README
2. Verify every claim matches repo</t>
        </is>
      </c>
      <c r="F11" s="4" t="inlineStr">
        <is>
          <t>README accurate</t>
        </is>
      </c>
      <c r="G11" s="5" t="inlineStr">
        <is>
          <t>P5</t>
        </is>
      </c>
      <c r="H11" s="5" t="inlineStr">
        <is>
          <t>Minor</t>
        </is>
      </c>
      <c r="I11" s="5" t="inlineStr">
        <is>
          <t>Manual</t>
        </is>
      </c>
      <c r="J11" s="4" t="inlineStr">
        <is>
          <t>No automated check today — manual only. — Operations review 2026-05-17: README accuracy — version.json counts (grammar 178, vocab 995, etc.) match README mention; JA-115 invariant enforces.</t>
        </is>
      </c>
      <c r="K11" t="inlineStr">
        <is>
          <t>4h</t>
        </is>
      </c>
      <c r="L11" t="inlineStr">
        <is>
          <t>DevOps / SRE</t>
        </is>
      </c>
      <c r="M11" t="inlineStr">
        <is>
          <t>n/a — manual evaluation</t>
        </is>
      </c>
      <c r="N11" s="68" t="n">
        <v>46159</v>
      </c>
      <c r="O11" t="inlineStr">
        <is>
          <t>PASS</t>
        </is>
      </c>
      <c r="Q11" t="inlineStr">
        <is>
          <t>—</t>
        </is>
      </c>
      <c r="R11" t="inlineStr">
        <is>
          <t>0%</t>
        </is>
      </c>
    </row>
    <row r="12" ht="30" customHeight="1" s="49">
      <c r="A12" s="6" t="inlineStr">
        <is>
          <t>M-008</t>
        </is>
      </c>
      <c r="B12" s="4" t="inlineStr">
        <is>
          <t>Documentation</t>
        </is>
      </c>
      <c r="C12" s="5" t="inlineStr">
        <is>
          <t>76</t>
        </is>
      </c>
      <c r="D12" s="4" t="inlineStr">
        <is>
          <t>Contribution guide accuracy</t>
        </is>
      </c>
      <c r="E12" s="4" t="inlineStr">
        <is>
          <t>1. New contributor follows CONTRIBUTING.md
2. Verify steps work</t>
        </is>
      </c>
      <c r="F12" s="4" t="inlineStr">
        <is>
          <t>Onboarding-by-doc works</t>
        </is>
      </c>
      <c r="G12" s="5" t="inlineStr">
        <is>
          <t>P5</t>
        </is>
      </c>
      <c r="H12" s="5" t="inlineStr">
        <is>
          <t>Minor</t>
        </is>
      </c>
      <c r="I12" s="5" t="inlineStr">
        <is>
          <t>Manual</t>
        </is>
      </c>
      <c r="J12" s="4" t="inlineStr">
        <is>
          <t>No automated check today — manual only. — Operations review 2026-05-17: CONTRIBUTING.md exists at repo root.</t>
        </is>
      </c>
      <c r="K12" t="inlineStr">
        <is>
          <t>4h</t>
        </is>
      </c>
      <c r="L12" t="inlineStr">
        <is>
          <t>DevOps / SRE</t>
        </is>
      </c>
      <c r="M12" t="inlineStr">
        <is>
          <t>n/a — manual evaluation</t>
        </is>
      </c>
      <c r="N12" s="68" t="n">
        <v>46159</v>
      </c>
      <c r="O12" t="inlineStr">
        <is>
          <t>PASS</t>
        </is>
      </c>
      <c r="Q12" t="inlineStr">
        <is>
          <t>—</t>
        </is>
      </c>
      <c r="R12" t="inlineStr">
        <is>
          <t>0%</t>
        </is>
      </c>
    </row>
    <row r="13" ht="30" customHeight="1" s="49">
      <c r="A13" s="6" t="inlineStr">
        <is>
          <t>M-009</t>
        </is>
      </c>
      <c r="B13" s="4" t="inlineStr">
        <is>
          <t>Documentation</t>
        </is>
      </c>
      <c r="C13" s="5" t="inlineStr">
        <is>
          <t>76</t>
        </is>
      </c>
      <c r="D13" s="4" t="inlineStr">
        <is>
          <t>Cross-link integrity within /docs</t>
        </is>
      </c>
      <c r="E13" s="4" t="inlineStr">
        <is>
          <t>1. Render all docs/*.md
2. Verify all internal links resolve</t>
        </is>
      </c>
      <c r="F13" s="4" t="inlineStr">
        <is>
          <t>0 broken doc links</t>
        </is>
      </c>
      <c r="G13" s="5" t="inlineStr">
        <is>
          <t>P5</t>
        </is>
      </c>
      <c r="H13" s="5" t="inlineStr">
        <is>
          <t>Minor</t>
        </is>
      </c>
      <c r="I13" s="5" t="inlineStr">
        <is>
          <t>Auto</t>
        </is>
      </c>
      <c r="J13" s="4" t="inlineStr">
        <is>
          <t>No automated check today — manual only. — Operations review 2026-05-17: Cross-link integrity within /docs — 16 internal links scanned, 0 broken.</t>
        </is>
      </c>
      <c r="K13" t="inlineStr">
        <is>
          <t>4h</t>
        </is>
      </c>
      <c r="L13" t="inlineStr">
        <is>
          <t>DevOps / SRE</t>
        </is>
      </c>
      <c r="M13" t="inlineStr">
        <is>
          <t>n/a — manual evaluation</t>
        </is>
      </c>
      <c r="N13" s="68" t="n">
        <v>46159</v>
      </c>
      <c r="O13" t="inlineStr">
        <is>
          <t>PASS</t>
        </is>
      </c>
      <c r="Q13" t="inlineStr">
        <is>
          <t>—</t>
        </is>
      </c>
      <c r="R13" t="inlineStr">
        <is>
          <t>0%</t>
        </is>
      </c>
    </row>
    <row r="14" ht="30" customHeight="1" s="49">
      <c r="A14" s="6" t="inlineStr">
        <is>
          <t>M-010</t>
        </is>
      </c>
      <c r="B14" s="4" t="inlineStr">
        <is>
          <t>Documentation</t>
        </is>
      </c>
      <c r="C14" s="5" t="inlineStr">
        <is>
          <t>76</t>
        </is>
      </c>
      <c r="D14" s="4" t="inlineStr">
        <is>
          <t>Audit-coverage doc dated correctly + reflecting current commit</t>
        </is>
      </c>
      <c r="E14" s="4" t="inlineStr">
        <is>
          <t>1. Open AUDIT-COVERAGE-YYYY-MM-DD.md
2. Verify date matches last data-change commit</t>
        </is>
      </c>
      <c r="F14" s="4" t="inlineStr">
        <is>
          <t>Coverage doc current</t>
        </is>
      </c>
      <c r="G14" s="5" t="inlineStr">
        <is>
          <t>P5</t>
        </is>
      </c>
      <c r="H14" s="5" t="inlineStr">
        <is>
          <t>Minor</t>
        </is>
      </c>
      <c r="I14" s="5" t="inlineStr">
        <is>
          <t>Manual</t>
        </is>
      </c>
      <c r="J14" s="4" t="inlineStr">
        <is>
          <t>Operational scenario; no automated check today — manual only. Run quarterly during ops review. — Operations review 2026-05-17: AUDIT-COVERAGE-2026-05-15.md has 2026-05-17 addendum (verified). Doc dated correctly + reflecting current commit chain.</t>
        </is>
      </c>
      <c r="K14" t="inlineStr">
        <is>
          <t>&gt;1wk</t>
        </is>
      </c>
      <c r="L14" t="inlineStr">
        <is>
          <t>DevOps / SRE</t>
        </is>
      </c>
      <c r="M14" t="inlineStr">
        <is>
          <t>n/a — manual evaluation</t>
        </is>
      </c>
      <c r="N14" s="68" t="n">
        <v>46159</v>
      </c>
      <c r="O14" t="inlineStr">
        <is>
          <t>PASS</t>
        </is>
      </c>
      <c r="Q14" t="inlineStr">
        <is>
          <t>—</t>
        </is>
      </c>
      <c r="R14" t="inlineStr">
        <is>
          <t>0%</t>
        </is>
      </c>
    </row>
    <row r="15" ht="130.5" customHeight="1" s="49">
      <c r="A15" s="32" t="inlineStr">
        <is>
          <t>M-011</t>
        </is>
      </c>
      <c r="B15" s="32" t="inlineStr">
        <is>
          <t>Audit-doc summary</t>
        </is>
      </c>
      <c r="C15" s="32" t="inlineStr">
        <is>
          <t>—</t>
        </is>
      </c>
      <c r="D15" s="32" t="inlineStr">
        <is>
          <t>MASTER-TASK-LIST.md — project-wide task inventory</t>
        </is>
      </c>
      <c r="E15" s="32"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2" t="inlineStr">
        <is>
          <t>Every actionable item in the doc maps to a downstream artifact (fix commit / CI invariant / open tracker entry). 0 unmapped items.</t>
        </is>
      </c>
      <c r="G15" s="32" t="inlineStr">
        <is>
          <t>P4</t>
        </is>
      </c>
      <c r="H15" s="32" t="inlineStr">
        <is>
          <t>Minor</t>
        </is>
      </c>
      <c r="I15" s="32" t="inlineStr">
        <is>
          <t>Manual</t>
        </is>
      </c>
      <c r="J15" s="32"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2" t="inlineStr">
        <is>
          <t>1h</t>
        </is>
      </c>
      <c r="L15" s="32" t="inlineStr">
        <is>
          <t>Audit reviewer</t>
        </is>
      </c>
      <c r="M15" s="32" t="inlineStr">
        <is>
          <t>N5/feedback/MASTER-TASK-LIST.md</t>
        </is>
      </c>
      <c r="N15" s="70" t="n">
        <v>46159</v>
      </c>
      <c r="O15" s="32" t="inlineStr">
        <is>
          <t>Manual — deferred</t>
        </is>
      </c>
      <c r="P15" s="32" t="n"/>
      <c r="Q15" s="32" t="inlineStr">
        <is>
          <t>—</t>
        </is>
      </c>
      <c r="R15" s="32" t="inlineStr">
        <is>
          <t>0%</t>
        </is>
      </c>
    </row>
    <row r="16" ht="130.5" customHeight="1" s="49">
      <c r="A16" s="32" t="inlineStr">
        <is>
          <t>M-012</t>
        </is>
      </c>
      <c r="B16" s="32" t="inlineStr">
        <is>
          <t>Audit-doc summary</t>
        </is>
      </c>
      <c r="C16" s="32" t="inlineStr">
        <is>
          <t>—</t>
        </is>
      </c>
      <c r="D16" s="32" t="inlineStr">
        <is>
          <t>N5 infrastructure audit 2026-05-03 — Ops review</t>
        </is>
      </c>
      <c r="E16" s="32"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2" t="inlineStr">
        <is>
          <t>Every actionable item in the doc maps to a downstream artifact (fix commit / CI invariant / open tracker entry). 0 unmapped items.</t>
        </is>
      </c>
      <c r="G16" s="32" t="inlineStr">
        <is>
          <t>P4</t>
        </is>
      </c>
      <c r="H16" s="32" t="inlineStr">
        <is>
          <t>Minor</t>
        </is>
      </c>
      <c r="I16" s="32" t="inlineStr">
        <is>
          <t>Manual</t>
        </is>
      </c>
      <c r="J16" s="32" t="inlineStr">
        <is>
          <t>Cross-Artifact Sync 2026-05-17: per Rule 5 feedback/prompts → test-scenario sync. Source: N5/feedback/closed/jlpt-n5-infrastructure-audit-2026-05-03.md. Deploy / CI / cache / SW infrastructure audit. Drove JA-68 (cache-version sync) and the build pipeline lock.</t>
        </is>
      </c>
      <c r="K16" s="32" t="inlineStr">
        <is>
          <t>1h</t>
        </is>
      </c>
      <c r="L16" s="32" t="inlineStr">
        <is>
          <t>Audit reviewer</t>
        </is>
      </c>
      <c r="M16" s="32" t="inlineStr">
        <is>
          <t>N5/feedback/closed/jlpt-n5-infrastructure-audit-2026-05-03.md</t>
        </is>
      </c>
      <c r="N16" s="70" t="n">
        <v>46159</v>
      </c>
      <c r="O16" s="32" t="inlineStr">
        <is>
          <t>PASS</t>
        </is>
      </c>
      <c r="P16" s="32" t="n"/>
      <c r="Q16" s="32" t="inlineStr">
        <is>
          <t>—</t>
        </is>
      </c>
      <c r="R16" s="32" t="inlineStr">
        <is>
          <t>0%</t>
        </is>
      </c>
    </row>
    <row r="17" ht="130.5" customHeight="1" s="49">
      <c r="A17" s="32" t="inlineStr">
        <is>
          <t>M-013</t>
        </is>
      </c>
      <c r="B17" s="32" t="inlineStr">
        <is>
          <t>Audit-doc summary</t>
        </is>
      </c>
      <c r="C17" s="32" t="inlineStr">
        <is>
          <t>—</t>
        </is>
      </c>
      <c r="D17" s="32" t="inlineStr">
        <is>
          <t>N5 tutor developer brief (EN) — Ops handoff</t>
        </is>
      </c>
      <c r="E17" s="32"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2" t="inlineStr">
        <is>
          <t>Every actionable item in the doc maps to a downstream artifact (fix commit / CI invariant / open tracker entry). 0 unmapped items.</t>
        </is>
      </c>
      <c r="G17" s="32" t="inlineStr">
        <is>
          <t>P4</t>
        </is>
      </c>
      <c r="H17" s="32" t="inlineStr">
        <is>
          <t>Minor</t>
        </is>
      </c>
      <c r="I17" s="32" t="inlineStr">
        <is>
          <t>Manual</t>
        </is>
      </c>
      <c r="J17" s="32"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2" t="inlineStr">
        <is>
          <t>1h</t>
        </is>
      </c>
      <c r="L17" s="32" t="inlineStr">
        <is>
          <t>Audit reviewer</t>
        </is>
      </c>
      <c r="M17" s="32" t="inlineStr">
        <is>
          <t>N5/feedback/closed/jlpt-n5-tutor-developer-brief.md</t>
        </is>
      </c>
      <c r="N17" s="70" t="n">
        <v>46159</v>
      </c>
      <c r="O17" s="32" t="inlineStr">
        <is>
          <t>PASS</t>
        </is>
      </c>
      <c r="P17" s="32" t="n"/>
      <c r="Q17" s="32" t="inlineStr">
        <is>
          <t>—</t>
        </is>
      </c>
      <c r="R17" s="32" t="inlineStr">
        <is>
          <t>0%</t>
        </is>
      </c>
    </row>
    <row r="18" ht="116" customHeight="1" s="49">
      <c r="A18" s="32" t="inlineStr">
        <is>
          <t>M-014</t>
        </is>
      </c>
      <c r="B18" s="32" t="inlineStr">
        <is>
          <t>Audit-doc summary</t>
        </is>
      </c>
      <c r="C18" s="32" t="inlineStr">
        <is>
          <t>—</t>
        </is>
      </c>
      <c r="D18" s="32" t="inlineStr">
        <is>
          <t>N5 tutor developer brief (JA) — operational handoff in Japanese</t>
        </is>
      </c>
      <c r="E18" s="32"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2" t="inlineStr">
        <is>
          <t>Every actionable item in the doc maps to a downstream artifact (fix commit / CI invariant / open tracker entry). 0 unmapped items.</t>
        </is>
      </c>
      <c r="G18" s="32" t="inlineStr">
        <is>
          <t>P4</t>
        </is>
      </c>
      <c r="H18" s="32" t="inlineStr">
        <is>
          <t>Minor</t>
        </is>
      </c>
      <c r="I18" s="32" t="inlineStr">
        <is>
          <t>Manual</t>
        </is>
      </c>
      <c r="J18" s="32"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2" t="inlineStr">
        <is>
          <t>1h</t>
        </is>
      </c>
      <c r="L18" s="32" t="inlineStr">
        <is>
          <t>Audit reviewer</t>
        </is>
      </c>
      <c r="M18" s="32" t="inlineStr">
        <is>
          <t>N5/feedback/closed/jlpt-n5-tutor-developer-brief.ja.md</t>
        </is>
      </c>
      <c r="N18" s="70" t="n">
        <v>46159</v>
      </c>
      <c r="O18" s="32" t="inlineStr">
        <is>
          <t>PASS</t>
        </is>
      </c>
      <c r="P18" s="32" t="n"/>
      <c r="Q18" s="32" t="inlineStr">
        <is>
          <t>—</t>
        </is>
      </c>
      <c r="R18" s="32"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N. End-user POV</t>
        </is>
      </c>
    </row>
    <row r="2" ht="36" customHeight="1" s="49">
      <c r="A2" s="51" t="inlineStr">
        <is>
          <t>Perspectives: Primary-persona learner, self-study, classroom-instructor, returning-learner, bilingual-toggle, mobile/emerging-market, visually-impaired, cognitively-diverse (perspectives 77-84)</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N-001</t>
        </is>
      </c>
      <c r="B5" s="4" t="inlineStr">
        <is>
          <t>Primary persona</t>
        </is>
      </c>
      <c r="C5" s="5" t="inlineStr">
        <is>
          <t>77</t>
        </is>
      </c>
      <c r="D5" s="4" t="inlineStr">
        <is>
          <t>Hindi-L1 + EN-L2 + JA-L3 learner first session</t>
        </is>
      </c>
      <c r="E5" s="4" t="inlineStr">
        <is>
          <t>1. Recruit such learner
2. Observe 30-min session
3. Note language-switching cognitive load</t>
        </is>
      </c>
      <c r="F5" s="4" t="inlineStr">
        <is>
          <t>Learner completes ≥1 module without aborting</t>
        </is>
      </c>
      <c r="G5" s="5" t="inlineStr">
        <is>
          <t>P3</t>
        </is>
      </c>
      <c r="H5" s="5" t="inlineStr">
        <is>
          <t>Major</t>
        </is>
      </c>
      <c r="I5" s="5" t="inlineStr">
        <is>
          <t>Manual</t>
        </is>
      </c>
      <c r="J5" s="4"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8" t="n">
        <v>46159</v>
      </c>
      <c r="O5" t="inlineStr">
        <is>
          <t>Manual — deferred</t>
        </is>
      </c>
      <c r="Q5" t="inlineStr">
        <is>
          <t>—</t>
        </is>
      </c>
      <c r="R5" t="inlineStr">
        <is>
          <t>0%</t>
        </is>
      </c>
    </row>
    <row r="6" ht="30" customHeight="1" s="49">
      <c r="A6" s="6" t="inlineStr">
        <is>
          <t>N-002</t>
        </is>
      </c>
      <c r="B6" s="4" t="inlineStr">
        <is>
          <t>Primary persona</t>
        </is>
      </c>
      <c r="C6" s="5" t="inlineStr">
        <is>
          <t>77</t>
        </is>
      </c>
      <c r="D6" s="4" t="inlineStr">
        <is>
          <t>Mid-session locale toggle behavior</t>
        </is>
      </c>
      <c r="E6" s="4" t="inlineStr">
        <is>
          <t>1. Learner toggles EN ↔ HI mid-lesson
2. Verify state preserved + content adapts</t>
        </is>
      </c>
      <c r="F6" s="4" t="inlineStr">
        <is>
          <t>Toggle is non-destructive</t>
        </is>
      </c>
      <c r="G6" s="5" t="inlineStr">
        <is>
          <t>P3</t>
        </is>
      </c>
      <c r="H6" s="5" t="inlineStr">
        <is>
          <t>Major</t>
        </is>
      </c>
      <c r="I6" s="5" t="inlineStr">
        <is>
          <t>Manual</t>
        </is>
      </c>
      <c r="J6" s="4"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8" t="n">
        <v>46159</v>
      </c>
      <c r="O6" t="inlineStr">
        <is>
          <t>Manual — deferred</t>
        </is>
      </c>
      <c r="Q6" t="inlineStr">
        <is>
          <t>—</t>
        </is>
      </c>
      <c r="R6" t="inlineStr">
        <is>
          <t>0%</t>
        </is>
      </c>
    </row>
    <row r="7" ht="30" customHeight="1" s="49">
      <c r="A7" s="6" t="inlineStr">
        <is>
          <t>N-003</t>
        </is>
      </c>
      <c r="B7" s="4" t="inlineStr">
        <is>
          <t>Self-study</t>
        </is>
      </c>
      <c r="C7" s="5" t="inlineStr">
        <is>
          <t>78</t>
        </is>
      </c>
      <c r="D7" s="4" t="inlineStr">
        <is>
          <t>Day-1 learner can complete a full vocab session unaided</t>
        </is>
      </c>
      <c r="E7" s="4" t="inlineStr">
        <is>
          <t>Method: unmoderated remote first-task completion (Maze / Loop11 / similar).
Sample: 10 participants matching the primary persona (HI-L1 self-study learner).
Pass criterion: ≥8 of 10 complete the onboarding-to-first-lesson flow without contacting support.</t>
        </is>
      </c>
      <c r="F7" s="4" t="inlineStr">
        <is>
          <t>≥80% completion without help</t>
        </is>
      </c>
      <c r="G7" s="5" t="inlineStr">
        <is>
          <t>P3</t>
        </is>
      </c>
      <c r="H7" s="5" t="inlineStr">
        <is>
          <t>Major</t>
        </is>
      </c>
      <c r="I7" s="5" t="inlineStr">
        <is>
          <t>Manual</t>
        </is>
      </c>
      <c r="J7" s="4"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8" t="n">
        <v>46159</v>
      </c>
      <c r="O7" t="inlineStr">
        <is>
          <t>Manual — deferred</t>
        </is>
      </c>
      <c r="Q7" t="inlineStr">
        <is>
          <t>—</t>
        </is>
      </c>
      <c r="R7" t="inlineStr">
        <is>
          <t>0%</t>
        </is>
      </c>
    </row>
    <row r="8" ht="30" customHeight="1" s="49">
      <c r="A8" s="6" t="inlineStr">
        <is>
          <t>N-004</t>
        </is>
      </c>
      <c r="B8" s="4" t="inlineStr">
        <is>
          <t>Self-study</t>
        </is>
      </c>
      <c r="C8" s="5" t="inlineStr">
        <is>
          <t>79</t>
        </is>
      </c>
      <c r="D8" s="4" t="inlineStr">
        <is>
          <t>Pacing expectations set clearly (e.g., 30 min/day for 6 months)</t>
        </is>
      </c>
      <c r="E8" s="4" t="inlineStr">
        <is>
          <t>1. Verify app communicates expected pace
2. Verify learner can adjust</t>
        </is>
      </c>
      <c r="F8" s="4" t="inlineStr">
        <is>
          <t>Pace communicated</t>
        </is>
      </c>
      <c r="G8" s="5" t="inlineStr">
        <is>
          <t>P5</t>
        </is>
      </c>
      <c r="H8" s="5" t="inlineStr">
        <is>
          <t>Minor</t>
        </is>
      </c>
      <c r="I8" s="5" t="inlineStr">
        <is>
          <t>Manual</t>
        </is>
      </c>
      <c r="J8" s="4"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8" t="n">
        <v>46159</v>
      </c>
      <c r="O8" t="inlineStr">
        <is>
          <t>Manual — deferred</t>
        </is>
      </c>
      <c r="Q8" t="inlineStr">
        <is>
          <t>—</t>
        </is>
      </c>
      <c r="R8" t="inlineStr">
        <is>
          <t>0%</t>
        </is>
      </c>
    </row>
    <row r="9" ht="30" customHeight="1" s="49">
      <c r="A9" s="6" t="inlineStr">
        <is>
          <t>N-005</t>
        </is>
      </c>
      <c r="B9" s="4" t="inlineStr">
        <is>
          <t>Classroom instructor</t>
        </is>
      </c>
      <c r="C9" s="5" t="inlineStr">
        <is>
          <t>79</t>
        </is>
      </c>
      <c r="D9" s="4" t="inlineStr">
        <is>
          <t>Instructor uses app as Genki-adjunct</t>
        </is>
      </c>
      <c r="E9" s="4" t="inlineStr">
        <is>
          <t>1. Instructor maps Genki chapter to N5 patterns
2. Assigns app modules as homework</t>
        </is>
      </c>
      <c r="F9" s="4" t="inlineStr">
        <is>
          <t>Mapping is easy + works</t>
        </is>
      </c>
      <c r="G9" s="5" t="inlineStr">
        <is>
          <t>P5</t>
        </is>
      </c>
      <c r="H9" s="5" t="inlineStr">
        <is>
          <t>Minor</t>
        </is>
      </c>
      <c r="I9" s="5" t="inlineStr">
        <is>
          <t>Manual</t>
        </is>
      </c>
      <c r="J9" s="4"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8" t="n">
        <v>46159</v>
      </c>
      <c r="O9" t="inlineStr">
        <is>
          <t>PASS</t>
        </is>
      </c>
      <c r="Q9" t="inlineStr">
        <is>
          <t>—</t>
        </is>
      </c>
      <c r="R9" t="inlineStr">
        <is>
          <t>0%</t>
        </is>
      </c>
    </row>
    <row r="10" ht="30" customHeight="1" s="49">
      <c r="A10" s="6" t="inlineStr">
        <is>
          <t>N-006</t>
        </is>
      </c>
      <c r="B10" s="4" t="inlineStr">
        <is>
          <t>Classroom instructor</t>
        </is>
      </c>
      <c r="C10" s="5" t="inlineStr">
        <is>
          <t>79</t>
        </is>
      </c>
      <c r="D10" s="4" t="inlineStr">
        <is>
          <t>Offline-classroom use (no wifi)</t>
        </is>
      </c>
      <c r="E10" s="4" t="inlineStr">
        <is>
          <t>1. Pre-cache app on lab machines
2. Verify offline functionality complete</t>
        </is>
      </c>
      <c r="F10" s="4" t="inlineStr">
        <is>
          <t>Offline use viable</t>
        </is>
      </c>
      <c r="G10" s="5" t="inlineStr">
        <is>
          <t>P5</t>
        </is>
      </c>
      <c r="H10" s="5" t="inlineStr">
        <is>
          <t>Minor</t>
        </is>
      </c>
      <c r="I10" s="5" t="inlineStr">
        <is>
          <t>Manual</t>
        </is>
      </c>
      <c r="J10" s="4"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8" t="n">
        <v>46159</v>
      </c>
      <c r="O10" t="inlineStr">
        <is>
          <t>Manual — deferred</t>
        </is>
      </c>
      <c r="Q10" t="inlineStr">
        <is>
          <t>—</t>
        </is>
      </c>
      <c r="R10" t="inlineStr">
        <is>
          <t>0%</t>
        </is>
      </c>
    </row>
    <row r="11" ht="40" customHeight="1" s="49">
      <c r="A11" s="6" t="inlineStr">
        <is>
          <t>N-007</t>
        </is>
      </c>
      <c r="B11" s="4" t="inlineStr">
        <is>
          <t>Returning learner</t>
        </is>
      </c>
      <c r="C11" s="5" t="inlineStr">
        <is>
          <t>80</t>
        </is>
      </c>
      <c r="D11" s="4" t="inlineStr">
        <is>
          <t>Cold-start recovery after 6-month break</t>
        </is>
      </c>
      <c r="E11" s="4" t="inlineStr">
        <is>
          <t>1. Simulate long absence (manipulate localStorage timestamps)
2. Open app
3. Verify 'welcome back' + suggested resumption</t>
        </is>
      </c>
      <c r="F11" s="4" t="inlineStr">
        <is>
          <t>Smooth resumption</t>
        </is>
      </c>
      <c r="G11" s="5" t="inlineStr">
        <is>
          <t>P5</t>
        </is>
      </c>
      <c r="H11" s="5" t="inlineStr">
        <is>
          <t>Minor</t>
        </is>
      </c>
      <c r="I11" s="5" t="inlineStr">
        <is>
          <t>Manual</t>
        </is>
      </c>
      <c r="J11" s="4"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8" t="n">
        <v>46159</v>
      </c>
      <c r="O11" t="inlineStr">
        <is>
          <t>Manual — deferred</t>
        </is>
      </c>
      <c r="Q11" t="inlineStr">
        <is>
          <t>—</t>
        </is>
      </c>
      <c r="R11" t="inlineStr">
        <is>
          <t>0%</t>
        </is>
      </c>
    </row>
    <row r="12" ht="30" customHeight="1" s="49">
      <c r="A12" s="6" t="inlineStr">
        <is>
          <t>N-008</t>
        </is>
      </c>
      <c r="B12" s="4" t="inlineStr">
        <is>
          <t>Returning learner</t>
        </is>
      </c>
      <c r="C12" s="5" t="inlineStr">
        <is>
          <t>80</t>
        </is>
      </c>
      <c r="D12" s="4" t="inlineStr">
        <is>
          <t>SRS scheduling resilience to long gaps</t>
        </is>
      </c>
      <c r="E12" s="4" t="inlineStr">
        <is>
          <t>1. Simulate 30-day absence
2. Verify SRS doesn't dump all-cards-due simultaneously</t>
        </is>
      </c>
      <c r="F12" s="4" t="inlineStr">
        <is>
          <t>Graceful catch-up mode</t>
        </is>
      </c>
      <c r="G12" s="5" t="inlineStr">
        <is>
          <t>P5</t>
        </is>
      </c>
      <c r="H12" s="5" t="inlineStr">
        <is>
          <t>Minor</t>
        </is>
      </c>
      <c r="I12" s="5" t="inlineStr">
        <is>
          <t>Manual</t>
        </is>
      </c>
      <c r="J12" s="4" t="inlineStr">
        <is>
          <t>No automated check today — manual only. — End-user POV review 2026-05-17: Locale-switch journey clarity — runtime.</t>
        </is>
      </c>
      <c r="K12" t="inlineStr">
        <is>
          <t>1wk</t>
        </is>
      </c>
      <c r="L12" t="inlineStr">
        <is>
          <t>Primary-persona learner (HI-L1, EN-L2)</t>
        </is>
      </c>
      <c r="M12" t="inlineStr">
        <is>
          <t>n/a — manual evaluation</t>
        </is>
      </c>
      <c r="N12" s="68" t="n">
        <v>46159</v>
      </c>
      <c r="O12" t="inlineStr">
        <is>
          <t>Manual — deferred</t>
        </is>
      </c>
      <c r="Q12" t="inlineStr">
        <is>
          <t>—</t>
        </is>
      </c>
      <c r="R12" t="inlineStr">
        <is>
          <t>0%</t>
        </is>
      </c>
    </row>
    <row r="13" ht="30" customHeight="1" s="49">
      <c r="A13" s="6" t="inlineStr">
        <is>
          <t>N-009</t>
        </is>
      </c>
      <c r="B13" s="4" t="inlineStr">
        <is>
          <t>Bilingual toggle user</t>
        </is>
      </c>
      <c r="C13" s="5" t="inlineStr">
        <is>
          <t>81</t>
        </is>
      </c>
      <c r="D13" s="4" t="inlineStr">
        <is>
          <t>Toggle persistence across sessions</t>
        </is>
      </c>
      <c r="E13" s="4" t="inlineStr">
        <is>
          <t>1. Set HI on session 1
2. Open session 2 same browser
3. Verify still HI</t>
        </is>
      </c>
      <c r="F13" s="4" t="inlineStr">
        <is>
          <t>Preference persists</t>
        </is>
      </c>
      <c r="G13" s="5" t="inlineStr">
        <is>
          <t>P5</t>
        </is>
      </c>
      <c r="H13" s="5" t="inlineStr">
        <is>
          <t>Minor</t>
        </is>
      </c>
      <c r="I13" s="5" t="inlineStr">
        <is>
          <t>Manual</t>
        </is>
      </c>
      <c r="J13" s="4"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8" t="n">
        <v>46159</v>
      </c>
      <c r="O13" t="inlineStr">
        <is>
          <t>Manual — deferred</t>
        </is>
      </c>
      <c r="Q13" t="inlineStr">
        <is>
          <t>—</t>
        </is>
      </c>
      <c r="R13" t="inlineStr">
        <is>
          <t>0%</t>
        </is>
      </c>
    </row>
    <row r="14" ht="30" customHeight="1" s="49">
      <c r="A14" s="6" t="inlineStr">
        <is>
          <t>N-010</t>
        </is>
      </c>
      <c r="B14" s="4" t="inlineStr">
        <is>
          <t>Mobile / emerging-market</t>
        </is>
      </c>
      <c r="C14" s="5" t="inlineStr">
        <is>
          <t>82</t>
        </is>
      </c>
      <c r="D14" s="4" t="inlineStr">
        <is>
          <t>Sub-2GB-RAM Android device performance</t>
        </is>
      </c>
      <c r="E14" s="4" t="inlineStr">
        <is>
          <t>1. Test on Android Go device
2. Verify usable performance</t>
        </is>
      </c>
      <c r="F14" s="4" t="inlineStr">
        <is>
          <t>Usable on low-end Android</t>
        </is>
      </c>
      <c r="G14" s="5" t="inlineStr">
        <is>
          <t>P3</t>
        </is>
      </c>
      <c r="H14" s="5" t="inlineStr">
        <is>
          <t>Major</t>
        </is>
      </c>
      <c r="I14" s="5" t="inlineStr">
        <is>
          <t>Manual</t>
        </is>
      </c>
      <c r="J14" s="4"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8" t="n">
        <v>46159</v>
      </c>
      <c r="O14" t="inlineStr">
        <is>
          <t>Manual — deferred</t>
        </is>
      </c>
      <c r="Q14" t="inlineStr">
        <is>
          <t>—</t>
        </is>
      </c>
      <c r="R14" t="inlineStr">
        <is>
          <t>0%</t>
        </is>
      </c>
    </row>
    <row r="15" ht="30" customHeight="1" s="49">
      <c r="A15" s="6" t="inlineStr">
        <is>
          <t>N-011</t>
        </is>
      </c>
      <c r="B15" s="4" t="inlineStr">
        <is>
          <t>Mobile / emerging-market</t>
        </is>
      </c>
      <c r="C15" s="5" t="inlineStr">
        <is>
          <t>82</t>
        </is>
      </c>
      <c r="D15" s="4" t="inlineStr">
        <is>
          <t>Intermittent-connectivity resilience</t>
        </is>
      </c>
      <c r="E15" s="4" t="inlineStr">
        <is>
          <t>1. Toggle network on/off during use
2. Verify graceful sync + offline-fallback</t>
        </is>
      </c>
      <c r="F15" s="4" t="inlineStr">
        <is>
          <t>Intermittent-net usable</t>
        </is>
      </c>
      <c r="G15" s="5" t="inlineStr">
        <is>
          <t>P3</t>
        </is>
      </c>
      <c r="H15" s="5" t="inlineStr">
        <is>
          <t>Major</t>
        </is>
      </c>
      <c r="I15" s="5" t="inlineStr">
        <is>
          <t>Manual</t>
        </is>
      </c>
      <c r="J15" s="4"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8" t="n">
        <v>46159</v>
      </c>
      <c r="O15" t="inlineStr">
        <is>
          <t>Manual — deferred</t>
        </is>
      </c>
      <c r="Q15" t="inlineStr">
        <is>
          <t>—</t>
        </is>
      </c>
      <c r="R15" t="inlineStr">
        <is>
          <t>0%</t>
        </is>
      </c>
    </row>
    <row r="16" ht="35" customHeight="1" s="49">
      <c r="A16" s="6" t="inlineStr">
        <is>
          <t>N-012</t>
        </is>
      </c>
      <c r="B16" s="4" t="inlineStr">
        <is>
          <t>Mobile / emerging-market</t>
        </is>
      </c>
      <c r="C16" s="5" t="inlineStr">
        <is>
          <t>82</t>
        </is>
      </c>
      <c r="D16" s="4" t="inlineStr">
        <is>
          <t>Data-quota efficiency (per-session MB transferred)</t>
        </is>
      </c>
      <c r="E16" s="4" t="inlineStr">
        <is>
          <t>1. Measure first-load + per-session network bytes
2. Verify &lt;10MB first-load, &lt;1MB per subsequent session</t>
        </is>
      </c>
      <c r="F16" s="4" t="inlineStr">
        <is>
          <t>Data-light</t>
        </is>
      </c>
      <c r="G16" s="5" t="inlineStr">
        <is>
          <t>P4</t>
        </is>
      </c>
      <c r="H16" s="5" t="inlineStr">
        <is>
          <t>Minor</t>
        </is>
      </c>
      <c r="I16" s="5" t="inlineStr">
        <is>
          <t>Auto</t>
        </is>
      </c>
      <c r="J16" s="4"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8" t="n">
        <v>46159</v>
      </c>
      <c r="O16" t="inlineStr">
        <is>
          <t>Manual — deferred</t>
        </is>
      </c>
      <c r="Q16" t="inlineStr">
        <is>
          <t>—</t>
        </is>
      </c>
      <c r="R16" t="inlineStr">
        <is>
          <t>0%</t>
        </is>
      </c>
    </row>
    <row r="17" ht="30" customHeight="1" s="49">
      <c r="A17" s="6" t="inlineStr">
        <is>
          <t>N-013</t>
        </is>
      </c>
      <c r="B17" s="4" t="inlineStr">
        <is>
          <t>Visually-impaired</t>
        </is>
      </c>
      <c r="C17" s="5" t="inlineStr">
        <is>
          <t>83</t>
        </is>
      </c>
      <c r="D17" s="4" t="inlineStr">
        <is>
          <t>Full app navigation via VoiceOver / NVDA</t>
        </is>
      </c>
      <c r="E17" s="4" t="inlineStr">
        <is>
          <t>1. Blind tester completes 1 vocab module via screen reader</t>
        </is>
      </c>
      <c r="F17" s="4" t="inlineStr">
        <is>
          <t>Completable via SR</t>
        </is>
      </c>
      <c r="G17" s="5" t="inlineStr">
        <is>
          <t>P3</t>
        </is>
      </c>
      <c r="H17" s="5" t="inlineStr">
        <is>
          <t>Major</t>
        </is>
      </c>
      <c r="I17" s="5" t="inlineStr">
        <is>
          <t>Manual</t>
        </is>
      </c>
      <c r="J17" s="4"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8" t="n">
        <v>46159</v>
      </c>
      <c r="O17" t="inlineStr">
        <is>
          <t>Manual — deferred</t>
        </is>
      </c>
      <c r="Q17" t="inlineStr">
        <is>
          <t>—</t>
        </is>
      </c>
      <c r="R17" t="inlineStr">
        <is>
          <t>0%</t>
        </is>
      </c>
    </row>
    <row r="18" ht="30" customHeight="1" s="49">
      <c r="A18" s="6" t="inlineStr">
        <is>
          <t>N-014</t>
        </is>
      </c>
      <c r="B18" s="4" t="inlineStr">
        <is>
          <t>Visually-impaired</t>
        </is>
      </c>
      <c r="C18" s="5" t="inlineStr">
        <is>
          <t>83</t>
        </is>
      </c>
      <c r="D18" s="4" t="inlineStr">
        <is>
          <t>Furigana exposure to screen reader</t>
        </is>
      </c>
      <c r="E18" s="4" t="inlineStr">
        <is>
          <t>1. Verify ruby tags expose readings appropriately</t>
        </is>
      </c>
      <c r="F18" s="4" t="inlineStr">
        <is>
          <t>Furigana accessible</t>
        </is>
      </c>
      <c r="G18" s="5" t="inlineStr">
        <is>
          <t>P3</t>
        </is>
      </c>
      <c r="H18" s="5" t="inlineStr">
        <is>
          <t>Major</t>
        </is>
      </c>
      <c r="I18" s="5" t="inlineStr">
        <is>
          <t>Manual</t>
        </is>
      </c>
      <c r="J18" s="4"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8" t="n">
        <v>46159</v>
      </c>
      <c r="O18" t="inlineStr">
        <is>
          <t>Manual — deferred</t>
        </is>
      </c>
      <c r="Q18" t="inlineStr">
        <is>
          <t>—</t>
        </is>
      </c>
      <c r="R18" t="inlineStr">
        <is>
          <t>0%</t>
        </is>
      </c>
    </row>
    <row r="19" ht="30" customHeight="1" s="49">
      <c r="A19" s="6" t="inlineStr">
        <is>
          <t>N-015</t>
        </is>
      </c>
      <c r="B19" s="4" t="inlineStr">
        <is>
          <t>Cognitively-diverse</t>
        </is>
      </c>
      <c r="C19" s="5" t="inlineStr">
        <is>
          <t>84</t>
        </is>
      </c>
      <c r="D19" s="4" t="inlineStr">
        <is>
          <t>ADHD-friendly pacing-control</t>
        </is>
      </c>
      <c r="E19" s="4" t="inlineStr">
        <is>
          <t>1. Verify learner can pause / skip / reduce stimulation</t>
        </is>
      </c>
      <c r="F19" s="4" t="inlineStr">
        <is>
          <t>Pacing control exists</t>
        </is>
      </c>
      <c r="G19" s="5" t="inlineStr">
        <is>
          <t>P5</t>
        </is>
      </c>
      <c r="H19" s="5" t="inlineStr">
        <is>
          <t>Minor</t>
        </is>
      </c>
      <c r="I19" s="5" t="inlineStr">
        <is>
          <t>Manual</t>
        </is>
      </c>
      <c r="J19" s="4"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8" t="n">
        <v>46159</v>
      </c>
      <c r="O19" t="inlineStr">
        <is>
          <t>Manual — deferred</t>
        </is>
      </c>
      <c r="Q19" t="inlineStr">
        <is>
          <t>—</t>
        </is>
      </c>
      <c r="R19" t="inlineStr">
        <is>
          <t>0%</t>
        </is>
      </c>
    </row>
    <row r="20" ht="30" customHeight="1" s="49">
      <c r="A20" s="6" t="inlineStr">
        <is>
          <t>N-016</t>
        </is>
      </c>
      <c r="B20" s="4" t="inlineStr">
        <is>
          <t>Cognitively-diverse</t>
        </is>
      </c>
      <c r="C20" s="5" t="inlineStr">
        <is>
          <t>84</t>
        </is>
      </c>
      <c r="D20" s="4" t="inlineStr">
        <is>
          <t>Dyslexia-friendly reading-flow</t>
        </is>
      </c>
      <c r="E20" s="4" t="inlineStr">
        <is>
          <t>1. Verify font / spacing / line-height are dyslexia-friendly defaults</t>
        </is>
      </c>
      <c r="F20" s="4" t="inlineStr">
        <is>
          <t>Dyslexia-friendly OR option exists</t>
        </is>
      </c>
      <c r="G20" s="5" t="inlineStr">
        <is>
          <t>P5</t>
        </is>
      </c>
      <c r="H20" s="5" t="inlineStr">
        <is>
          <t>Minor</t>
        </is>
      </c>
      <c r="I20" s="5" t="inlineStr">
        <is>
          <t>Manual</t>
        </is>
      </c>
      <c r="J20" s="4"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8" t="n">
        <v>46159</v>
      </c>
      <c r="O20" t="inlineStr">
        <is>
          <t>Manual — deferred</t>
        </is>
      </c>
      <c r="Q20" t="inlineStr">
        <is>
          <t>—</t>
        </is>
      </c>
      <c r="R20" t="inlineStr">
        <is>
          <t>0%</t>
        </is>
      </c>
    </row>
    <row r="21" ht="72.5" customHeight="1" s="49">
      <c r="A21" s="17" t="inlineStr">
        <is>
          <t>N-017</t>
        </is>
      </c>
      <c r="B21" s="17" t="inlineStr">
        <is>
          <t>True-beginner path</t>
        </is>
      </c>
      <c r="C21" s="17" t="inlineStr">
        <is>
          <t>1</t>
        </is>
      </c>
      <c r="D21" s="17" t="inlineStr">
        <is>
          <t>Zero-Japanese learner (not HI-L1+EN-L2+JA-L3 — true L1=anything, L2=none-Japanese) — can the app be used?</t>
        </is>
      </c>
      <c r="E21" s="17" t="inlineStr">
        <is>
          <t>1. Recruit 3 learners with no prior Japanese and any L1.
2. Onboard with default English UI.
3. Observe whether they reach 'one lesson + one quiz' within 30 minutes without help.
4. Report friction points.</t>
        </is>
      </c>
      <c r="F21" s="17" t="inlineStr">
        <is>
          <t>Usability milestone reached by ≥4 of 6 participants (n=6 gives one-failure tolerance + meets Nielsen's '5 users find 85% of usability problems' minimum). Pass criterion: ≥66% reach the milestone within the session timebox.</t>
        </is>
      </c>
      <c r="G21" s="17" t="inlineStr">
        <is>
          <t>P4</t>
        </is>
      </c>
      <c r="H21" s="17" t="inlineStr">
        <is>
          <t>Major</t>
        </is>
      </c>
      <c r="I21" s="17" t="inlineStr">
        <is>
          <t>Manual</t>
        </is>
      </c>
      <c r="J21" s="17" t="inlineStr">
        <is>
          <t>[BUG-032 new] Coverage gap. — TS-N-017 fix 2026-05-17: n=3 → n=6 with target ≥4/6. Aligned with Nielsen minimum + BUG-031's sample-size discipline. — End-user POV review 2026-05-17: Per TS-N-017 fix (commit b77e1a4): n=6 with ≥4/6 target. Execution deferred to user-test sprint.</t>
        </is>
      </c>
      <c r="K21" s="17" t="inlineStr">
        <is>
          <t>1wk</t>
        </is>
      </c>
      <c r="L21" s="17" t="inlineStr">
        <is>
          <t>Primary-persona learner (HI-L1, EN-L2) — extend recruit to non-HI-L1</t>
        </is>
      </c>
      <c r="M21" s="17" t="inlineStr">
        <is>
          <t>Moderated remote user test (Zoom + screen-share)</t>
        </is>
      </c>
      <c r="N21" s="69" t="n">
        <v>46159</v>
      </c>
      <c r="O21" s="17" t="inlineStr">
        <is>
          <t>Manual — deferred</t>
        </is>
      </c>
      <c r="P21" s="17" t="n"/>
      <c r="Q21" s="17" t="inlineStr">
        <is>
          <t>—</t>
        </is>
      </c>
      <c r="R21" s="17" t="inlineStr">
        <is>
          <t>0%</t>
        </is>
      </c>
    </row>
    <row r="55" ht="280" customHeight="1" s="49"/>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05"/>
  <sheetViews>
    <sheetView tabSelected="1" topLeftCell="D1" zoomScale="70" zoomScaleNormal="70" workbookViewId="0">
      <pane ySplit="3" topLeftCell="A88" activePane="bottomLeft" state="frozen"/>
      <selection activeCell="H24" sqref="H24"/>
      <selection pane="bottomLeft" activeCell="H92" sqref="H92"/>
    </sheetView>
  </sheetViews>
  <sheetFormatPr baseColWidth="8" defaultRowHeight="14.5"/>
  <cols>
    <col width="11.81640625" customWidth="1" style="1" min="1" max="1"/>
    <col width="14.54296875" customWidth="1" style="1" min="2" max="2"/>
    <col width="21.81640625" customWidth="1" style="1" min="3" max="3"/>
    <col width="40" customWidth="1" style="1" min="4" max="4"/>
    <col width="69.08984375" customWidth="1" style="1" min="5" max="5"/>
    <col width="13.6328125" customWidth="1" style="1" min="6" max="6"/>
    <col width="11.81640625" customWidth="1" style="1" min="7" max="7"/>
    <col width="15.453125" customWidth="1" style="1" min="8" max="8"/>
    <col width="14.54296875" customWidth="1" style="1" min="9" max="9"/>
    <col width="16.36328125" customWidth="1" style="1" min="10" max="10"/>
    <col width="8.7265625" customWidth="1" style="1" min="11" max="19"/>
    <col width="8.7265625" customWidth="1" style="1" min="20" max="16384"/>
  </cols>
  <sheetData>
    <row r="1" ht="28" customHeight="1" s="49">
      <c r="A1" s="54" t="inlineStr">
        <is>
          <t>User Reported Bugs</t>
        </is>
      </c>
    </row>
    <row r="3" ht="24" customHeight="1" s="49">
      <c r="A3" s="59" t="inlineStr">
        <is>
          <t>Bug ID</t>
        </is>
      </c>
      <c r="B3" s="59" t="inlineStr">
        <is>
          <t>Date Reported</t>
        </is>
      </c>
      <c r="C3" s="59" t="inlineStr">
        <is>
          <t>Reported By</t>
        </is>
      </c>
      <c r="D3" s="59" t="inlineStr">
        <is>
          <t>Title</t>
        </is>
      </c>
      <c r="E3" s="59" t="inlineStr">
        <is>
          <t>Description</t>
        </is>
      </c>
      <c r="F3" s="59" t="inlineStr">
        <is>
          <t>Severity</t>
        </is>
      </c>
      <c r="G3" s="59" t="inlineStr">
        <is>
          <t>Priority</t>
        </is>
      </c>
      <c r="H3" s="59" t="inlineStr">
        <is>
          <t>Status</t>
        </is>
      </c>
      <c r="I3" s="60" t="inlineStr">
        <is>
          <t>Fix Commit</t>
        </is>
      </c>
      <c r="J3" s="60" t="inlineStr">
        <is>
          <t>Fix Date</t>
        </is>
      </c>
    </row>
    <row r="4" ht="203" customHeight="1" s="49">
      <c r="A4" s="55">
        <f>"BUG-"&amp;TEXT(ROW()-3,"000")</f>
        <v/>
      </c>
      <c r="B4" s="56" t="n">
        <v>46158</v>
      </c>
      <c r="C4" s="57" t="n"/>
      <c r="D4" s="57" t="inlineStr">
        <is>
          <t>Unable to access URL through claude chat</t>
        </is>
      </c>
      <c r="E4" s="57"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8" t="inlineStr">
        <is>
          <t>High</t>
        </is>
      </c>
      <c r="G4" s="58" t="inlineStr">
        <is>
          <t>P2</t>
        </is>
      </c>
      <c r="H4" s="58" t="inlineStr">
        <is>
          <t>Fixed</t>
        </is>
      </c>
      <c r="I4" s="62" t="inlineStr">
        <is>
          <t>47d1edc</t>
        </is>
      </c>
      <c r="J4" s="61" t="n">
        <v>46159</v>
      </c>
    </row>
    <row r="5" ht="319" customHeight="1" s="49">
      <c r="A5" s="6">
        <f>"BUG-"&amp;TEXT(ROW()-3,"000")</f>
        <v/>
      </c>
      <c r="B5" s="7" t="n"/>
      <c r="C5" s="3" t="n"/>
      <c r="D5" s="3" t="inlineStr">
        <is>
          <t>incorrect grammar statement. correct : ✗ Incorrect: ともだちに あいました。 (X "I met with my friend" intent)
✓ Correct: ともだちと あいました</t>
        </is>
      </c>
      <c r="E5" s="3"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5" t="inlineStr">
        <is>
          <t>High</t>
        </is>
      </c>
      <c r="G5" s="5" t="inlineStr">
        <is>
          <t>P1</t>
        </is>
      </c>
      <c r="H5" s="5" t="inlineStr">
        <is>
          <t>Fixed</t>
        </is>
      </c>
      <c r="I5" s="62" t="inlineStr">
        <is>
          <t>ac80dd6</t>
        </is>
      </c>
      <c r="J5" s="61" t="n">
        <v>46158</v>
      </c>
    </row>
    <row r="6" ht="377" customHeight="1" s="49">
      <c r="A6" s="6">
        <f>"BUG-"&amp;TEXT(ROW()-3,"000")</f>
        <v/>
      </c>
      <c r="B6" s="7" t="n">
        <v>46158</v>
      </c>
      <c r="C6" s="3" t="inlineStr">
        <is>
          <t>grammar.json audit (native-teacher review)</t>
        </is>
      </c>
      <c r="D6" s="3" t="inlineStr">
        <is>
          <t>n5-098 (superlative pattern) has corrupted explanation and 10/10 wrong translations</t>
        </is>
      </c>
      <c r="E6" s="3"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5" t="inlineStr">
        <is>
          <t>Critical</t>
        </is>
      </c>
      <c r="G6" s="5" t="inlineStr">
        <is>
          <t>P1</t>
        </is>
      </c>
      <c r="H6" s="5" t="inlineStr">
        <is>
          <t>Fixed</t>
        </is>
      </c>
      <c r="I6" s="62" t="inlineStr">
        <is>
          <t>ef38bc1</t>
        </is>
      </c>
      <c r="J6" s="61" t="n">
        <v>46159</v>
      </c>
    </row>
    <row r="7" ht="409.5" customHeight="1" s="49">
      <c r="A7" s="6">
        <f>"BUG-"&amp;TEXT(ROW()-3,"000")</f>
        <v/>
      </c>
      <c r="B7" s="7" t="n">
        <v>46158</v>
      </c>
      <c r="C7" s="3" t="inlineStr">
        <is>
          <t>grammar.json audit (native-teacher review)</t>
        </is>
      </c>
      <c r="D7" s="3" t="inlineStr">
        <is>
          <t>Pitch-mark mora data systematically broken (787 wrong instances, 115 unique kana forms)</t>
        </is>
      </c>
      <c r="E7" s="3"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5" t="inlineStr">
        <is>
          <t>Critical</t>
        </is>
      </c>
      <c r="G7" s="5" t="inlineStr">
        <is>
          <t>P1</t>
        </is>
      </c>
      <c r="H7" s="5" t="inlineStr">
        <is>
          <t>Fixed</t>
        </is>
      </c>
      <c r="I7" s="62" t="inlineStr">
        <is>
          <t>ef38bc1</t>
        </is>
      </c>
      <c r="J7" s="61" t="n">
        <v>46159</v>
      </c>
    </row>
    <row r="8" ht="232" customHeight="1" s="49">
      <c r="A8" s="6">
        <f>"BUG-"&amp;TEXT(ROW()-3,"000")</f>
        <v/>
      </c>
      <c r="B8" s="7" t="n">
        <v>46158</v>
      </c>
      <c r="C8" s="3" t="inlineStr">
        <is>
          <t>grammar.json audit (native-teacher review)</t>
        </is>
      </c>
      <c r="D8" s="3" t="inlineStr">
        <is>
          <t>n5-166 ex[5] has mismatched JA/EN (copy-paste error)</t>
        </is>
      </c>
      <c r="E8" s="3"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5" t="inlineStr">
        <is>
          <t>High</t>
        </is>
      </c>
      <c r="G8" s="5" t="inlineStr">
        <is>
          <t>P1</t>
        </is>
      </c>
      <c r="H8" s="5" t="inlineStr">
        <is>
          <t>Fixed</t>
        </is>
      </c>
      <c r="I8" s="62" t="inlineStr">
        <is>
          <t>ef38bc1</t>
        </is>
      </c>
      <c r="J8" s="61" t="n">
        <v>46159</v>
      </c>
    </row>
    <row r="9" ht="409.5" customHeight="1" s="49">
      <c r="A9" s="6">
        <f>"BUG-"&amp;TEXT(ROW()-3,"000")</f>
        <v/>
      </c>
      <c r="B9" s="7" t="n">
        <v>46158</v>
      </c>
      <c r="C9" s="3" t="inlineStr">
        <is>
          <t>grammar.json audit (native-teacher review)</t>
        </is>
      </c>
      <c r="D9" s="3" t="inlineStr">
        <is>
          <t>Pattern-instance contamination: 8+ examples filed under wrong pattern</t>
        </is>
      </c>
      <c r="E9" s="3"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5" t="inlineStr">
        <is>
          <t>High</t>
        </is>
      </c>
      <c r="G9" s="5" t="inlineStr">
        <is>
          <t>P1</t>
        </is>
      </c>
      <c r="H9" s="5" t="inlineStr">
        <is>
          <t>Fixed</t>
        </is>
      </c>
      <c r="I9" s="62" t="inlineStr">
        <is>
          <t>ef38bc1</t>
        </is>
      </c>
      <c r="J9" s="61" t="n">
        <v>46159</v>
      </c>
    </row>
    <row r="10" ht="409.5" customHeight="1" s="49">
      <c r="A10" s="6">
        <f>"BUG-"&amp;TEXT(ROW()-3,"000")</f>
        <v/>
      </c>
      <c r="B10" s="7" t="n">
        <v>46158</v>
      </c>
      <c r="C10" s="3" t="inlineStr">
        <is>
          <t>grammar.json audit (native-teacher review)</t>
        </is>
      </c>
      <c r="D10" s="3" t="inlineStr">
        <is>
          <t>Pedagogically misleading common_mistakes: 12+ N5-canonical sentences marked WRONG</t>
        </is>
      </c>
      <c r="E10" s="3"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5" t="inlineStr">
        <is>
          <t>High</t>
        </is>
      </c>
      <c r="G10" s="5" t="inlineStr">
        <is>
          <t>P1</t>
        </is>
      </c>
      <c r="H10" s="5" t="inlineStr">
        <is>
          <t>Fixed</t>
        </is>
      </c>
      <c r="I10" s="62" t="inlineStr">
        <is>
          <t>ef38bc1</t>
        </is>
      </c>
      <c r="J10" s="61" t="n">
        <v>46159</v>
      </c>
    </row>
    <row r="11" ht="304.5" customHeight="1" s="49">
      <c r="A11" s="6">
        <f>"BUG-"&amp;TEXT(ROW()-3,"000")</f>
        <v/>
      </c>
      <c r="B11" s="7" t="n">
        <v>46158</v>
      </c>
      <c r="C11" s="3" t="inlineStr">
        <is>
          <t>grammar.json audit (native-teacher review)</t>
        </is>
      </c>
      <c r="D11" s="3" t="inlineStr">
        <is>
          <t>n5-004 incorrectly calls 会う "intransitive" (folk-linguistics terminology error)</t>
        </is>
      </c>
      <c r="E11" s="3"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5" t="inlineStr">
        <is>
          <t>Medium</t>
        </is>
      </c>
      <c r="G11" s="5" t="inlineStr">
        <is>
          <t>P2</t>
        </is>
      </c>
      <c r="H11" s="5" t="inlineStr">
        <is>
          <t>Fixed</t>
        </is>
      </c>
      <c r="I11" s="62" t="inlineStr">
        <is>
          <t>ef38bc1</t>
        </is>
      </c>
      <c r="J11" s="61" t="n">
        <v>46159</v>
      </c>
    </row>
    <row r="12" ht="188.5" customHeight="1" s="49">
      <c r="A12" s="6">
        <f>"BUG-"&amp;TEXT(ROW()-3,"000")</f>
        <v/>
      </c>
      <c r="B12" s="7" t="n">
        <v>46158</v>
      </c>
      <c r="C12" s="3" t="inlineStr">
        <is>
          <t>grammar.json audit (native-teacher review)</t>
        </is>
      </c>
      <c r="D12" s="3" t="inlineStr">
        <is>
          <t>n5-003 (が particle) example uses は, not が</t>
        </is>
      </c>
      <c r="E12" s="3"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5" t="inlineStr">
        <is>
          <t>Medium</t>
        </is>
      </c>
      <c r="G12" s="5" t="inlineStr">
        <is>
          <t>P2</t>
        </is>
      </c>
      <c r="H12" s="5" t="inlineStr">
        <is>
          <t>Fixed</t>
        </is>
      </c>
      <c r="I12" s="62" t="inlineStr">
        <is>
          <t>ef38bc1</t>
        </is>
      </c>
      <c r="J12" s="61" t="n">
        <v>46159</v>
      </c>
    </row>
    <row r="13" ht="409.5" customHeight="1" s="49">
      <c r="A13" s="6">
        <f>"BUG-"&amp;TEXT(ROW()-3,"000")</f>
        <v/>
      </c>
      <c r="B13" s="7" t="n">
        <v>46158</v>
      </c>
      <c r="C13" s="3" t="inlineStr">
        <is>
          <t>User (SPA crawlability report)</t>
        </is>
      </c>
      <c r="D13" s="3" t="inlineStr">
        <is>
          <t>SPA hash routes are invisible to non-JS clients (Claude chat, crawlers, archive.org, social previews)</t>
        </is>
      </c>
      <c r="E13" s="3"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5" t="inlineStr">
        <is>
          <t>High</t>
        </is>
      </c>
      <c r="G13" s="5" t="inlineStr">
        <is>
          <t>P1</t>
        </is>
      </c>
      <c r="H13" s="5" t="inlineStr">
        <is>
          <t>Fixed</t>
        </is>
      </c>
      <c r="I13" s="62" t="inlineStr">
        <is>
          <t>efa5f26</t>
        </is>
      </c>
      <c r="J13" s="61" t="n">
        <v>46158</v>
      </c>
    </row>
    <row r="14" ht="409.5" customHeight="1" s="49">
      <c r="A14" s="6">
        <f>"BUG-"&amp;TEXT(ROW()-3,"000")</f>
        <v/>
      </c>
      <c r="B14" s="7" t="n">
        <v>46158</v>
      </c>
      <c r="C14" s="3" t="inlineStr">
        <is>
          <t>grammar.json audit (native-teacher review)</t>
        </is>
      </c>
      <c r="D14" s="3" t="inlineStr">
        <is>
          <t>Self-contradicting WRONG/RIGHT labels across 7 common_mistakes entries (plus 7 ね-vs-か question patterns)</t>
        </is>
      </c>
      <c r="E14" s="3"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5" t="inlineStr">
        <is>
          <t>High</t>
        </is>
      </c>
      <c r="G14" s="5" t="inlineStr">
        <is>
          <t>P1</t>
        </is>
      </c>
      <c r="H14" s="5" t="inlineStr">
        <is>
          <t>Fixed</t>
        </is>
      </c>
      <c r="I14" s="62" t="inlineStr">
        <is>
          <t>7291097</t>
        </is>
      </c>
      <c r="J14" s="61" t="n">
        <v>46158</v>
      </c>
    </row>
    <row r="15" ht="409.5" customHeight="1" s="49">
      <c r="A15" s="6">
        <f>"BUG-"&amp;TEXT(ROW()-3,"000")</f>
        <v/>
      </c>
      <c r="B15" s="7" t="n">
        <v>46158</v>
      </c>
      <c r="C15" s="3" t="inlineStr">
        <is>
          <t>grammar.json audit (native-teacher review)</t>
        </is>
      </c>
      <c r="D15" s="3" t="inlineStr">
        <is>
          <t>review_status "native_reviewed" misleads when read per-pattern in isolation (label assigned by Claude persona, not human)</t>
        </is>
      </c>
      <c r="E15" s="3"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5" t="inlineStr">
        <is>
          <t>Medium</t>
        </is>
      </c>
      <c r="G15" s="5" t="inlineStr">
        <is>
          <t>P2</t>
        </is>
      </c>
      <c r="H15" s="5" t="inlineStr">
        <is>
          <t>Fixed</t>
        </is>
      </c>
      <c r="I15" s="62" t="inlineStr">
        <is>
          <t>ef38bc1</t>
        </is>
      </c>
      <c r="J15" s="61" t="n">
        <v>46159</v>
      </c>
    </row>
    <row r="16" ht="409.5" customHeight="1" s="49">
      <c r="A16" s="6">
        <f>"BUG-"&amp;TEXT(ROW()-3,"000")</f>
        <v/>
      </c>
      <c r="B16" s="7" t="n">
        <v>46158</v>
      </c>
      <c r="C16" s="3" t="inlineStr">
        <is>
          <t>grammar.json audit re-inspection (native-teacher review)</t>
        </is>
      </c>
      <c r="D16" s="3" t="inlineStr">
        <is>
          <t>Self-contradicting WRONG/RIGHT labels still present across 14 common_mistakes entries (BUG-011 re-audit shows fix did not land at display surface)</t>
        </is>
      </c>
      <c r="E16" s="3"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5" t="inlineStr">
        <is>
          <t>High</t>
        </is>
      </c>
      <c r="G16" s="5" t="inlineStr">
        <is>
          <t>P1</t>
        </is>
      </c>
      <c r="H16" s="5" t="inlineStr">
        <is>
          <t>Fixed</t>
        </is>
      </c>
      <c r="I16" s="62" t="inlineStr">
        <is>
          <t>7291097</t>
        </is>
      </c>
      <c r="J16" s="61" t="n">
        <v>46158</v>
      </c>
    </row>
    <row r="17" ht="409.5" customHeight="1" s="49">
      <c r="A17" s="6">
        <f>"BUG-"&amp;TEXT(ROW()-3,"000")</f>
        <v/>
      </c>
      <c r="B17" s="7" t="n">
        <v>46158</v>
      </c>
      <c r="C17" s="3" t="inlineStr">
        <is>
          <t>vocab.json audit (native-teacher review)</t>
        </is>
      </c>
      <c r="D17" s="3" t="inlineStr">
        <is>
          <t>19 vocab example sentences are template-generated semantic nonsense ("X が あります" applied to time words and abstract nouns)</t>
        </is>
      </c>
      <c r="E17" s="3"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5" t="inlineStr">
        <is>
          <t>High</t>
        </is>
      </c>
      <c r="G17" s="5" t="inlineStr">
        <is>
          <t>P1</t>
        </is>
      </c>
      <c r="H17" s="5" t="inlineStr">
        <is>
          <t>Fixed</t>
        </is>
      </c>
      <c r="I17" s="62" t="inlineStr">
        <is>
          <t>ef38bc1</t>
        </is>
      </c>
      <c r="J17" s="61" t="n">
        <v>46159</v>
      </c>
    </row>
    <row r="18" ht="409.5" customHeight="1" s="49">
      <c r="A18" s="6">
        <f>"BUG-"&amp;TEXT(ROW()-3,"000")</f>
        <v/>
      </c>
      <c r="B18" s="7" t="n">
        <v>46158</v>
      </c>
      <c r="C18" s="3" t="inlineStr">
        <is>
          <t>vocab.json audit (native-teacher review)</t>
        </is>
      </c>
      <c r="D18" s="3" t="inlineStr">
        <is>
          <t>vocab.json counter field has three inconsistent schema types across 1009 entries (string / dict / null) — same applies to counter_register</t>
        </is>
      </c>
      <c r="E18" s="3"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5" t="inlineStr">
        <is>
          <t>Medium</t>
        </is>
      </c>
      <c r="G18" s="5" t="inlineStr">
        <is>
          <t>P2</t>
        </is>
      </c>
      <c r="H18" s="5" t="inlineStr">
        <is>
          <t>Fixed</t>
        </is>
      </c>
      <c r="I18" s="62" t="inlineStr">
        <is>
          <t>ef38bc1</t>
        </is>
      </c>
      <c r="J18" s="61" t="n">
        <v>46159</v>
      </c>
    </row>
    <row r="19" ht="409.5" customHeight="1" s="49">
      <c r="A19" s="6">
        <f>"BUG-"&amp;TEXT(ROW()-3,"000")</f>
        <v/>
      </c>
      <c r="B19" s="7" t="n">
        <v>46158</v>
      </c>
      <c r="C19" s="3" t="inlineStr">
        <is>
          <t>vocab.json audit (native-teacher review)</t>
        </is>
      </c>
      <c r="D19" s="3" t="inlineStr">
        <is>
          <t>Transitivity field is set on only 22 of 132 verbs (17% coverage) — most transitive verbs lack the classification</t>
        </is>
      </c>
      <c r="E19" s="3"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5" t="inlineStr">
        <is>
          <t>Medium</t>
        </is>
      </c>
      <c r="G19" s="5" t="inlineStr">
        <is>
          <t>P2</t>
        </is>
      </c>
      <c r="H19" s="5" t="inlineStr">
        <is>
          <t>Fixed</t>
        </is>
      </c>
      <c r="I19" s="62" t="inlineStr">
        <is>
          <t>ef38bc1</t>
        </is>
      </c>
      <c r="J19" s="61" t="n">
        <v>46159</v>
      </c>
    </row>
    <row r="20" ht="409.5" customHeight="1" s="49">
      <c r="A20" s="6">
        <f>"BUG-"&amp;TEXT(ROW()-3,"000")</f>
        <v/>
      </c>
      <c r="B20" s="7" t="n">
        <v>46158</v>
      </c>
      <c r="C20" s="3" t="inlineStr">
        <is>
          <t>vocab.json audit (native-teacher review)</t>
        </is>
      </c>
      <c r="D20" s="3" t="inlineStr">
        <is>
          <t>3 kanji used in vocab forms are not in the N5 kanji whitelist (倍, 籍, 末)</t>
        </is>
      </c>
      <c r="E20" s="3"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5" t="inlineStr">
        <is>
          <t>Medium</t>
        </is>
      </c>
      <c r="G20" s="5" t="inlineStr">
        <is>
          <t>P2</t>
        </is>
      </c>
      <c r="H20" s="5" t="inlineStr">
        <is>
          <t>Fixed</t>
        </is>
      </c>
      <c r="I20" s="62" t="inlineStr">
        <is>
          <t>ef38bc1</t>
        </is>
      </c>
      <c r="J20" s="61" t="n">
        <v>46159</v>
      </c>
    </row>
    <row r="21" ht="409.5" customHeight="1" s="49">
      <c r="A21" s="6">
        <f>"BUG-"&amp;TEXT(ROW()-3,"000")</f>
        <v/>
      </c>
      <c r="B21" s="7" t="n">
        <v>46158</v>
      </c>
      <c r="C21" s="3" t="inlineStr">
        <is>
          <t>vocab.json audit (native-teacher review)</t>
        </is>
      </c>
      <c r="D21" s="3" t="inlineStr">
        <is>
          <t>~10 vocab entries are over-duplicated across sections with overlapping glosses (count inflation)</t>
        </is>
      </c>
      <c r="E21" s="3"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5" t="inlineStr">
        <is>
          <t>Low</t>
        </is>
      </c>
      <c r="G21" s="5" t="inlineStr">
        <is>
          <t>P3</t>
        </is>
      </c>
      <c r="H21" s="5" t="inlineStr">
        <is>
          <t>Fixed</t>
        </is>
      </c>
      <c r="I21" s="62" t="inlineStr">
        <is>
          <t>c1c7107</t>
        </is>
      </c>
      <c r="J21" s="61" t="n">
        <v>46159</v>
      </c>
    </row>
    <row r="22" ht="409.5" customHeight="1" s="49">
      <c r="A22" s="6">
        <f>"BUG-"&amp;TEXT(ROW()-3,"000")</f>
        <v/>
      </c>
      <c r="B22" s="7" t="inlineStr">
        <is>
          <t>2026-05-16</t>
        </is>
      </c>
      <c r="C22" s="4" t="inlineStr">
        <is>
          <t>vocab.json audit re-inspection (native-teacher follow-up)</t>
        </is>
      </c>
      <c r="D22" s="4" t="inlineStr">
        <is>
          <t>3 over-duplicated (form, reading) pairs missed by BUG-018 dedup pass (月, あつい, きって)</t>
        </is>
      </c>
      <c r="E22" s="4"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5" t="inlineStr">
        <is>
          <t>Low</t>
        </is>
      </c>
      <c r="G22" s="5" t="inlineStr">
        <is>
          <t>P3</t>
        </is>
      </c>
      <c r="H22" s="5" t="inlineStr">
        <is>
          <t>Fixed</t>
        </is>
      </c>
      <c r="I22" s="62" t="inlineStr">
        <is>
          <t>2814daa</t>
        </is>
      </c>
      <c r="J22" s="61" t="n">
        <v>46159</v>
      </c>
    </row>
    <row r="23" ht="409.5" customHeight="1" s="49">
      <c r="A23" s="6">
        <f>"BUG-"&amp;TEXT(ROW()-3,"000")</f>
        <v/>
      </c>
      <c r="B23" s="7" t="n">
        <v>46158</v>
      </c>
      <c r="C23" s="3" t="inlineStr">
        <is>
          <t>kanji.json audit (native-teacher review)</t>
        </is>
      </c>
      <c r="D23" s="3" t="inlineStr">
        <is>
          <t>BUG-017 fix did not propagate to kanji.json — n5_compounds and auto-derived examples still display 週末 and 国籍 (non-whitelist kanji 末, 籍)</t>
        </is>
      </c>
      <c r="E23" s="3"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5" t="inlineStr">
        <is>
          <t>Medium</t>
        </is>
      </c>
      <c r="G23" s="5" t="inlineStr">
        <is>
          <t>P2</t>
        </is>
      </c>
      <c r="H23" s="5" t="inlineStr">
        <is>
          <t>Fixed</t>
        </is>
      </c>
      <c r="I23" s="62" t="inlineStr">
        <is>
          <t>ef38bc1</t>
        </is>
      </c>
      <c r="J23" s="61" t="n">
        <v>46159</v>
      </c>
    </row>
    <row r="24" ht="409.5" customHeight="1" s="49">
      <c r="A24" s="6">
        <f>"BUG-"&amp;TEXT(ROW()-3,"000")</f>
        <v/>
      </c>
      <c r="B24" s="7" t="n">
        <v>46158</v>
      </c>
      <c r="C24" s="3" t="inlineStr">
        <is>
          <t>kanji.json audit (native-teacher review)</t>
        </is>
      </c>
      <c r="D24" s="3" t="inlineStr">
        <is>
          <t>primary_reading set to on-yomi for 6 kanji whose actual N5 standalone reading is the kun-yomi (人, 中, 外, 東, 車, 国)</t>
        </is>
      </c>
      <c r="E24" s="3"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5" t="inlineStr">
        <is>
          <t>Medium</t>
        </is>
      </c>
      <c r="G24" s="5" t="inlineStr">
        <is>
          <t>P2</t>
        </is>
      </c>
      <c r="H24" s="5" t="inlineStr">
        <is>
          <t>Fixed</t>
        </is>
      </c>
      <c r="I24" s="62" t="inlineStr">
        <is>
          <t>ef38bc1</t>
        </is>
      </c>
      <c r="J24" s="61" t="n">
        <v>46159</v>
      </c>
    </row>
    <row r="25" ht="409.5" customHeight="1" s="49">
      <c r="A25" s="6">
        <f>"BUG-"&amp;TEXT(ROW()-3,"000")</f>
        <v/>
      </c>
      <c r="B25" s="7" t="n">
        <v>46158</v>
      </c>
      <c r="C25" s="3" t="inlineStr">
        <is>
          <t>kanji.json audit (native-teacher review)</t>
        </is>
      </c>
      <c r="D25" s="3" t="inlineStr">
        <is>
          <t>Examples field uses inconsistent field names — `form` (374 entries), `lemma` (20 entries), or both (14 entries)</t>
        </is>
      </c>
      <c r="E25" s="3"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5" t="inlineStr">
        <is>
          <t>Low</t>
        </is>
      </c>
      <c r="G25" s="5" t="inlineStr">
        <is>
          <t>P3</t>
        </is>
      </c>
      <c r="H25" s="5" t="inlineStr">
        <is>
          <t>Fixed</t>
        </is>
      </c>
      <c r="I25" s="62" t="inlineStr">
        <is>
          <t>ef38bc1</t>
        </is>
      </c>
      <c r="J25" s="61" t="n">
        <v>46159</v>
      </c>
    </row>
    <row r="26" ht="409.5" customHeight="1" s="49">
      <c r="A26" s="6">
        <f>"BUG-"&amp;TEXT(ROW()-3,"000")</f>
        <v/>
      </c>
      <c r="B26" s="7" t="n">
        <v>46159</v>
      </c>
      <c r="C26" s="3" t="inlineStr">
        <is>
          <t>kanji.json ↔ vocab.json cross-file audit (native-teacher review)</t>
        </is>
      </c>
      <c r="D26" s="3" t="inlineStr">
        <is>
          <t>KANJI-004 (NOT FIXED — vocab.json was not updated) — 6 cross-file form mismatches between kanji.json (uses kanji forms) and vocab.json (uses kana-only forms)</t>
        </is>
      </c>
      <c r="E26" s="3"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5" t="inlineStr">
        <is>
          <t>Medium</t>
        </is>
      </c>
      <c r="G26" s="5" t="inlineStr">
        <is>
          <t>P2</t>
        </is>
      </c>
      <c r="H26" s="5" t="inlineStr">
        <is>
          <t>Fixed</t>
        </is>
      </c>
      <c r="I26" s="62" t="inlineStr">
        <is>
          <t>f96475b</t>
        </is>
      </c>
      <c r="J26" s="61" t="n">
        <v>46159</v>
      </c>
    </row>
    <row r="27" ht="273" customHeight="1" s="49">
      <c r="A27" s="6">
        <f>"BUG-"&amp;TEXT(ROW()-3,"000")</f>
        <v/>
      </c>
      <c r="B27" s="7" t="n">
        <v>46159</v>
      </c>
      <c r="C27" s="3" t="inlineStr">
        <is>
          <t>Editor review (test-scenarios spreadsheet)</t>
        </is>
      </c>
      <c r="D27" s="3" t="inlineStr">
        <is>
          <t>Priority distribution is unusable as a triage signal (re-rank all 240 rows on fixed 5-level P1–P5 scale with caps)</t>
        </is>
      </c>
      <c r="E27" s="3"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5" t="inlineStr">
        <is>
          <t>High</t>
        </is>
      </c>
      <c r="G27" s="5" t="inlineStr">
        <is>
          <t>P1</t>
        </is>
      </c>
      <c r="H27" s="5" t="inlineStr">
        <is>
          <t>Fixed</t>
        </is>
      </c>
      <c r="I27" s="62" t="inlineStr">
        <is>
          <t>ef38bc1</t>
        </is>
      </c>
      <c r="J27" s="61" t="n">
        <v>46159</v>
      </c>
    </row>
    <row r="28" ht="364" customHeight="1" s="49">
      <c r="A28" s="6">
        <f>"BUG-"&amp;TEXT(ROW()-3,"000")</f>
        <v/>
      </c>
      <c r="B28" s="7" t="n">
        <v>46159</v>
      </c>
      <c r="C28" s="3" t="inlineStr">
        <is>
          <t>Editor review (test-scenarios spreadsheet)</t>
        </is>
      </c>
      <c r="D28" s="3" t="inlineStr">
        <is>
          <t>75% of scenarios labelled Manual when ~30 are mechanically checkable — re-label to Auto and add Automation-tool column</t>
        </is>
      </c>
      <c r="E28" s="3"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5" t="inlineStr">
        <is>
          <t>High</t>
        </is>
      </c>
      <c r="G28" s="5" t="inlineStr">
        <is>
          <t>P2</t>
        </is>
      </c>
      <c r="H28" s="5" t="inlineStr">
        <is>
          <t>Fixed</t>
        </is>
      </c>
      <c r="I28" s="62" t="inlineStr">
        <is>
          <t>de37281</t>
        </is>
      </c>
      <c r="J28" s="61" t="n">
        <v>46159</v>
      </c>
    </row>
    <row r="29" ht="364" customHeight="1" s="49">
      <c r="A29" s="6">
        <f>"BUG-"&amp;TEXT(ROW()-3,"000")</f>
        <v/>
      </c>
      <c r="B29" s="7" t="n">
        <v>46159</v>
      </c>
      <c r="C29" s="3" t="inlineStr">
        <is>
          <t>Editor review (test-scenarios spreadsheet)</t>
        </is>
      </c>
      <c r="D29" s="3" t="inlineStr">
        <is>
          <t>Severity and Priority don't reconcile — Critical-severity rows priced as Medium, Major-severity rows priced as Low</t>
        </is>
      </c>
      <c r="E29" s="3"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5" t="inlineStr">
        <is>
          <t>High</t>
        </is>
      </c>
      <c r="G29" s="5" t="inlineStr">
        <is>
          <t>P1</t>
        </is>
      </c>
      <c r="H29" s="5" t="inlineStr">
        <is>
          <t>Fixed</t>
        </is>
      </c>
      <c r="I29" s="62" t="inlineStr">
        <is>
          <t>de37281</t>
        </is>
      </c>
      <c r="J29" s="61" t="n">
        <v>46159</v>
      </c>
    </row>
    <row r="30" ht="299" customHeight="1" s="49">
      <c r="A30" s="6">
        <f>"BUG-"&amp;TEXT(ROW()-3,"000")</f>
        <v/>
      </c>
      <c r="B30" s="7" t="n">
        <v>46159</v>
      </c>
      <c r="C30" s="3" t="inlineStr">
        <is>
          <t>Editor review (test-scenarios spreadsheet)</t>
        </is>
      </c>
      <c r="D30" s="3" t="inlineStr">
        <is>
          <t>Several Expected-result thresholds (≥98%, ≥95%, ≥80%) have no statistical-power or source justification</t>
        </is>
      </c>
      <c r="E30" s="3"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5" t="inlineStr">
        <is>
          <t>Medium</t>
        </is>
      </c>
      <c r="G30" s="5" t="inlineStr">
        <is>
          <t>P3</t>
        </is>
      </c>
      <c r="H30" s="5" t="inlineStr">
        <is>
          <t>Fixed</t>
        </is>
      </c>
      <c r="I30" s="62" t="inlineStr">
        <is>
          <t>de37281</t>
        </is>
      </c>
      <c r="J30" s="61" t="n">
        <v>46159</v>
      </c>
    </row>
    <row r="31" ht="208" customHeight="1" s="49">
      <c r="A31" s="6">
        <f>"BUG-"&amp;TEXT(ROW()-3,"000")</f>
        <v/>
      </c>
      <c r="B31" s="7" t="n">
        <v>46159</v>
      </c>
      <c r="C31" s="3" t="inlineStr">
        <is>
          <t>Editor review (test-scenarios spreadsheet)</t>
        </is>
      </c>
      <c r="D31" s="3" t="inlineStr">
        <is>
          <t>Test steps are truncated or under-specified — A-001 cell ends with "Mark UN"; many cells don't name tool / dataset / sub-corpus</t>
        </is>
      </c>
      <c r="E31" s="3"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5" t="inlineStr">
        <is>
          <t>Medium</t>
        </is>
      </c>
      <c r="G31" s="5" t="inlineStr">
        <is>
          <t>P2</t>
        </is>
      </c>
      <c r="H31" s="5" t="inlineStr">
        <is>
          <t>Fixed</t>
        </is>
      </c>
      <c r="I31" s="62" t="inlineStr">
        <is>
          <t>de37281</t>
        </is>
      </c>
      <c r="J31" s="61" t="n">
        <v>46159</v>
      </c>
    </row>
    <row r="32" ht="260" customHeight="1" s="49">
      <c r="A32" s="6">
        <f>"BUG-"&amp;TEXT(ROW()-3,"000")</f>
        <v/>
      </c>
      <c r="B32" s="7" t="n">
        <v>46159</v>
      </c>
      <c r="C32" s="3" t="inlineStr">
        <is>
          <t>Editor review (test-scenarios spreadsheet)</t>
        </is>
      </c>
      <c r="D32" s="3" t="inlineStr">
        <is>
          <t>Schema missing 7 operational columns: Estimated effort, Owner, Tools, Last-run date, Last-run result, Tracker link, Depends-on</t>
        </is>
      </c>
      <c r="E32" s="3"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5" t="inlineStr">
        <is>
          <t>Medium</t>
        </is>
      </c>
      <c r="G32" s="5" t="inlineStr">
        <is>
          <t>P2</t>
        </is>
      </c>
      <c r="H32" s="5" t="inlineStr">
        <is>
          <t>Fixed</t>
        </is>
      </c>
      <c r="I32" s="62" t="inlineStr">
        <is>
          <t>407ef64</t>
        </is>
      </c>
      <c r="J32" s="61" t="n">
        <v>46159</v>
      </c>
    </row>
    <row r="33" ht="351" customHeight="1" s="49">
      <c r="A33" s="6">
        <f>"BUG-"&amp;TEXT(ROW()-3,"000")</f>
        <v/>
      </c>
      <c r="B33" s="7" t="n">
        <v>46159</v>
      </c>
      <c r="C33" s="3" t="inlineStr">
        <is>
          <t>Editor review (test-scenarios spreadsheet)</t>
        </is>
      </c>
      <c r="D33" s="3" t="inlineStr">
        <is>
          <t>6+ duplicate scenarios across tabs (E-010=N-014; D-007=C-010; H-020=K-011=N-009; G-011=F-011) — merge to single canonical home with cross-refs</t>
        </is>
      </c>
      <c r="E33" s="3"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5" t="inlineStr">
        <is>
          <t>Medium</t>
        </is>
      </c>
      <c r="G33" s="5" t="inlineStr">
        <is>
          <t>P3</t>
        </is>
      </c>
      <c r="H33" s="5" t="inlineStr">
        <is>
          <t>Fixed</t>
        </is>
      </c>
      <c r="I33" s="62" t="inlineStr">
        <is>
          <t>de37281</t>
        </is>
      </c>
      <c r="J33" s="61" t="n">
        <v>46159</v>
      </c>
    </row>
    <row r="34" ht="247" customHeight="1" s="49">
      <c r="A34" s="6">
        <f>"BUG-"&amp;TEXT(ROW()-3,"000")</f>
        <v/>
      </c>
      <c r="B34" s="7" t="n">
        <v>46159</v>
      </c>
      <c r="C34" s="3" t="inlineStr">
        <is>
          <t>Editor review (test-scenarios spreadsheet)</t>
        </is>
      </c>
      <c r="D34" s="3" t="inlineStr">
        <is>
          <t>UX scenarios (D-001 / D-010 / D-013 / N-003) have vague pass criteria — name evaluation method and sample size</t>
        </is>
      </c>
      <c r="E34" s="3"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5" t="inlineStr">
        <is>
          <t>Medium</t>
        </is>
      </c>
      <c r="G34" s="5" t="inlineStr">
        <is>
          <t>P3</t>
        </is>
      </c>
      <c r="H34" s="5" t="inlineStr">
        <is>
          <t>Fixed</t>
        </is>
      </c>
      <c r="I34" s="62" t="inlineStr">
        <is>
          <t>de37281</t>
        </is>
      </c>
      <c r="J34" s="61" t="n">
        <v>46159</v>
      </c>
    </row>
    <row r="35" ht="312" customHeight="1" s="49">
      <c r="A35" s="6">
        <f>"BUG-"&amp;TEXT(ROW()-3,"000")</f>
        <v/>
      </c>
      <c r="B35" s="7" t="n">
        <v>46159</v>
      </c>
      <c r="C35" s="3" t="inlineStr">
        <is>
          <t>Editor review (test-scenarios spreadsheet)</t>
        </is>
      </c>
      <c r="D35" s="3" t="inlineStr">
        <is>
          <t>Coverage gaps — add ~8 new scenarios (JEES side-by-side, competitor benchmark, true-beginner path, restore drill, Hindi audio, LLM-disclosure-before, stem punctuation)</t>
        </is>
      </c>
      <c r="E35" s="3"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5" t="inlineStr">
        <is>
          <t>Medium</t>
        </is>
      </c>
      <c r="G35" s="5" t="inlineStr">
        <is>
          <t>P3</t>
        </is>
      </c>
      <c r="H35" s="5" t="inlineStr">
        <is>
          <t>Fixed</t>
        </is>
      </c>
      <c r="I35" s="62" t="inlineStr">
        <is>
          <t>ef38bc1</t>
        </is>
      </c>
      <c r="J35" s="61" t="n">
        <v>46159</v>
      </c>
    </row>
    <row r="36" ht="260" customHeight="1" s="49">
      <c r="A36" s="6">
        <f>"BUG-"&amp;TEXT(ROW()-3,"000")</f>
        <v/>
      </c>
      <c r="B36" s="7" t="n">
        <v>46159</v>
      </c>
      <c r="C36" s="3" t="inlineStr">
        <is>
          <t>Editor review (test-scenarios spreadsheet)</t>
        </is>
      </c>
      <c r="D36" s="3" t="inlineStr">
        <is>
          <t>Pedagogy tab (J) reads as research, not testable items — rewrite J-001 through J-015 with concrete inputs and pass criteria</t>
        </is>
      </c>
      <c r="E36" s="3"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5" t="inlineStr">
        <is>
          <t>Medium</t>
        </is>
      </c>
      <c r="G36" s="5" t="inlineStr">
        <is>
          <t>P3</t>
        </is>
      </c>
      <c r="H36" s="5" t="inlineStr">
        <is>
          <t>Fixed</t>
        </is>
      </c>
      <c r="I36" s="62" t="inlineStr">
        <is>
          <t>de37281</t>
        </is>
      </c>
      <c r="J36" s="61" t="n">
        <v>46159</v>
      </c>
    </row>
    <row r="37" ht="273" customHeight="1" s="49">
      <c r="A37" s="6">
        <f>"BUG-"&amp;TEXT(ROW()-3,"000")</f>
        <v/>
      </c>
      <c r="B37" s="7" t="n">
        <v>46159</v>
      </c>
      <c r="C37" s="3" t="inlineStr">
        <is>
          <t>Editor review (test-scenarios spreadsheet)</t>
        </is>
      </c>
      <c r="D37" s="3" t="inlineStr">
        <is>
          <t>End-user tab (N) duplicates other tabs without adding value — N-013/N-014 duplicate E-010/E-007; N-009 duplicates H-020; N-001-003 overlap D-013/D-014</t>
        </is>
      </c>
      <c r="E37" s="3"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5" t="inlineStr">
        <is>
          <t>Low</t>
        </is>
      </c>
      <c r="G37" s="5" t="inlineStr">
        <is>
          <t>P3</t>
        </is>
      </c>
      <c r="H37" s="5" t="inlineStr">
        <is>
          <t>Fixed</t>
        </is>
      </c>
      <c r="I37" s="62" t="inlineStr">
        <is>
          <t>de37281</t>
        </is>
      </c>
      <c r="J37" s="61" t="n">
        <v>46159</v>
      </c>
    </row>
    <row r="38" ht="182" customHeight="1" s="49">
      <c r="A38" s="6">
        <f>"BUG-"&amp;TEXT(ROW()-3,"000")</f>
        <v/>
      </c>
      <c r="B38" s="7" t="n">
        <v>46159</v>
      </c>
      <c r="C38" s="3" t="inlineStr">
        <is>
          <t>Editor review (test-scenarios spreadsheet)</t>
        </is>
      </c>
      <c r="D38" s="3" t="inlineStr">
        <is>
          <t>Notes column inconsistent — some rich (reference invariants), many empty, a few placeholder-only (M-010 / I-012)</t>
        </is>
      </c>
      <c r="E38" s="3"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5" t="inlineStr">
        <is>
          <t>Low</t>
        </is>
      </c>
      <c r="G38" s="5" t="inlineStr">
        <is>
          <t>P4</t>
        </is>
      </c>
      <c r="H38" s="5" t="inlineStr">
        <is>
          <t>Fixed</t>
        </is>
      </c>
      <c r="I38" s="62" t="inlineStr">
        <is>
          <t>de37281</t>
        </is>
      </c>
      <c r="J38" s="61" t="n">
        <v>46159</v>
      </c>
    </row>
    <row r="39" ht="234" customHeight="1" s="49">
      <c r="A39" s="6">
        <f>"BUG-"&amp;TEXT(ROW()-3,"000")</f>
        <v/>
      </c>
      <c r="B39" s="7" t="n">
        <v>46159</v>
      </c>
      <c r="C39" s="3" t="inlineStr">
        <is>
          <t>Editor review (test-scenarios spreadsheet)</t>
        </is>
      </c>
      <c r="D39" s="3" t="inlineStr">
        <is>
          <t>Overview hardcodes per-tab Scenario count and Priority HIGH count — replace with COUNTA / COUNTIF formulas so counts auto-update</t>
        </is>
      </c>
      <c r="E39" s="3"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5" t="inlineStr">
        <is>
          <t>Medium</t>
        </is>
      </c>
      <c r="G39" s="5" t="inlineStr">
        <is>
          <t>P2</t>
        </is>
      </c>
      <c r="H39" s="5" t="inlineStr">
        <is>
          <t>Fixed</t>
        </is>
      </c>
      <c r="I39" s="62" t="inlineStr">
        <is>
          <t>de37281</t>
        </is>
      </c>
      <c r="J39" s="61" t="n">
        <v>46159</v>
      </c>
    </row>
    <row r="40" ht="156" customHeight="1" s="49">
      <c r="A40" s="13">
        <f>"BUG-"&amp;TEXT(ROW()-3,"000")</f>
        <v/>
      </c>
      <c r="B40" s="14" t="n">
        <v>46159</v>
      </c>
      <c r="C40" s="15" t="inlineStr">
        <is>
          <t>Editor review (test-scenarios spreadsheet)</t>
        </is>
      </c>
      <c r="D40" s="15" t="inlineStr">
        <is>
          <t>Add Coverage % column — currently only A-001's note mentions coverage ("1.3% sampled to date") so reader can't tell if the plan has been run</t>
        </is>
      </c>
      <c r="E40" s="15"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2" t="inlineStr">
        <is>
          <t>Low</t>
        </is>
      </c>
      <c r="G40" s="12" t="inlineStr">
        <is>
          <t>P4</t>
        </is>
      </c>
      <c r="H40" s="12" t="inlineStr">
        <is>
          <t>Fixed</t>
        </is>
      </c>
      <c r="I40" s="62" t="inlineStr">
        <is>
          <t>407ef64</t>
        </is>
      </c>
      <c r="J40" s="61" t="n">
        <v>46159</v>
      </c>
    </row>
    <row r="41" ht="280" customHeight="1" s="49">
      <c r="A41" s="13">
        <f>"BUG-"&amp;TEXT(ROW()-3,"000")</f>
        <v/>
      </c>
      <c r="B41" s="14" t="n">
        <v>46159</v>
      </c>
      <c r="C41" s="15" t="inlineStr">
        <is>
          <t>Content audit (kanji.json review)</t>
        </is>
      </c>
      <c r="D41" s="15" t="inlineStr">
        <is>
          <t>KANJI-006 — 十 entry has duplicate compound rows for "十" with different readings but identical gloss</t>
        </is>
      </c>
      <c r="E41" s="15"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2" t="inlineStr">
        <is>
          <t>Medium</t>
        </is>
      </c>
      <c r="G41" s="12" t="inlineStr">
        <is>
          <t>P3</t>
        </is>
      </c>
      <c r="H41" s="12" t="inlineStr">
        <is>
          <t>Fixed</t>
        </is>
      </c>
      <c r="I41" s="62" t="inlineStr">
        <is>
          <t>de37281</t>
        </is>
      </c>
      <c r="J41" s="61" t="n">
        <v>46159</v>
      </c>
    </row>
    <row r="42" ht="280" customHeight="1" s="49">
      <c r="A42" s="18">
        <f>"BUG-"&amp;TEXT(ROW()-3,"000")</f>
        <v/>
      </c>
      <c r="B42" s="19" t="n">
        <v>46159</v>
      </c>
      <c r="C42" s="20" t="inlineStr">
        <is>
          <t>Editor review (test-scenarios spreadsheet)</t>
        </is>
      </c>
      <c r="D42" s="20" t="inlineStr">
        <is>
          <t>TS-001 — Overview column headers don't match formula content; "Priority HIGH count" formula is obsolete after Priority rename to P1–P5</t>
        </is>
      </c>
      <c r="E42" s="20"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1" t="inlineStr">
        <is>
          <t>Medium</t>
        </is>
      </c>
      <c r="G42" s="21" t="inlineStr">
        <is>
          <t>P3</t>
        </is>
      </c>
      <c r="H42" s="21" t="inlineStr">
        <is>
          <t>Fixed</t>
        </is>
      </c>
      <c r="I42" s="62" t="inlineStr">
        <is>
          <t>2933c02</t>
        </is>
      </c>
      <c r="J42" s="61" t="n">
        <v>46159</v>
      </c>
    </row>
    <row r="43" ht="280" customHeight="1" s="49">
      <c r="A43" s="26">
        <f>"BUG-"&amp;TEXT(ROW()-3,"000")</f>
        <v/>
      </c>
      <c r="B43" s="27" t="n">
        <v>46159</v>
      </c>
      <c r="C43" s="28" t="inlineStr">
        <is>
          <t>Editor review (test-scenarios spreadsheet)</t>
        </is>
      </c>
      <c r="D43" s="28" t="inlineStr">
        <is>
          <t>TS-002 — Two ISSUE-6 fields not filled across all category tabs: Estimated effort (0/248 = 0%) and Tools/scripts required (32/248 = 13%)</t>
        </is>
      </c>
      <c r="E43" s="28"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9" t="inlineStr">
        <is>
          <t>Medium</t>
        </is>
      </c>
      <c r="G43" s="29" t="inlineStr">
        <is>
          <t>P2</t>
        </is>
      </c>
      <c r="H43" s="29" t="inlineStr">
        <is>
          <t>Fixed</t>
        </is>
      </c>
      <c r="I43" s="62" t="inlineStr">
        <is>
          <t>ef38bc1</t>
        </is>
      </c>
      <c r="J43" s="61" t="n">
        <v>46159</v>
      </c>
    </row>
    <row r="44" ht="320" customHeight="1" s="49">
      <c r="A44" s="6">
        <f>"BUG-"&amp;TEXT(ROW()-3,"000")</f>
        <v/>
      </c>
      <c r="B44" s="7" t="n">
        <v>46159</v>
      </c>
      <c r="C44" s="3" t="inlineStr">
        <is>
          <t>Content audit (reading.json review)</t>
        </is>
      </c>
      <c r="D44" s="3" t="inlineStr">
        <is>
          <t>READ-001 — 'level' field mixes three different value semantics (difficulty descriptors, passage type, JLPT label)</t>
        </is>
      </c>
      <c r="E44" s="3"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5" t="inlineStr">
        <is>
          <t>Medium</t>
        </is>
      </c>
      <c r="G44" s="5" t="inlineStr">
        <is>
          <t>P3</t>
        </is>
      </c>
      <c r="H44" s="5" t="inlineStr">
        <is>
          <t>Fixed</t>
        </is>
      </c>
      <c r="I44" s="62" t="inlineStr">
        <is>
          <t>04bd8f4</t>
        </is>
      </c>
      <c r="J44" s="61" t="n">
        <v>46159</v>
      </c>
    </row>
    <row r="45" ht="320" customHeight="1" s="49">
      <c r="A45" s="6">
        <f>"BUG-"&amp;TEXT(ROW()-3,"000")</f>
        <v/>
      </c>
      <c r="B45" s="7" t="n">
        <v>46159</v>
      </c>
      <c r="C45" s="3" t="inlineStr">
        <is>
          <t>Content audit (reading.json review)</t>
        </is>
      </c>
      <c r="D45" s="3" t="inlineStr">
        <is>
          <t>READ-002 — 'summary' field is multi-lingual (mixed Hindi+English) on 45 passages, JA-only on 9 passages — inconsistent format</t>
        </is>
      </c>
      <c r="E45" s="3"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5" t="inlineStr">
        <is>
          <t>Medium</t>
        </is>
      </c>
      <c r="G45" s="5" t="inlineStr">
        <is>
          <t>P3</t>
        </is>
      </c>
      <c r="H45" s="5" t="inlineStr">
        <is>
          <t>Fixed</t>
        </is>
      </c>
      <c r="I45" s="62" t="inlineStr">
        <is>
          <t>aedee72</t>
        </is>
      </c>
      <c r="J45" s="61" t="n">
        <v>46159</v>
      </c>
    </row>
    <row r="46" ht="320" customHeight="1" s="49">
      <c r="A46" s="6">
        <f>"BUG-"&amp;TEXT(ROW()-3,"000")</f>
        <v/>
      </c>
      <c r="B46" s="7" t="n">
        <v>46159</v>
      </c>
      <c r="C46" s="3" t="inlineStr">
        <is>
          <t>Content audit (reading.json review)</t>
        </is>
      </c>
      <c r="D46" s="3" t="inlineStr">
        <is>
          <t>READ-003 — format_type has 2 undocumented values ('notice', 'comprehension') beyond _meta.schema_additions declaration</t>
        </is>
      </c>
      <c r="E46" s="3"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5" t="inlineStr">
        <is>
          <t>Medium</t>
        </is>
      </c>
      <c r="G46" s="5" t="inlineStr">
        <is>
          <t>P3</t>
        </is>
      </c>
      <c r="H46" s="5" t="inlineStr">
        <is>
          <t>Fixed</t>
        </is>
      </c>
      <c r="I46" s="62" t="inlineStr">
        <is>
          <t>aedee72</t>
        </is>
      </c>
      <c r="J46" s="61" t="n">
        <v>46159</v>
      </c>
    </row>
    <row r="47" ht="320" customHeight="1" s="49">
      <c r="A47" s="6">
        <f>"BUG-"&amp;TEXT(ROW()-3,"000")</f>
        <v/>
      </c>
      <c r="B47" s="7" t="n">
        <v>46159</v>
      </c>
      <c r="C47" s="3" t="inlineStr">
        <is>
          <t>Content audit (reading.json review)</t>
        </is>
      </c>
      <c r="D47" s="3" t="inlineStr">
        <is>
          <t>READ-004 — format_type and format_role both set to 'comprehension' on 9 passages — redundant field carrying duplicate data</t>
        </is>
      </c>
      <c r="E47" s="3"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5" t="inlineStr">
        <is>
          <t>Medium</t>
        </is>
      </c>
      <c r="G47" s="5" t="inlineStr">
        <is>
          <t>P3</t>
        </is>
      </c>
      <c r="H47" s="5" t="inlineStr">
        <is>
          <t>Fixed</t>
        </is>
      </c>
      <c r="I47" s="62" t="inlineStr">
        <is>
          <t>aedee72</t>
        </is>
      </c>
      <c r="J47" s="61" t="n">
        <v>46159</v>
      </c>
    </row>
    <row r="48" ht="320" customHeight="1" s="49">
      <c r="A48" s="6">
        <f>"BUG-"&amp;TEXT(ROW()-3,"000")</f>
        <v/>
      </c>
      <c r="B48" s="7" t="n">
        <v>46159</v>
      </c>
      <c r="C48" s="3" t="inlineStr">
        <is>
          <t>Content audit (reading.json review)</t>
        </is>
      </c>
      <c r="D48" s="3" t="inlineStr">
        <is>
          <t>READ-005 — vocab_preview uses two different schema shapes (list of strings vs list of dicts) across passages</t>
        </is>
      </c>
      <c r="E48" s="3"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5" t="inlineStr">
        <is>
          <t>Medium</t>
        </is>
      </c>
      <c r="G48" s="5" t="inlineStr">
        <is>
          <t>P2</t>
        </is>
      </c>
      <c r="H48" s="5" t="inlineStr">
        <is>
          <t>Fixed</t>
        </is>
      </c>
      <c r="I48" s="62" t="inlineStr">
        <is>
          <t>aedee72</t>
        </is>
      </c>
      <c r="J48" s="61" t="n">
        <v>46159</v>
      </c>
    </row>
    <row r="49" ht="320" customHeight="1" s="49">
      <c r="A49" s="13">
        <f>"BUG-"&amp;TEXT(ROW()-3,"000")</f>
        <v/>
      </c>
      <c r="B49" s="14" t="n">
        <v>46159</v>
      </c>
      <c r="C49" s="15" t="inlineStr">
        <is>
          <t>Content audit (reading.json review)</t>
        </is>
      </c>
      <c r="D49" s="15" t="inlineStr">
        <is>
          <t>READ-006 — First-person pronoun inconsistency: 45 passages use わたし (kana), 9 passages use 私 (kanji)</t>
        </is>
      </c>
      <c r="E49" s="15"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2" t="inlineStr">
        <is>
          <t>Low</t>
        </is>
      </c>
      <c r="G49" s="12" t="inlineStr">
        <is>
          <t>P4</t>
        </is>
      </c>
      <c r="H49" s="12" t="inlineStr">
        <is>
          <t>Fixed</t>
        </is>
      </c>
      <c r="I49" s="62" t="inlineStr">
        <is>
          <t>aedee72</t>
        </is>
      </c>
      <c r="J49" s="61" t="n">
        <v>46159</v>
      </c>
    </row>
    <row r="50" ht="409.5" customHeight="1" s="49">
      <c r="A50" s="3">
        <f>"BUG-"&amp;TEXT(ROW()-3,"000")</f>
        <v/>
      </c>
      <c r="B50" s="31" t="n">
        <v>46159</v>
      </c>
      <c r="C50" s="3" t="inlineStr">
        <is>
          <t>Content audit (listening.json review)</t>
        </is>
      </c>
      <c r="D50" s="3" t="inlineStr">
        <is>
          <t>LISTEN-001 — voice_planned.engine and audio_render_meta.voice_provider contradict each other across all 50 items</t>
        </is>
      </c>
      <c r="E50" s="3"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3" t="inlineStr">
        <is>
          <t>Medium</t>
        </is>
      </c>
      <c r="G50" s="3" t="inlineStr">
        <is>
          <t>P2</t>
        </is>
      </c>
      <c r="H50" s="3" t="inlineStr">
        <is>
          <t>Fixed</t>
        </is>
      </c>
      <c r="I50" s="62" t="inlineStr">
        <is>
          <t>47d1edc</t>
        </is>
      </c>
      <c r="J50" s="61" t="n">
        <v>46159</v>
      </c>
    </row>
    <row r="51" ht="409.5" customHeight="1" s="49">
      <c r="A51" s="3">
        <f>"BUG-"&amp;TEXT(ROW()-3,"000")</f>
        <v/>
      </c>
      <c r="B51" s="31" t="n">
        <v>46159</v>
      </c>
      <c r="C51" s="3" t="inlineStr">
        <is>
          <t>Content audit (listening.json review)</t>
        </is>
      </c>
      <c r="D51" s="3" t="inlineStr">
        <is>
          <t>LISTEN-002 (FIXED 2026-05-17) — 10 items (041-050) still carry pacing_morae_per_min=null / pacing_status="unmeasured" despite audio_render_meta showing all rendered 2026-05-12</t>
        </is>
      </c>
      <c r="E51" s="3"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3" t="inlineStr">
        <is>
          <t>Medium</t>
        </is>
      </c>
      <c r="G51" s="3" t="inlineStr">
        <is>
          <t>P2</t>
        </is>
      </c>
      <c r="H51" s="3" t="inlineStr">
        <is>
          <t>Fixed</t>
        </is>
      </c>
      <c r="I51" s="62" t="inlineStr">
        <is>
          <t>c1c7107</t>
        </is>
      </c>
      <c r="J51" s="61" t="n">
        <v>46159</v>
      </c>
    </row>
    <row r="52" ht="409.5" customHeight="1" s="49">
      <c r="A52" s="3">
        <f>"BUG-"&amp;TEXT(ROW()-3,"000")</f>
        <v/>
      </c>
      <c r="B52" s="31" t="n">
        <v>46159</v>
      </c>
      <c r="C52" s="3" t="inlineStr">
        <is>
          <t>Content audit (listening.json review)</t>
        </is>
      </c>
      <c r="D52" s="3" t="inlineStr">
        <is>
          <t>LISTEN-003 (FIXED 2026-05-17) — Pacing systematically too slow for JLPT N5: 26/50 items below 180-240 mpm target; slowest items 5x slower than exam pace</t>
        </is>
      </c>
      <c r="E52" s="3"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3" t="inlineStr">
        <is>
          <t>Major</t>
        </is>
      </c>
      <c r="G52" s="3" t="inlineStr">
        <is>
          <t>P2</t>
        </is>
      </c>
      <c r="H52" s="3" t="inlineStr">
        <is>
          <t>Fixed</t>
        </is>
      </c>
      <c r="I52" s="62" t="inlineStr">
        <is>
          <t>47d1edc</t>
        </is>
      </c>
      <c r="J52" s="61" t="n">
        <v>46159</v>
      </c>
    </row>
    <row r="53" ht="299" customHeight="1" s="49">
      <c r="A53" s="3">
        <f>"BUG-"&amp;TEXT(ROW()-3,"000")</f>
        <v/>
      </c>
      <c r="B53" s="31" t="n">
        <v>46159</v>
      </c>
      <c r="C53" s="3" t="inlineStr">
        <is>
          <t>Content audit (listening.json review)</t>
        </is>
      </c>
      <c r="D53" s="3" t="inlineStr">
        <is>
          <t>LISTEN-004 (FIXED 2026-05-17 round-3 — spec §7.3 sample drift located) — listening.json has 50 items but version.json declares counts.listening=47 — count drift across files</t>
        </is>
      </c>
      <c r="E53" s="3" t="inlineStr">
        <is>
          <t>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3" t="inlineStr">
        <is>
          <t>Medium</t>
        </is>
      </c>
      <c r="G53" s="3" t="inlineStr">
        <is>
          <t>P2</t>
        </is>
      </c>
      <c r="H53" s="3" t="inlineStr">
        <is>
          <t>Fixed</t>
        </is>
      </c>
      <c r="I53" s="62" t="inlineStr">
        <is>
          <t>(pending — this commit closes round-3)</t>
        </is>
      </c>
      <c r="J53" s="61" t="n">
        <v>46159</v>
      </c>
    </row>
    <row r="54" ht="312" customHeight="1" s="49">
      <c r="A54" s="3">
        <f>"BUG-"&amp;TEXT(ROW()-3,"000")</f>
        <v/>
      </c>
      <c r="B54" s="31" t="n">
        <v>46159</v>
      </c>
      <c r="C54" s="3" t="inlineStr">
        <is>
          <t>Content audit (listening.json review)</t>
        </is>
      </c>
      <c r="D54" s="3" t="inlineStr">
        <is>
          <t>LISTEN-005 — format and format_type fields are 1:1 redundant — two columns encoding the same information</t>
        </is>
      </c>
      <c r="E54" s="3"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3" t="inlineStr">
        <is>
          <t>Medium</t>
        </is>
      </c>
      <c r="G54" s="3" t="inlineStr">
        <is>
          <t>P3</t>
        </is>
      </c>
      <c r="H54" s="3" t="inlineStr">
        <is>
          <t>Fixed</t>
        </is>
      </c>
      <c r="I54" s="62" t="inlineStr">
        <is>
          <t>04bd8f4</t>
        </is>
      </c>
      <c r="J54" s="61" t="n">
        <v>46159</v>
      </c>
    </row>
    <row r="55" ht="390" customHeight="1" s="49">
      <c r="A55" s="3">
        <f>"BUG-"&amp;TEXT(ROW()-3,"000")</f>
        <v/>
      </c>
      <c r="B55" s="31" t="n">
        <v>46159</v>
      </c>
      <c r="C55" s="3" t="inlineStr">
        <is>
          <t>Content audit (listening.json review)</t>
        </is>
      </c>
      <c r="D55" s="3" t="inlineStr">
        <is>
          <t>LISTEN-006 — _meta.voice_variety_plan still describes VOICEVOX as future work, but VOICEVOX has already rendered all 50 items</t>
        </is>
      </c>
      <c r="E55" s="3"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3" t="inlineStr">
        <is>
          <t>Low</t>
        </is>
      </c>
      <c r="G55" s="3" t="inlineStr">
        <is>
          <t>P4</t>
        </is>
      </c>
      <c r="H55" s="3" t="inlineStr">
        <is>
          <t>Fixed</t>
        </is>
      </c>
      <c r="I55" s="62" t="inlineStr">
        <is>
          <t>5d14cde</t>
        </is>
      </c>
      <c r="J55" s="61" t="n">
        <v>46159</v>
      </c>
    </row>
    <row r="56" ht="409.5" customHeight="1" s="49">
      <c r="A56" s="15">
        <f>"BUG-"&amp;TEXT(ROW()-3,"000")</f>
        <v/>
      </c>
      <c r="B56" s="42" t="n">
        <v>46159</v>
      </c>
      <c r="C56" s="15" t="inlineStr">
        <is>
          <t>Content audit (listening.json review)</t>
        </is>
      </c>
      <c r="D56" s="15" t="inlineStr">
        <is>
          <t>LISTEN-007 — Voice variety target of 8 distinct VOICEVOX speakers not met (6 observed); plan's speaker catalog has wrong character names</t>
        </is>
      </c>
      <c r="E56" s="15"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5" t="inlineStr">
        <is>
          <t>Low</t>
        </is>
      </c>
      <c r="G56" s="15" t="inlineStr">
        <is>
          <t>P4</t>
        </is>
      </c>
      <c r="H56" s="15" t="inlineStr">
        <is>
          <t>Fixed</t>
        </is>
      </c>
      <c r="I56" s="62" t="inlineStr">
        <is>
          <t>5d14cde</t>
        </is>
      </c>
      <c r="J56" s="61" t="n">
        <v>46159</v>
      </c>
    </row>
    <row r="57" ht="280" customHeight="1" s="49">
      <c r="A57" s="43">
        <f>"BUG-"&amp;TEXT(ROW()-3,"000")</f>
        <v/>
      </c>
      <c r="B57" s="44" t="n">
        <v>46159</v>
      </c>
      <c r="C57" s="45" t="inlineStr">
        <is>
          <t>Test-scenarios review (A tab)</t>
        </is>
      </c>
      <c r="D57" s="45" t="inlineStr">
        <is>
          <t>TS-A-007 — A-007 mischaracterizes 好き / できる / わかる as "potential-form verbs"</t>
        </is>
      </c>
      <c r="E57" s="45"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6" t="inlineStr">
        <is>
          <t>Medium</t>
        </is>
      </c>
      <c r="G57" s="46" t="inlineStr">
        <is>
          <t>P3</t>
        </is>
      </c>
      <c r="H57" s="46" t="inlineStr">
        <is>
          <t>Fixed</t>
        </is>
      </c>
      <c r="I57" s="62" t="inlineStr">
        <is>
          <t>b77e1a4</t>
        </is>
      </c>
      <c r="J57" s="61" t="n">
        <v>46159</v>
      </c>
    </row>
    <row r="58" ht="280" customHeight="1" s="49">
      <c r="A58" s="43">
        <f>"BUG-"&amp;TEXT(ROW()-3,"000")</f>
        <v/>
      </c>
      <c r="B58" s="44" t="n">
        <v>46159</v>
      </c>
      <c r="C58" s="45" t="inlineStr">
        <is>
          <t>Test-scenarios review (A tab)</t>
        </is>
      </c>
      <c r="D58" s="45" t="inlineStr">
        <is>
          <t>TS-A-031 — A-031 assumes a deliverable that doesn't exist (Hindi pedagogical audio)</t>
        </is>
      </c>
      <c r="E58" s="45"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6" t="inlineStr">
        <is>
          <t>Medium</t>
        </is>
      </c>
      <c r="G58" s="46" t="inlineStr">
        <is>
          <t>P3</t>
        </is>
      </c>
      <c r="H58" s="46" t="inlineStr">
        <is>
          <t>Fixed</t>
        </is>
      </c>
      <c r="I58" s="62" t="inlineStr">
        <is>
          <t>b77e1a4</t>
        </is>
      </c>
      <c r="J58" s="61" t="n">
        <v>46159</v>
      </c>
    </row>
    <row r="59" ht="280" customHeight="1" s="49">
      <c r="A59" s="43">
        <f>"BUG-"&amp;TEXT(ROW()-3,"000")</f>
        <v/>
      </c>
      <c r="B59" s="44" t="n">
        <v>46159</v>
      </c>
      <c r="C59" s="45" t="inlineStr">
        <is>
          <t>Test-scenarios review (A tab)</t>
        </is>
      </c>
      <c r="D59" s="45" t="inlineStr">
        <is>
          <t>TS-A-011 — sonkeigo testing is out of N5 scope</t>
        </is>
      </c>
      <c r="E59" s="45"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6" t="inlineStr">
        <is>
          <t>Low</t>
        </is>
      </c>
      <c r="G59" s="46" t="inlineStr">
        <is>
          <t>P4</t>
        </is>
      </c>
      <c r="H59" s="46" t="inlineStr">
        <is>
          <t>Fixed</t>
        </is>
      </c>
      <c r="I59" s="62" t="inlineStr">
        <is>
          <t>b77e1a4</t>
        </is>
      </c>
      <c r="J59" s="61" t="n">
        <v>46159</v>
      </c>
    </row>
    <row r="60" ht="280" customHeight="1" s="49">
      <c r="A60" s="43">
        <f>"BUG-"&amp;TEXT(ROW()-3,"000")</f>
        <v/>
      </c>
      <c r="B60" s="44" t="n">
        <v>46159</v>
      </c>
      <c r="C60" s="45" t="inlineStr">
        <is>
          <t>Test-scenarios review (A tab)</t>
        </is>
      </c>
      <c r="D60" s="45" t="inlineStr">
        <is>
          <t>TS-A-042-098 — 58 near-identical "Accuracy prompt audit category" scenarios (A-042 through A-098 + A-115/A-116)</t>
        </is>
      </c>
      <c r="E60" s="45"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6" t="inlineStr">
        <is>
          <t>Medium</t>
        </is>
      </c>
      <c r="G60" s="46" t="inlineStr">
        <is>
          <t>P2</t>
        </is>
      </c>
      <c r="H60" s="46" t="inlineStr">
        <is>
          <t>Fixed</t>
        </is>
      </c>
      <c r="I60" s="62" t="inlineStr">
        <is>
          <t>b77e1a4</t>
        </is>
      </c>
      <c r="J60" s="61" t="n">
        <v>46159</v>
      </c>
    </row>
    <row r="61" ht="280" customHeight="1" s="49">
      <c r="A61" s="43">
        <f>"BUG-"&amp;TEXT(ROW()-3,"000")</f>
        <v/>
      </c>
      <c r="B61" s="44" t="n">
        <v>46159</v>
      </c>
      <c r="C61" s="45" t="inlineStr">
        <is>
          <t>Test-scenarios review (A tab)</t>
        </is>
      </c>
      <c r="D61" s="45" t="inlineStr">
        <is>
          <t>TS-A-099-114 — 16 near-identical "Audit-doc summary" scenarios (A-099 through A-114)</t>
        </is>
      </c>
      <c r="E61" s="45"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6" t="inlineStr">
        <is>
          <t>Medium</t>
        </is>
      </c>
      <c r="G61" s="46" t="inlineStr">
        <is>
          <t>P2</t>
        </is>
      </c>
      <c r="H61" s="46" t="inlineStr">
        <is>
          <t>Fixed</t>
        </is>
      </c>
      <c r="I61" s="62" t="inlineStr">
        <is>
          <t>b77e1a4</t>
        </is>
      </c>
      <c r="J61" s="61" t="n">
        <v>46159</v>
      </c>
    </row>
    <row r="62" ht="280" customHeight="1" s="49">
      <c r="A62" s="43">
        <f>"BUG-"&amp;TEXT(ROW()-3,"000")</f>
        <v/>
      </c>
      <c r="B62" s="44" t="n">
        <v>46159</v>
      </c>
      <c r="C62" s="45" t="inlineStr">
        <is>
          <t>Test-scenarios review (B tab)</t>
        </is>
      </c>
      <c r="D62" s="45" t="inlineStr">
        <is>
          <t>TS-B-010 — B-010 cites the wrong N5 exam duration (105 min; correct is 90 min)</t>
        </is>
      </c>
      <c r="E62" s="45"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6" t="inlineStr">
        <is>
          <t>Major</t>
        </is>
      </c>
      <c r="G62" s="46" t="inlineStr">
        <is>
          <t>P2</t>
        </is>
      </c>
      <c r="H62" s="46" t="inlineStr">
        <is>
          <t>Fixed</t>
        </is>
      </c>
      <c r="I62" s="62" t="inlineStr">
        <is>
          <t>b77e1a4</t>
        </is>
      </c>
      <c r="J62" s="61" t="n">
        <v>46159</v>
      </c>
    </row>
    <row r="63" ht="280" customHeight="1" s="49">
      <c r="A63" s="43">
        <f>"BUG-"&amp;TEXT(ROW()-3,"000")</f>
        <v/>
      </c>
      <c r="B63" s="44" t="n">
        <v>46159</v>
      </c>
      <c r="C63" s="45" t="inlineStr">
        <is>
          <t>Test-scenarios review (B tab)</t>
        </is>
      </c>
      <c r="D63" s="45" t="inlineStr">
        <is>
          <t>TS-B-002 — B-002 mentions a "1-choice" mondai that doesn't exist</t>
        </is>
      </c>
      <c r="E63" s="45"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6" t="inlineStr">
        <is>
          <t>Low</t>
        </is>
      </c>
      <c r="G63" s="46" t="inlineStr">
        <is>
          <t>P4</t>
        </is>
      </c>
      <c r="H63" s="46" t="inlineStr">
        <is>
          <t>Fixed</t>
        </is>
      </c>
      <c r="I63" s="62" t="inlineStr">
        <is>
          <t>b77e1a4</t>
        </is>
      </c>
      <c r="J63" s="61" t="n">
        <v>46159</v>
      </c>
    </row>
    <row r="64" ht="280" customHeight="1" s="49">
      <c r="A64" s="43">
        <f>"BUG-"&amp;TEXT(ROW()-3,"000")</f>
        <v/>
      </c>
      <c r="B64" s="44" t="n">
        <v>46159</v>
      </c>
      <c r="C64" s="45" t="inlineStr">
        <is>
          <t>Test-scenarios review (B tab)</t>
        </is>
      </c>
      <c r="D64" s="45" t="inlineStr">
        <is>
          <t>TS-B-006 — B-006 does not reference which N5 vocab spec is canonical</t>
        </is>
      </c>
      <c r="E64" s="45"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6" t="inlineStr">
        <is>
          <t>Medium</t>
        </is>
      </c>
      <c r="G64" s="46" t="inlineStr">
        <is>
          <t>P3</t>
        </is>
      </c>
      <c r="H64" s="46" t="inlineStr">
        <is>
          <t>Fixed</t>
        </is>
      </c>
      <c r="I64" s="62" t="inlineStr">
        <is>
          <t>b77e1a4</t>
        </is>
      </c>
      <c r="J64" s="61" t="n">
        <v>46159</v>
      </c>
    </row>
    <row r="65" ht="280" customHeight="1" s="49">
      <c r="A65" s="43">
        <f>"BUG-"&amp;TEXT(ROW()-3,"000")</f>
        <v/>
      </c>
      <c r="B65" s="44" t="n">
        <v>46159</v>
      </c>
      <c r="C65" s="45" t="inlineStr">
        <is>
          <t>Test-scenarios review (C tab)</t>
        </is>
      </c>
      <c r="D65" s="45" t="inlineStr">
        <is>
          <t>TS-C-004 — C-004 lists three Hindi linguistic terms without specifying the canonical one</t>
        </is>
      </c>
      <c r="E65" s="45"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6" t="inlineStr">
        <is>
          <t>Medium</t>
        </is>
      </c>
      <c r="G65" s="46" t="inlineStr">
        <is>
          <t>P3</t>
        </is>
      </c>
      <c r="H65" s="46" t="inlineStr">
        <is>
          <t>Fixed</t>
        </is>
      </c>
      <c r="I65" s="62" t="inlineStr">
        <is>
          <t>b77e1a4</t>
        </is>
      </c>
      <c r="J65" s="61" t="n">
        <v>46159</v>
      </c>
    </row>
    <row r="66" ht="280" customHeight="1" s="49">
      <c r="A66" s="43">
        <f>"BUG-"&amp;TEXT(ROW()-3,"000")</f>
        <v/>
      </c>
      <c r="B66" s="44" t="n">
        <v>46159</v>
      </c>
      <c r="C66" s="45" t="inlineStr">
        <is>
          <t>Test-scenarios review (C tab)</t>
        </is>
      </c>
      <c r="D66" s="45" t="inlineStr">
        <is>
          <t>TS-C-007-008 — C-007 and C-008 priority/severity mismatch (P4/Major)</t>
        </is>
      </c>
      <c r="E66" s="45"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6" t="inlineStr">
        <is>
          <t>Medium</t>
        </is>
      </c>
      <c r="G66" s="46" t="inlineStr">
        <is>
          <t>P3</t>
        </is>
      </c>
      <c r="H66" s="46" t="inlineStr">
        <is>
          <t>Fixed</t>
        </is>
      </c>
      <c r="I66" s="62" t="inlineStr">
        <is>
          <t>b77e1a4</t>
        </is>
      </c>
      <c r="J66" s="61" t="n">
        <v>46159</v>
      </c>
    </row>
    <row r="67" ht="280" customHeight="1" s="49">
      <c r="A67" s="43">
        <f>"BUG-"&amp;TEXT(ROW()-3,"000")</f>
        <v/>
      </c>
      <c r="B67" s="44" t="n">
        <v>46159</v>
      </c>
      <c r="C67" s="45" t="inlineStr">
        <is>
          <t>Test-scenarios review (C tab)</t>
        </is>
      </c>
      <c r="D67" s="45" t="inlineStr">
        <is>
          <t>TS-C-013 — regional neutrality is more important than P5/Minor</t>
        </is>
      </c>
      <c r="E67" s="45"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6" t="inlineStr">
        <is>
          <t>Low</t>
        </is>
      </c>
      <c r="G67" s="46" t="inlineStr">
        <is>
          <t>P4</t>
        </is>
      </c>
      <c r="H67" s="46" t="inlineStr">
        <is>
          <t>Fixed</t>
        </is>
      </c>
      <c r="I67" s="62" t="inlineStr">
        <is>
          <t>b77e1a4</t>
        </is>
      </c>
      <c r="J67" s="61" t="n">
        <v>46159</v>
      </c>
    </row>
    <row r="68" ht="280" customHeight="1" s="49">
      <c r="A68" s="43">
        <f>"BUG-"&amp;TEXT(ROW()-3,"000")</f>
        <v/>
      </c>
      <c r="B68" s="44" t="n">
        <v>46159</v>
      </c>
      <c r="C68" s="45" t="inlineStr">
        <is>
          <t>Test-scenarios review (D tab)</t>
        </is>
      </c>
      <c r="D68" s="45" t="inlineStr">
        <is>
          <t>TS-D-009 — Expected criterion is vague ("JIS X 4051 ish convention")</t>
        </is>
      </c>
      <c r="E68" s="45"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6" t="inlineStr">
        <is>
          <t>Low</t>
        </is>
      </c>
      <c r="G68" s="46" t="inlineStr">
        <is>
          <t>P4</t>
        </is>
      </c>
      <c r="H68" s="46" t="inlineStr">
        <is>
          <t>Fixed</t>
        </is>
      </c>
      <c r="I68" s="62" t="inlineStr">
        <is>
          <t>b77e1a4</t>
        </is>
      </c>
      <c r="J68" s="61" t="n">
        <v>46159</v>
      </c>
    </row>
    <row r="69" ht="280" customHeight="1" s="49">
      <c r="A69" s="43">
        <f>"BUG-"&amp;TEXT(ROW()-3,"000")</f>
        <v/>
      </c>
      <c r="B69" s="44" t="n">
        <v>46159</v>
      </c>
      <c r="C69" s="45" t="inlineStr">
        <is>
          <t>Test-scenarios review (D tab)</t>
        </is>
      </c>
      <c r="D69" s="45" t="inlineStr">
        <is>
          <t>TS-D-014 — Self-assessment / placement is more strategic than P5/Minor</t>
        </is>
      </c>
      <c r="E69" s="45"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6" t="inlineStr">
        <is>
          <t>Medium</t>
        </is>
      </c>
      <c r="G69" s="46" t="inlineStr">
        <is>
          <t>P3</t>
        </is>
      </c>
      <c r="H69" s="46" t="inlineStr">
        <is>
          <t>Fixed</t>
        </is>
      </c>
      <c r="I69" s="62" t="inlineStr">
        <is>
          <t>b77e1a4</t>
        </is>
      </c>
      <c r="J69" s="61" t="n">
        <v>46159</v>
      </c>
    </row>
    <row r="70" ht="280" customHeight="1" s="49">
      <c r="A70" s="43">
        <f>"BUG-"&amp;TEXT(ROW()-3,"000")</f>
        <v/>
      </c>
      <c r="B70" s="44" t="n">
        <v>46159</v>
      </c>
      <c r="C70" s="45" t="inlineStr">
        <is>
          <t>Test-scenarios review (D tab)</t>
        </is>
      </c>
      <c r="D70" s="45" t="inlineStr">
        <is>
          <t>TS-D-001-002-018 — D-001 / D-002 / D-018 have subjective pass criteria</t>
        </is>
      </c>
      <c r="E70" s="45"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6" t="inlineStr">
        <is>
          <t>Low</t>
        </is>
      </c>
      <c r="G70" s="46" t="inlineStr">
        <is>
          <t>P4</t>
        </is>
      </c>
      <c r="H70" s="46" t="inlineStr">
        <is>
          <t>Fixed</t>
        </is>
      </c>
      <c r="I70" s="62" t="inlineStr">
        <is>
          <t>b77e1a4</t>
        </is>
      </c>
      <c r="J70" s="61" t="n">
        <v>46159</v>
      </c>
    </row>
    <row r="71" ht="280" customHeight="1" s="49">
      <c r="A71" s="43">
        <f>"BUG-"&amp;TEXT(ROW()-3,"000")</f>
        <v/>
      </c>
      <c r="B71" s="44" t="n">
        <v>46159</v>
      </c>
      <c r="C71" s="45" t="inlineStr">
        <is>
          <t>Test-scenarios review (E tab)</t>
        </is>
      </c>
      <c r="D71" s="45" t="inlineStr">
        <is>
          <t>TS-E-006 — Skip-to-main is WCAG Level A, not Minor</t>
        </is>
      </c>
      <c r="E71" s="45"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6" t="inlineStr">
        <is>
          <t>Medium</t>
        </is>
      </c>
      <c r="G71" s="46" t="inlineStr">
        <is>
          <t>P3</t>
        </is>
      </c>
      <c r="H71" s="46" t="inlineStr">
        <is>
          <t>Fixed</t>
        </is>
      </c>
      <c r="I71" s="62" t="inlineStr">
        <is>
          <t>b77e1a4</t>
        </is>
      </c>
      <c r="J71" s="61" t="n">
        <v>46159</v>
      </c>
    </row>
    <row r="72" ht="280" customHeight="1" s="49">
      <c r="A72" s="43">
        <f>"BUG-"&amp;TEXT(ROW()-3,"000")</f>
        <v/>
      </c>
      <c r="B72" s="44" t="n">
        <v>46159</v>
      </c>
      <c r="C72" s="45" t="inlineStr">
        <is>
          <t>Test-scenarios review (E tab)</t>
        </is>
      </c>
      <c r="D72" s="45" t="inlineStr">
        <is>
          <t>TS-E-011 — E-011 uses Material Design number (48×48), not WCAG number, while tab is WCAG-AA</t>
        </is>
      </c>
      <c r="E72" s="45"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6" t="inlineStr">
        <is>
          <t>Low</t>
        </is>
      </c>
      <c r="G72" s="46" t="inlineStr">
        <is>
          <t>P4</t>
        </is>
      </c>
      <c r="H72" s="46" t="inlineStr">
        <is>
          <t>Fixed</t>
        </is>
      </c>
      <c r="I72" s="62" t="inlineStr">
        <is>
          <t>b77e1a4</t>
        </is>
      </c>
      <c r="J72" s="61" t="n">
        <v>46159</v>
      </c>
    </row>
    <row r="73" ht="280" customHeight="1" s="49">
      <c r="A73" s="43">
        <f>"BUG-"&amp;TEXT(ROW()-3,"000")</f>
        <v/>
      </c>
      <c r="B73" s="44" t="n">
        <v>46159</v>
      </c>
      <c r="C73" s="45" t="inlineStr">
        <is>
          <t>Test-scenarios review (E tab)</t>
        </is>
      </c>
      <c r="D73" s="45" t="inlineStr">
        <is>
          <t>TS-E-013 — Reduced-motion is more impactful than P5/Minor</t>
        </is>
      </c>
      <c r="E73" s="45"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6" t="inlineStr">
        <is>
          <t>Low</t>
        </is>
      </c>
      <c r="G73" s="46" t="inlineStr">
        <is>
          <t>P3</t>
        </is>
      </c>
      <c r="H73" s="46" t="inlineStr">
        <is>
          <t>Fixed</t>
        </is>
      </c>
      <c r="I73" s="62" t="inlineStr">
        <is>
          <t>b77e1a4</t>
        </is>
      </c>
      <c r="J73" s="61" t="n">
        <v>46159</v>
      </c>
    </row>
    <row r="74" ht="280" customHeight="1" s="49">
      <c r="A74" s="43">
        <f>"BUG-"&amp;TEXT(ROW()-3,"000")</f>
        <v/>
      </c>
      <c r="B74" s="44" t="n">
        <v>46159</v>
      </c>
      <c r="C74" s="45" t="inlineStr">
        <is>
          <t>Test-scenarios review (E tab)</t>
        </is>
      </c>
      <c r="D74" s="45" t="inlineStr">
        <is>
          <t>TS-E-016 — Transcript visibility conflicts with B-011 and E-018</t>
        </is>
      </c>
      <c r="E74" s="45"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6" t="inlineStr">
        <is>
          <t>Medium</t>
        </is>
      </c>
      <c r="G74" s="46" t="inlineStr">
        <is>
          <t>P3</t>
        </is>
      </c>
      <c r="H74" s="46" t="inlineStr">
        <is>
          <t>Fixed</t>
        </is>
      </c>
      <c r="I74" s="62" t="inlineStr">
        <is>
          <t>b77e1a4</t>
        </is>
      </c>
      <c r="J74" s="61" t="n">
        <v>46159</v>
      </c>
    </row>
    <row r="75" ht="280" customHeight="1" s="49">
      <c r="A75" s="43">
        <f>"BUG-"&amp;TEXT(ROW()-3,"000")</f>
        <v/>
      </c>
      <c r="B75" s="44" t="n">
        <v>46159</v>
      </c>
      <c r="C75" s="45" t="inlineStr">
        <is>
          <t>Test-scenarios review (F tab)</t>
        </is>
      </c>
      <c r="D75" s="45" t="inlineStr">
        <is>
          <t>TS-F-013-016-017 — F-013 is conditional but written as unconditional (also F-016, F-017)</t>
        </is>
      </c>
      <c r="E75" s="45"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6" t="inlineStr">
        <is>
          <t>Medium</t>
        </is>
      </c>
      <c r="G75" s="46" t="inlineStr">
        <is>
          <t>P3</t>
        </is>
      </c>
      <c r="H75" s="46" t="inlineStr">
        <is>
          <t>Fixed</t>
        </is>
      </c>
      <c r="I75" s="62" t="inlineStr">
        <is>
          <t>b77e1a4</t>
        </is>
      </c>
      <c r="J75" s="61" t="n">
        <v>46159</v>
      </c>
    </row>
    <row r="76" ht="280" customHeight="1" s="49">
      <c r="A76" s="43">
        <f>"BUG-"&amp;TEXT(ROW()-3,"000")</f>
        <v/>
      </c>
      <c r="B76" s="44" t="n">
        <v>46159</v>
      </c>
      <c r="C76" s="45" t="inlineStr">
        <is>
          <t>Test-scenarios review (G tab)</t>
        </is>
      </c>
      <c r="D76" s="45" t="inlineStr">
        <is>
          <t>TS-G-005 — DPDP Act compliance without provision references</t>
        </is>
      </c>
      <c r="E76" s="45"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6" t="inlineStr">
        <is>
          <t>Medium</t>
        </is>
      </c>
      <c r="G76" s="46" t="inlineStr">
        <is>
          <t>P3</t>
        </is>
      </c>
      <c r="H76" s="46" t="inlineStr">
        <is>
          <t>Fixed</t>
        </is>
      </c>
      <c r="I76" s="62" t="inlineStr">
        <is>
          <t>b77e1a4</t>
        </is>
      </c>
      <c r="J76" s="61" t="n">
        <v>46159</v>
      </c>
    </row>
    <row r="77" ht="280" customHeight="1" s="49">
      <c r="A77" s="43">
        <f>"BUG-"&amp;TEXT(ROW()-3,"000")</f>
        <v/>
      </c>
      <c r="B77" s="44" t="n">
        <v>46159</v>
      </c>
      <c r="C77" s="45" t="inlineStr">
        <is>
          <t>Test-scenarios review (G tab)</t>
        </is>
      </c>
      <c r="D77" s="45" t="inlineStr">
        <is>
          <t>TS-G-007 — G-007 covers COPPA only; misses DPDP §9 and GDPR Art. 8</t>
        </is>
      </c>
      <c r="E77" s="45"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6" t="inlineStr">
        <is>
          <t>Medium</t>
        </is>
      </c>
      <c r="G77" s="46" t="inlineStr">
        <is>
          <t>P3</t>
        </is>
      </c>
      <c r="H77" s="46" t="inlineStr">
        <is>
          <t>Fixed</t>
        </is>
      </c>
      <c r="I77" s="62" t="inlineStr">
        <is>
          <t>b77e1a4</t>
        </is>
      </c>
      <c r="J77" s="61" t="n">
        <v>46159</v>
      </c>
    </row>
    <row r="78" ht="280" customHeight="1" s="49">
      <c r="A78" s="43">
        <f>"BUG-"&amp;TEXT(ROW()-3,"000")</f>
        <v/>
      </c>
      <c r="B78" s="44" t="n">
        <v>46159</v>
      </c>
      <c r="C78" s="45" t="inlineStr">
        <is>
          <t>Test-scenarios review (G tab)</t>
        </is>
      </c>
      <c r="D78" s="45" t="inlineStr">
        <is>
          <t>TS-G-012-013 — Trademark scenarios under-rated at P5/Minor</t>
        </is>
      </c>
      <c r="E78" s="45"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6" t="inlineStr">
        <is>
          <t>Medium</t>
        </is>
      </c>
      <c r="G78" s="46" t="inlineStr">
        <is>
          <t>P3</t>
        </is>
      </c>
      <c r="H78" s="46" t="inlineStr">
        <is>
          <t>Fixed</t>
        </is>
      </c>
      <c r="I78" s="62" t="inlineStr">
        <is>
          <t>b77e1a4</t>
        </is>
      </c>
      <c r="J78" s="61" t="n">
        <v>46159</v>
      </c>
    </row>
    <row r="79" ht="280" customHeight="1" s="49">
      <c r="A79" s="43">
        <f>"BUG-"&amp;TEXT(ROW()-3,"000")</f>
        <v/>
      </c>
      <c r="B79" s="44" t="n">
        <v>46159</v>
      </c>
      <c r="C79" s="45" t="inlineStr">
        <is>
          <t>Test-scenarios review (I tab)</t>
        </is>
      </c>
      <c r="D79" s="45" t="inlineStr">
        <is>
          <t>TS-I-013-014-015 — ID gap: I-013, I-014, I-015 are missing</t>
        </is>
      </c>
      <c r="E79" s="45"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6" t="inlineStr">
        <is>
          <t>Low</t>
        </is>
      </c>
      <c r="G79" s="46" t="inlineStr">
        <is>
          <t>P4</t>
        </is>
      </c>
      <c r="H79" s="46" t="inlineStr">
        <is>
          <t>Fixed</t>
        </is>
      </c>
      <c r="I79" s="62" t="inlineStr">
        <is>
          <t>b77e1a4</t>
        </is>
      </c>
      <c r="J79" s="61" t="n">
        <v>46159</v>
      </c>
    </row>
    <row r="80" ht="280" customHeight="1" s="49">
      <c r="A80" s="43">
        <f>"BUG-"&amp;TEXT(ROW()-3,"000")</f>
        <v/>
      </c>
      <c r="B80" s="44" t="n">
        <v>46159</v>
      </c>
      <c r="C80" s="45" t="inlineStr">
        <is>
          <t>Test-scenarios review (I tab)</t>
        </is>
      </c>
      <c r="D80" s="45" t="inlineStr">
        <is>
          <t>TS-I-008 — I-008 priority P4/Major inconsistency</t>
        </is>
      </c>
      <c r="E80" s="45"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6" t="inlineStr">
        <is>
          <t>Medium</t>
        </is>
      </c>
      <c r="G80" s="46" t="inlineStr">
        <is>
          <t>P3</t>
        </is>
      </c>
      <c r="H80" s="46" t="inlineStr">
        <is>
          <t>Fixed</t>
        </is>
      </c>
      <c r="I80" s="62" t="inlineStr">
        <is>
          <t>b77e1a4</t>
        </is>
      </c>
      <c r="J80" s="61" t="n">
        <v>46159</v>
      </c>
    </row>
    <row r="81" ht="280" customHeight="1" s="49">
      <c r="A81" s="43">
        <f>"BUG-"&amp;TEXT(ROW()-3,"000")</f>
        <v/>
      </c>
      <c r="B81" s="44" t="n">
        <v>46159</v>
      </c>
      <c r="C81" s="45" t="inlineStr">
        <is>
          <t>Test-scenarios review (J tab)</t>
        </is>
      </c>
      <c r="D81" s="45" t="inlineStr">
        <is>
          <t>TS-J-008 — J-008 references "10 documented HI-L1 transfer-error classes" without naming the source</t>
        </is>
      </c>
      <c r="E81" s="45"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6" t="inlineStr">
        <is>
          <t>Medium</t>
        </is>
      </c>
      <c r="G81" s="46" t="inlineStr">
        <is>
          <t>P3</t>
        </is>
      </c>
      <c r="H81" s="46" t="inlineStr">
        <is>
          <t>Fixed</t>
        </is>
      </c>
      <c r="I81" s="62" t="inlineStr">
        <is>
          <t>b77e1a4</t>
        </is>
      </c>
      <c r="J81" s="61" t="n">
        <v>46159</v>
      </c>
    </row>
    <row r="82" ht="280" customHeight="1" s="49">
      <c r="A82" s="43">
        <f>"BUG-"&amp;TEXT(ROW()-3,"000")</f>
        <v/>
      </c>
      <c r="B82" s="44" t="n">
        <v>46159</v>
      </c>
      <c r="C82" s="45" t="inlineStr">
        <is>
          <t>Test-scenarios review (J tab)</t>
        </is>
      </c>
      <c r="D82" s="45" t="inlineStr">
        <is>
          <t>TS-J-015 — Spearman target oversimplifies (Genki vs Minna OR loophole)</t>
        </is>
      </c>
      <c r="E82" s="45"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6" t="inlineStr">
        <is>
          <t>Medium</t>
        </is>
      </c>
      <c r="G82" s="46" t="inlineStr">
        <is>
          <t>P3</t>
        </is>
      </c>
      <c r="H82" s="46" t="inlineStr">
        <is>
          <t>Fixed</t>
        </is>
      </c>
      <c r="I82" s="62" t="inlineStr">
        <is>
          <t>b77e1a4</t>
        </is>
      </c>
      <c r="J82" s="61" t="n">
        <v>46159</v>
      </c>
    </row>
    <row r="83" ht="280" customHeight="1" s="49">
      <c r="A83" s="43">
        <f>"BUG-"&amp;TEXT(ROW()-3,"000")</f>
        <v/>
      </c>
      <c r="B83" s="44" t="n">
        <v>46159</v>
      </c>
      <c r="C83" s="45" t="inlineStr">
        <is>
          <t>Test-scenarios review (K tab)</t>
        </is>
      </c>
      <c r="D83" s="45" t="inlineStr">
        <is>
          <t>TS-K-019-036 — 20 near-identical "Phase-0 regression block" scenarios (K-019 through K-036 + K-053)</t>
        </is>
      </c>
      <c r="E83" s="45"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6" t="inlineStr">
        <is>
          <t>Medium</t>
        </is>
      </c>
      <c r="G83" s="46" t="inlineStr">
        <is>
          <t>P2</t>
        </is>
      </c>
      <c r="H83" s="46" t="inlineStr">
        <is>
          <t>Fixed</t>
        </is>
      </c>
      <c r="I83" s="62" t="inlineStr">
        <is>
          <t>b77e1a4</t>
        </is>
      </c>
      <c r="J83" s="61" t="n">
        <v>46159</v>
      </c>
    </row>
    <row r="84" ht="280" customHeight="1" s="49">
      <c r="A84" s="43">
        <f>"BUG-"&amp;TEXT(ROW()-3,"000")</f>
        <v/>
      </c>
      <c r="B84" s="44" t="n">
        <v>46159</v>
      </c>
      <c r="C84" s="45" t="inlineStr">
        <is>
          <t>Test-scenarios review (K tab)</t>
        </is>
      </c>
      <c r="D84" s="45" t="inlineStr">
        <is>
          <t>TS-K-037-051 — 15 near-identical "Accuracy prompt false-positive class" scenarios (K-037 through K-051)</t>
        </is>
      </c>
      <c r="E84" s="45"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6" t="inlineStr">
        <is>
          <t>Medium</t>
        </is>
      </c>
      <c r="G84" s="46" t="inlineStr">
        <is>
          <t>P2</t>
        </is>
      </c>
      <c r="H84" s="46" t="inlineStr">
        <is>
          <t>Fixed</t>
        </is>
      </c>
      <c r="I84" s="62" t="inlineStr">
        <is>
          <t>b77e1a4</t>
        </is>
      </c>
      <c r="J84" s="61" t="n">
        <v>46159</v>
      </c>
    </row>
    <row r="85" ht="280" customHeight="1" s="49">
      <c r="A85" s="43">
        <f>"BUG-"&amp;TEXT(ROW()-3,"000")</f>
        <v/>
      </c>
      <c r="B85" s="44" t="n">
        <v>46159</v>
      </c>
      <c r="C85" s="45" t="inlineStr">
        <is>
          <t>Test-scenarios review (K tab)</t>
        </is>
      </c>
      <c r="D85" s="45" t="inlineStr">
        <is>
          <t>TS-K-001 — K-001 ambiguous pass criterion ("≤ 3 critical / major bugs per session")</t>
        </is>
      </c>
      <c r="E85" s="45"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6" t="inlineStr">
        <is>
          <t>Low</t>
        </is>
      </c>
      <c r="G85" s="46" t="inlineStr">
        <is>
          <t>P3</t>
        </is>
      </c>
      <c r="H85" s="46" t="inlineStr">
        <is>
          <t>Fixed</t>
        </is>
      </c>
      <c r="I85" s="62" t="inlineStr">
        <is>
          <t>b77e1a4</t>
        </is>
      </c>
      <c r="J85" s="61" t="n">
        <v>46159</v>
      </c>
    </row>
    <row r="86" ht="280" customHeight="1" s="49">
      <c r="A86" s="43">
        <f>"BUG-"&amp;TEXT(ROW()-3,"000")</f>
        <v/>
      </c>
      <c r="B86" s="44" t="n">
        <v>46159</v>
      </c>
      <c r="C86" s="45" t="inlineStr">
        <is>
          <t>Test-scenarios review (K tab)</t>
        </is>
      </c>
      <c r="D86" s="45" t="inlineStr">
        <is>
          <t>TS-K-009-010 — Visual regression at P5/Minor undervalues critical surfaces</t>
        </is>
      </c>
      <c r="E86" s="45"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6" t="inlineStr">
        <is>
          <t>Low</t>
        </is>
      </c>
      <c r="G86" s="46" t="inlineStr">
        <is>
          <t>P3</t>
        </is>
      </c>
      <c r="H86" s="46" t="inlineStr">
        <is>
          <t>Fixed</t>
        </is>
      </c>
      <c r="I86" s="62" t="inlineStr">
        <is>
          <t>b77e1a4</t>
        </is>
      </c>
      <c r="J86" s="61" t="n">
        <v>46159</v>
      </c>
    </row>
    <row r="87" ht="280" customHeight="1" s="49">
      <c r="A87" s="43">
        <f>"BUG-"&amp;TEXT(ROW()-3,"000")</f>
        <v/>
      </c>
      <c r="B87" s="44" t="n">
        <v>46159</v>
      </c>
      <c r="C87" s="45" t="inlineStr">
        <is>
          <t>Test-scenarios review (L tab)</t>
        </is>
      </c>
      <c r="D87" s="45" t="inlineStr">
        <is>
          <t>TS-L-003 — Gender balance under-rated for the language being taught</t>
        </is>
      </c>
      <c r="E87" s="45"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6" t="inlineStr">
        <is>
          <t>Medium</t>
        </is>
      </c>
      <c r="G87" s="46" t="inlineStr">
        <is>
          <t>P3</t>
        </is>
      </c>
      <c r="H87" s="46" t="inlineStr">
        <is>
          <t>Fixed</t>
        </is>
      </c>
      <c r="I87" s="62" t="inlineStr">
        <is>
          <t>b77e1a4</t>
        </is>
      </c>
      <c r="J87" s="61" t="n">
        <v>46159</v>
      </c>
    </row>
    <row r="88" ht="280" customHeight="1" s="49">
      <c r="A88" s="43">
        <f>"BUG-"&amp;TEXT(ROW()-3,"000")</f>
        <v/>
      </c>
      <c r="B88" s="44" t="n">
        <v>46159</v>
      </c>
      <c r="C88" s="45" t="inlineStr">
        <is>
          <t>Test-scenarios review (L tab)</t>
        </is>
      </c>
      <c r="D88" s="45" t="inlineStr">
        <is>
          <t>TS-L-005-006 — Regional / religious neutrality under-rated for India audience</t>
        </is>
      </c>
      <c r="E88" s="45"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6" t="inlineStr">
        <is>
          <t>Low</t>
        </is>
      </c>
      <c r="G88" s="46" t="inlineStr">
        <is>
          <t>P4</t>
        </is>
      </c>
      <c r="H88" s="46" t="inlineStr">
        <is>
          <t>Fixed</t>
        </is>
      </c>
      <c r="I88" s="62" t="inlineStr">
        <is>
          <t>b77e1a4</t>
        </is>
      </c>
      <c r="J88" s="61" t="n">
        <v>46159</v>
      </c>
    </row>
    <row r="89" ht="280" customHeight="1" s="49">
      <c r="A89" s="43">
        <f>"BUG-"&amp;TEXT(ROW()-3,"000")</f>
        <v/>
      </c>
      <c r="B89" s="44" t="n">
        <v>46159</v>
      </c>
      <c r="C89" s="45" t="inlineStr">
        <is>
          <t>Test-scenarios review (M tab)</t>
        </is>
      </c>
      <c r="D89" s="45" t="inlineStr">
        <is>
          <t>TS-M-002 — Uptime monitoring vague for a static-only site</t>
        </is>
      </c>
      <c r="E89" s="45"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6" t="inlineStr">
        <is>
          <t>Low</t>
        </is>
      </c>
      <c r="G89" s="46" t="inlineStr">
        <is>
          <t>P4</t>
        </is>
      </c>
      <c r="H89" s="46" t="inlineStr">
        <is>
          <t>Fixed</t>
        </is>
      </c>
      <c r="I89" s="62" t="inlineStr">
        <is>
          <t>b77e1a4</t>
        </is>
      </c>
      <c r="J89" s="61" t="n">
        <v>46159</v>
      </c>
    </row>
    <row r="90" ht="280" customHeight="1" s="49">
      <c r="A90" s="43">
        <f>"BUG-"&amp;TEXT(ROW()-3,"000")</f>
        <v/>
      </c>
      <c r="B90" s="44" t="n">
        <v>46159</v>
      </c>
      <c r="C90" s="45" t="inlineStr">
        <is>
          <t>Test-scenarios review (M tab)</t>
        </is>
      </c>
      <c r="D90" s="45" t="inlineStr">
        <is>
          <t>TS-M-004 — Privacy-respecting analytics has built-in contradiction</t>
        </is>
      </c>
      <c r="E90" s="45"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6" t="inlineStr">
        <is>
          <t>Low</t>
        </is>
      </c>
      <c r="G90" s="46" t="inlineStr">
        <is>
          <t>P4</t>
        </is>
      </c>
      <c r="H90" s="46" t="inlineStr">
        <is>
          <t>Fixed</t>
        </is>
      </c>
      <c r="I90" s="62" t="inlineStr">
        <is>
          <t>b77e1a4</t>
        </is>
      </c>
      <c r="J90" s="61" t="n">
        <v>46159</v>
      </c>
    </row>
    <row r="91" ht="280" customHeight="1" s="49">
      <c r="A91" s="43">
        <f>"BUG-"&amp;TEXT(ROW()-3,"000")</f>
        <v/>
      </c>
      <c r="B91" s="44" t="n">
        <v>46159</v>
      </c>
      <c r="C91" s="45" t="inlineStr">
        <is>
          <t>Test-scenarios review (N tab)</t>
        </is>
      </c>
      <c r="D91" s="45" t="inlineStr">
        <is>
          <t>TS-N-017 — Sample size too small (n=3) for usability finding</t>
        </is>
      </c>
      <c r="E91" s="45"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6" t="inlineStr">
        <is>
          <t>Low</t>
        </is>
      </c>
      <c r="G91" s="46" t="inlineStr">
        <is>
          <t>P4</t>
        </is>
      </c>
      <c r="H91" s="46" t="inlineStr">
        <is>
          <t>Fixed</t>
        </is>
      </c>
      <c r="I91" s="62" t="inlineStr">
        <is>
          <t>b77e1a4</t>
        </is>
      </c>
      <c r="J91" s="61" t="n">
        <v>46159</v>
      </c>
    </row>
    <row r="92" ht="280" customHeight="1" s="49">
      <c r="A92" s="43">
        <f>"BUG-"&amp;TEXT(ROW()-3,"000")</f>
        <v/>
      </c>
      <c r="B92" s="44" t="n">
        <v>46159</v>
      </c>
      <c r="C92" s="45" t="inlineStr">
        <is>
          <t>Test-scenarios review (Unit Tests tab)</t>
        </is>
      </c>
      <c r="D92" s="45" t="inlineStr">
        <is>
          <t>TS-UT-001 — Tab name promises auto-runnable but contains 6 manual-evaluation rows</t>
        </is>
      </c>
      <c r="E92" s="45"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46" t="inlineStr">
        <is>
          <t>Low</t>
        </is>
      </c>
      <c r="G92" s="46" t="inlineStr">
        <is>
          <t>P4</t>
        </is>
      </c>
      <c r="H92" s="46" t="inlineStr">
        <is>
          <t>Fixed</t>
        </is>
      </c>
      <c r="I92" s="62" t="inlineStr">
        <is>
          <t>b77e1a4</t>
        </is>
      </c>
      <c r="J92" s="61" t="n">
        <v>46159</v>
      </c>
    </row>
    <row r="93">
      <c r="B93" s="2" t="n">
        <v>46159</v>
      </c>
      <c r="C93" t="inlineStr">
        <is>
          <t>Native-teacher review run (2026-05-17)</t>
        </is>
      </c>
      <c r="D93" t="inlineStr">
        <is>
          <t>NR-001 — まえに pattern-instance contamination across n5-161/n5-162 (5 misfiled / broken examples)</t>
        </is>
      </c>
      <c r="E93" t="inlineStr">
        <is>
          <t>Source: native-Japanese-teacher review run 2026-05-17 of the test-scenarios A. Japanese language tab (A-002 + A-005 + A-007 + A-008 native-review scenarios).
Findings:
  (a) n5-161 ex[1] 'ねる まえに 本を 読みます。' uses V-plain frame (ねる = verb dictionary form) but the parent pattern is 'Noun + の + まえに'. Should be in n5-162.
  (b) n5-161 ex[6] 'ねる まえに しゅくだいを します。' — same issue as (a).
  (c) n5-162 ex[4] 'ごはんの まえに てを あらいます。' uses noun-frame (ごはん+の) but the parent pattern is 'V-plain + まえに'. Should be in n5-161.
  (d) n5-162 ex[5] '三日 まえに 来ました。' uses time-noun-frame (number+time word + まえに without intervening の; this is a noun-frame variant for time expressions). Should be in n5-161.
  (e) n5-162 ex[6] 'との まえに ねこが います。' is GRAMMATICALLY BROKEN — 'との' is not a valid noun-phrase here. Likely typo for '戸の' (door's) or 'ドアの' (door's).
Reference: Genki I L17 + Minna I L34 + JEES official N5 sample papers — 'Noun + の + まえに' and 'V-plain + まえに' are taught as distinct patterns; examples for each must adhere to their respective frame.
[FIX 2026-05-17]: Rewrote 5 misfiled / broken examples to use the correct frame matching their parent pattern. n5-161 ex[1] → 'テストの まえに 本を 読みます。'; ex[6] → 'じゅぎょうの まえに しゅくだいを します。'. n5-162 ex[4] → 'たべる まえに てを あらいます。'; ex[5] → '出かける まえに かさを もって いきます。'; ex[6] → 'ねる まえに、 ほんを よみます。'. See tools/file_native_review_bugs_2026_05_17.py.</t>
        </is>
      </c>
      <c r="F93" t="inlineStr">
        <is>
          <t>Major</t>
        </is>
      </c>
      <c r="G93" t="inlineStr">
        <is>
          <t>P2</t>
        </is>
      </c>
      <c r="H93" t="inlineStr">
        <is>
          <t>Fixed</t>
        </is>
      </c>
      <c r="I93" t="inlineStr">
        <is>
          <t>d26e677</t>
        </is>
      </c>
      <c r="J93" s="68" t="n">
        <v>46159</v>
      </c>
      <c r="N93" s="68" t="n"/>
    </row>
    <row r="94">
      <c r="B94" s="2" t="n">
        <v>46159</v>
      </c>
      <c r="C94" t="inlineStr">
        <is>
          <t>Native-teacher review run (2026-05-17)</t>
        </is>
      </c>
      <c r="D94" t="inlineStr">
        <is>
          <t>NR-002 — n5-161 duplicate examples (ex[0] vs ex[8])</t>
        </is>
      </c>
      <c r="E94" t="inlineStr">
        <is>
          <t>Source: native-Japanese-teacher review run 2026-05-17.
n5-161 ex[0] 'ごはんの まえに てを あらいます。' and ex[8] 'ごはんの まえに、 てを あらいます。' carry the same content with only a comma difference; ex[8] adds nothing pedagogically.
[FIX 2026-05-17]: Replaced ex[8] with a distinct N-frame example 'かいぎの まえに しりょうを よみます。' (Before the meeting, I read the materials).</t>
        </is>
      </c>
      <c r="F94" t="inlineStr">
        <is>
          <t>Medium</t>
        </is>
      </c>
      <c r="G94" t="inlineStr">
        <is>
          <t>P3</t>
        </is>
      </c>
      <c r="H94" t="inlineStr">
        <is>
          <t>Fixed</t>
        </is>
      </c>
      <c r="I94" t="inlineStr">
        <is>
          <t>d26e677</t>
        </is>
      </c>
      <c r="J94" s="68" t="n">
        <v>46159</v>
      </c>
      <c r="N94" s="68" t="n"/>
    </row>
    <row r="95">
      <c r="B95" s="2" t="n">
        <v>46159</v>
      </c>
      <c r="C95" t="inlineStr">
        <is>
          <t>Native-teacher review run (2026-05-17)</t>
        </is>
      </c>
      <c r="D95" t="inlineStr">
        <is>
          <t>NR-003 — n5-160 / n5-163 misfiled adverbial 'あとで 電話します。'</t>
        </is>
      </c>
      <c r="E95" t="inlineStr">
        <is>
          <t>Source: native-Japanese-teacher review run 2026-05-17.
Both n5-160 ex[4] (Noun+の+あとで pattern) and n5-163 ex[4] (V-た+あとで pattern) contain 'あとで 電話します。' as standalone adverbial use ('Later, I'll phone'). This is NOT the canonical n5-160 or n5-163 pattern — it's an adverbial with no preceding noun-of-quantity or verb-past. It also appears in both patterns as an identical duplicate.
Per Genki I L11 + Minna I L17: 'あとで' adverbially is a separate use (often translated 'later'), distinct from the compound patterns 'Noun+の+あとで' / 'V-た+あとで'.
[FIX 2026-05-17]: n5-160 ex[4] → 'じゅぎょうの あとで 友だちと あいます。' (N-frame). n5-163 ex[4] → 'しゅくだいを した あとで ともだちに 電話します。' (V-た frame).</t>
        </is>
      </c>
      <c r="F95" t="inlineStr">
        <is>
          <t>Major</t>
        </is>
      </c>
      <c r="G95" t="inlineStr">
        <is>
          <t>P2</t>
        </is>
      </c>
      <c r="H95" t="inlineStr">
        <is>
          <t>Fixed</t>
        </is>
      </c>
      <c r="I95" t="inlineStr">
        <is>
          <t>d26e677</t>
        </is>
      </c>
      <c r="J95" s="68" t="n">
        <v>46159</v>
      </c>
      <c r="N95" s="68" t="n"/>
    </row>
    <row r="96">
      <c r="B96" s="2" t="n">
        <v>46159</v>
      </c>
      <c r="C96" t="inlineStr">
        <is>
          <t>Native-teacher review run (2026-05-17)</t>
        </is>
      </c>
      <c r="D96" t="inlineStr">
        <is>
          <t>NR-004 — n5-045 ex[6] wh+は anti-pattern ('なには すきですか。')</t>
        </is>
      </c>
      <c r="E96" t="inlineStr">
        <is>
          <t>Source: native-Japanese-teacher review run 2026-05-17.
n5-045 ex[6] 'なには すきですか。' uses なに+は which is an anti-pattern. Question words asking for new information take が, not は. Per Genki I L2 + Minna I L9 + JEES samples, the canonical form is 'なにが すきですか。' (or 'どんな X が すきですか。' for adjectival questions).
Note: なには CAN appear in topic-shift / contrastive contexts ('A はあるけど、なにはないですか？' style); but for a plain 'what do you like?' question, the canonical particle is が.
[FIX 2026-05-17]: Fixed to 'なにが すきですか。'.</t>
        </is>
      </c>
      <c r="F96" t="inlineStr">
        <is>
          <t>Major</t>
        </is>
      </c>
      <c r="G96" t="inlineStr">
        <is>
          <t>P2</t>
        </is>
      </c>
      <c r="H96" t="inlineStr">
        <is>
          <t>Fixed</t>
        </is>
      </c>
      <c r="I96" t="inlineStr">
        <is>
          <t>d26e677</t>
        </is>
      </c>
      <c r="J96" s="68" t="n">
        <v>46159</v>
      </c>
      <c r="N96" s="68" t="n"/>
    </row>
    <row r="97">
      <c r="B97" s="2" t="n">
        <v>46159</v>
      </c>
      <c r="C97" t="inlineStr">
        <is>
          <t>Native-teacher review run (2026-05-17)</t>
        </is>
      </c>
      <c r="D97" t="inlineStr">
        <is>
          <t>NR-005 — vocab.json number-vocab collocations missing rendaku for 本 + 個 counters (7 entries × 2 counters = 14 wrong forms)</t>
        </is>
      </c>
      <c r="E97" t="inlineStr">
        <is>
          <t>Source: native-Japanese-teacher review run 2026-05-17 / A-014 counter-rendaku scenario.
vocab.json entries for 一 / 三 / 六 / 八 / 十 / 十一 / 二十 carry collocations lists that include 'X+ほん' / 'X+こ' forms WITHOUT applying the standard rendaku rules. Per NHK 日本語発音アクセント新辞典 + Minna I L11 + Genki I L12 counter tables:
  本 counter (long thin objects):
    1本 = いっぽん (NOT いちほん)
    3本 = さんぼん (NOT さんほん)
    6本 = ろっぽん (NOT ろくほん)
    8本 = はっぽん (NOT はちほん)
    10本 = じゅっぽん / じっぽん (NOT じゅうほん)
    11本 = じゅういっぽん (NOT じゅういちほん)
    20本 = にじゅっぽん / にじっぽん (NOT にじゅうほん)
  個 counter (general items):
    1個 = いっこ (NOT いちこ)
    6個 = ろっこ (NOT ろくこ)
    8個 = はっこ (NOT はちこ)
    10個 = じゅっこ / じっこ (NOT じゅうこ)
    11個 = じゅういっこ (NOT じゅういちこ)
    20個 = にじゅっこ / にじっこ (NOT にじゅうこ)
These are exam-relevant — JLPT N5 chokai mondai 1/2 test counter-form recognition; the wrong forms in the collocations list would mis-train learners.
[FIX 2026-05-17]: Patched all 13 wrong rendaku forms in vocab.json. 7 entries × ~2 counter forms each. See tools/file_native_review_bugs_2026_05_17.py.</t>
        </is>
      </c>
      <c r="F97" t="inlineStr">
        <is>
          <t>Major</t>
        </is>
      </c>
      <c r="G97" t="inlineStr">
        <is>
          <t>P1</t>
        </is>
      </c>
      <c r="H97" t="inlineStr">
        <is>
          <t>Fixed</t>
        </is>
      </c>
      <c r="I97" t="inlineStr">
        <is>
          <t>d26e677</t>
        </is>
      </c>
      <c r="J97" s="68" t="n">
        <v>46159</v>
      </c>
      <c r="N97" s="68" t="n"/>
    </row>
    <row r="98">
      <c r="B98" s="2" t="n">
        <v>46159</v>
      </c>
      <c r="C98" t="inlineStr">
        <is>
          <t>Native-Hindi-teacher review (2026-05-17)</t>
        </is>
      </c>
      <c r="D98" t="inlineStr">
        <is>
          <t>NR-HI-001 — q-0264 distractor とって Hindi explanation corruption ("जो's てください")</t>
        </is>
      </c>
      <c r="E98" t="inlineStr">
        <is>
          <t>Source: native-Hindi-teacher review run 2026-05-17 of C. Hindi locale tab (C-001 + C-002 + C-018 scenarios).
q-0264 distractor_explanations_hi['とって'] = "जो's てください (please DO)。" — the 'जो's' is a Hindi+English-possessive corruption that has no semantic content. The English possessive 's was emitted after a Hindi word (जो = 'that/which') with no Hindi grammatical function.
Expected meaning per Genki I L11 + the pedagogy this distractor explains: とって is the て-form of とる; combined with ください it forms a polite request. The correct distractor for this question (which asks for the negative form とらない) should explain that とって is a request form, not a negation.
[FIX 2026-05-17]: Replaced with natural Hindi: "とって — とる का て-रूप; ください के साथ मिलकर विनम्र अनुरोध बनाता है। यहाँ नकारात्मक रूप अपेक्षित है (とらない), अनुरोध नहीं।"</t>
        </is>
      </c>
      <c r="F98" t="inlineStr">
        <is>
          <t>Critical</t>
        </is>
      </c>
      <c r="G98" t="inlineStr">
        <is>
          <t>P1</t>
        </is>
      </c>
      <c r="H98" t="inlineStr">
        <is>
          <t>Fixed</t>
        </is>
      </c>
      <c r="I98" t="inlineStr">
        <is>
          <t>8159b49</t>
        </is>
      </c>
      <c r="J98" s="68" t="n">
        <v>46159</v>
      </c>
    </row>
    <row r="99">
      <c r="B99" s="2" t="n">
        <v>46159</v>
      </c>
      <c r="C99" t="inlineStr">
        <is>
          <t>Native-Hindi-teacher review (2026-05-17)</t>
        </is>
      </c>
      <c r="D99" t="inlineStr">
        <is>
          <t>NR-HI-002 — q-0186 explanation_hi English-possessive 's intrusion (प्राप्तकर्ता's)</t>
        </is>
      </c>
      <c r="E99" t="inlineStr">
        <is>
          <t>Source: native-Hindi-teacher review run 2026-05-17.
q-0186 explanation_hi contains the phrase "प्राप्तकर्ता's दृष्टिकोण" which is grammatically incorrect Hindi — the English possessive 's was attached to a Hindi noun. The correct Hindi possessive uses the postposition का/के/की: "प्राप्तकर्ता का दृष्टिकोण" (recipient's perspective).
Per Hindi Vyakaran (Kamta Prasad Guru) + Sahitya Akademi Hindi style conventions: English possessive 's is never appropriate in formal Hindi prose. The Hindi case-marker का (singular masculine) / के (singular oblique or plural) / की (singular feminine) is the canonical possessive marker.
[FIX 2026-05-17]: Replaced "प्राप्तकर्ता's दृष्टिकोण" with "प्राप्तकर्ता का दृष्टिकोण".</t>
        </is>
      </c>
      <c r="F99" t="inlineStr">
        <is>
          <t>Major</t>
        </is>
      </c>
      <c r="G99" t="inlineStr">
        <is>
          <t>P2</t>
        </is>
      </c>
      <c r="H99" t="inlineStr">
        <is>
          <t>Fixed</t>
        </is>
      </c>
      <c r="I99" t="inlineStr">
        <is>
          <t>8159b49</t>
        </is>
      </c>
      <c r="J99" s="68" t="n">
        <v>46159</v>
      </c>
    </row>
    <row r="100">
      <c r="B100" s="2" t="n">
        <v>46159</v>
      </c>
      <c r="C100" t="inlineStr">
        <is>
          <t>Native-Hindi-teacher review (2026-05-17)</t>
        </is>
      </c>
      <c r="D100" t="inlineStr">
        <is>
          <t>NR-HI-003 — q-0065 explanation_hi uses English "Group 1" instead of canonical समूह-1</t>
        </is>
      </c>
      <c r="E100" t="inlineStr">
        <is>
          <t>Source: native-Hindi-teacher review run 2026-05-17 / C-005 verb-class naming consistency scenario.
q-0065 explanation_hi uses English "for Group 1" in the middle of a Hindi explanation about godan verb negation. Per the corpus-wide terminology lock (4× समूह-1 + 4× समूह-2 in grammar.json + 2× समूह-2 in other questions.json entries), the canonical Hindi term for godan/ichidan verb classes is समूह-1 / समूह-2.
Mixing English "Group 1" mid-Hindi-explanation breaks the terminology consistency that C-005 enforces.
[FIX 2026-05-17]: Replaced "for Group 1" with "समूह-1 के लिए" and "Group 1" → "समूह-1" / "Group 2" → "समूह-2" globally in the field.</t>
        </is>
      </c>
      <c r="F100" t="inlineStr">
        <is>
          <t>Medium</t>
        </is>
      </c>
      <c r="G100" t="inlineStr">
        <is>
          <t>P3</t>
        </is>
      </c>
      <c r="H100" t="inlineStr">
        <is>
          <t>Fixed</t>
        </is>
      </c>
      <c r="I100" t="inlineStr">
        <is>
          <t>8159b49</t>
        </is>
      </c>
      <c r="J100" s="68" t="n">
        <v>46159</v>
      </c>
    </row>
    <row r="101">
      <c r="B101" s="68"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8" t="n">
        <v>46159</v>
      </c>
    </row>
    <row r="102">
      <c r="B102" s="68"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(pending — this commit)</t>
        </is>
      </c>
      <c r="J102" s="68" t="n">
        <v>46159</v>
      </c>
    </row>
    <row r="103">
      <c r="B103" s="68"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(pending — this commit)</t>
        </is>
      </c>
      <c r="J103" s="68" t="n">
        <v>46159</v>
      </c>
    </row>
    <row r="104">
      <c r="B104" s="68"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(pending — this commit)</t>
        </is>
      </c>
      <c r="J104" s="68" t="n">
        <v>46159</v>
      </c>
    </row>
    <row r="105">
      <c r="B105" s="68"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(pending — this commit)</t>
        </is>
      </c>
      <c r="J105" s="68" t="n">
        <v>46159</v>
      </c>
    </row>
  </sheetData>
  <autoFilter ref="A3:J9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2026-05-17T21:10:56Z</dcterms:modified>
  <cp:lastModifiedBy>Srivastava, Gaurav</cp:lastModifiedBy>
</cp:coreProperties>
</file>